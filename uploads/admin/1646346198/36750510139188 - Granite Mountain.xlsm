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Documents (2)\2020-21\20-21 Unaudited Actuals\Granite Mountain\"/>
    </mc:Choice>
  </mc:AlternateContent>
  <bookViews>
    <workbookView xWindow="0" yWindow="0" windowWidth="3880" windowHeight="6330" activeTab="1"/>
  </bookViews>
  <sheets>
    <sheet name="Certification" sheetId="2" r:id="rId1"/>
    <sheet name="Alternative Form" sheetId="1" r:id="rId2"/>
    <sheet name="Data" sheetId="4" state="hidden" r:id="rId3"/>
    <sheet name="MACROS" sheetId="3" state="hidden" r:id="rId4"/>
  </sheets>
  <definedNames>
    <definedName name="A1Education">'Alternative Form'!$F$22</definedName>
    <definedName name="A1StateAid">'Alternative Form'!$F$21</definedName>
    <definedName name="A1StateAidCurrent">'Alternative Form'!$F$21</definedName>
    <definedName name="A1StateAidPrior">'Alternative Form'!$F$23</definedName>
    <definedName name="A1Transfers">'Alternative Form'!$F$24</definedName>
    <definedName name="AccrualBasis">'Alternative Form'!$F$105:$G$105,'Alternative Form'!$F$177:$G$177,'Alternative Form'!$F$191:$G$191</definedName>
    <definedName name="AccrualBasisCheck">'Alternative Form'!$B$13:$B$13</definedName>
    <definedName name="AccrualBasisEnable">'Alternative Form'!$F$158:$G$158,'Alternative Form'!$G$159</definedName>
    <definedName name="ALTHeading">Certification!$K$7,Certification!$K$9,Certification!$K$10,Certification!$K$11</definedName>
    <definedName name="ApprovingEntity">Certification!$I$17,Certification!$I$19,Certification!$I$21,Certification!$I$23</definedName>
    <definedName name="B6BookEnable">'Alternative Form'!$F$102:$G$104</definedName>
    <definedName name="B6BooksBlankEnable">'Alternative Form'!$F$101:$G$101</definedName>
    <definedName name="B6CapitalOutlayShading">'Alternative Form'!$F$96:$G$98</definedName>
    <definedName name="B6DepreciationEnable">'Alternative Form'!$F$105:$G$105</definedName>
    <definedName name="B6LandBuidingEnable">'Alternative Form'!$F$99:$G$100</definedName>
    <definedName name="B6Total">'Alternative Form'!$H$106</definedName>
    <definedName name="B7DebtServiceTotal">'Alternative Form'!$H$118</definedName>
    <definedName name="B7Total">'Alternative Form'!$H$119</definedName>
    <definedName name="B8Total">'Alternative Form'!$H$121:$H$121</definedName>
    <definedName name="CharterSchool">Certification!$O$17,Certification!$O$19,Certification!$O$21,Certification!$O$23</definedName>
    <definedName name="CommService">'Alternative Form'!$G$236:$G$240</definedName>
    <definedName name="CountyContact">Certification!$E$17,Certification!$E$19,Certification!$E$21,Certification!$E$23</definedName>
    <definedName name="D3Total">'Alternative Form'!$H$130:$H$130</definedName>
    <definedName name="F2A1Restricted">'Alternative Form'!$G$144:$G$144</definedName>
    <definedName name="F2A1Unrestricted">'Alternative Form'!$F$144:$F$144</definedName>
    <definedName name="F2A2Restricted">'Alternative Form'!$G$145:$G$145</definedName>
    <definedName name="F2A2Unrestricted">'Alternative Form'!$F$145:$F$145</definedName>
    <definedName name="F2A3Restricted">'Alternative Form'!$G$146:$G$146</definedName>
    <definedName name="F2A3Unrestricted">'Alternative Form'!$F$146:$F$146</definedName>
    <definedName name="F2A4Enable">'Alternative Form'!$F$147:$G$147</definedName>
    <definedName name="F2A4Restricted">'Alternative Form'!$G$147:$G$147</definedName>
    <definedName name="F2A4Unrestricted">'Alternative Form'!$F$147</definedName>
    <definedName name="F2ARestricted">'Alternative Form'!$G$144:$G$147</definedName>
    <definedName name="F2AUnrestricted">'Alternative Form'!$F$144:$F$147</definedName>
    <definedName name="F2BRestrictedSum">'Alternative Form'!$G$148:$G$148</definedName>
    <definedName name="F2CDEModifiedBasis">'Alternative Form'!$F$150:$F$154</definedName>
    <definedName name="F2CUnrestricted">'Alternative Form'!$F$150:$F$151</definedName>
    <definedName name="F2DUnrestricted">'Alternative Form'!$F$152:$F$152</definedName>
    <definedName name="F2E2RestrictedSum">'Alternative Form'!$G$155:$G$155</definedName>
    <definedName name="F2E2UnrestrictedSum">'Alternative Form'!$F$155:$F$155</definedName>
    <definedName name="F2EBlank">'Alternative Form'!$F$153:$F$153</definedName>
    <definedName name="F2EUnrestricted">'Alternative Form'!$F$154:$F$154</definedName>
    <definedName name="F2F1Restricted">'Alternative Form'!$G$158:$G$158</definedName>
    <definedName name="F2F1Unrestricted">'Alternative Form'!$F$158:$F$158</definedName>
    <definedName name="F2F2Restricted">'Alternative Form'!$G$159:$G$159</definedName>
    <definedName name="F2F3RestrictedSum">'Alternative Form'!$G$161:$G$161</definedName>
    <definedName name="F2F3UnrestrictedSum">'Alternative Form'!$F$161:$F$161</definedName>
    <definedName name="F2FAccrualEnable">'Alternative Form'!$F$158:$G$158</definedName>
    <definedName name="F2FEnable">'Alternative Form'!$F$157:$G$157</definedName>
    <definedName name="F2FRestricted">'Alternative Form'!$G$158:$G$159</definedName>
    <definedName name="F2Restricted">'Alternative Form'!$G$141:$G$141</definedName>
    <definedName name="F2Total">'Alternative Form'!$H$141:$H$141</definedName>
    <definedName name="F2Unrestricted">'Alternative Form'!$F$141:$F$141</definedName>
    <definedName name="F3CompoentsShading">'Alternative Form'!$F$156:$G$157</definedName>
    <definedName name="F3RestrictedMessage">'Alternative Form'!$G$157</definedName>
    <definedName name="F3UnrestrictedMessage">'Alternative Form'!$F$157</definedName>
    <definedName name="FederalRevenue">'Alternative Form'!$H$34:$H$34</definedName>
    <definedName name="FormualCheck3">'Alternative Form'!$M$199:$M$199</definedName>
    <definedName name="FormulaCheck1">'Alternative Form'!$K$199:$K$199</definedName>
    <definedName name="FormulaCheck2">'Alternative Form'!$L$199:$L$199</definedName>
    <definedName name="FormulaCheck4">'Alternative Form'!$K$200:$K$200</definedName>
    <definedName name="FormulaCheck5">'Alternative Form'!$L$200:$L$200</definedName>
    <definedName name="FormulaCheck6">'Alternative Form'!$M$200:$M$200</definedName>
    <definedName name="G8Restricted">'Alternative Form'!$G$177</definedName>
    <definedName name="G8Unrestricted">'Alternative Form'!$F$177</definedName>
    <definedName name="G9130Restricted">'Alternative Form'!$G$168:$G$168</definedName>
    <definedName name="G9130Unrestricted">'Alternative Form'!$F$168:$F$168</definedName>
    <definedName name="G9320Restricted">'Alternative Form'!$G$174:$G$174</definedName>
    <definedName name="G9320Unrestricted">'Alternative Form'!$F$174:$F$174</definedName>
    <definedName name="G9330Restricted">'Alternative Form'!$G$175</definedName>
    <definedName name="G9330Unrestricted">'Alternative Form'!$F$175:$F$175</definedName>
    <definedName name="J2Total">'Alternative Form'!$G$243:$G$243</definedName>
    <definedName name="J3ATotalExpenditures">'Alternative Form'!$G$251:$G$251</definedName>
    <definedName name="J3BLessFederal">'Alternative Form'!$G$254:$G$254</definedName>
    <definedName name="J3CTotal">'Alternative Form'!$G$257:$G$257</definedName>
    <definedName name="J3DTotal">'Alternative Form'!$G$260:$G$260</definedName>
    <definedName name="J3ETotal">'Alternative Form'!$G$263:$G$263</definedName>
    <definedName name="Modified_Accrual_Basis__Applicable_Capital_Outlay_Debt_Service_Fund_Balance_objects_are_6100_6170__6200_6500__7438__7439">'Alternative Form'!$D$15</definedName>
    <definedName name="ModifiedAccuralCheck">'Alternative Form'!$B$15:$B$15</definedName>
    <definedName name="ModifiedBasis">'Alternative Form'!$F$99:$G$100,'Alternative Form'!$F$102:$G$104,'Alternative Form'!$F$117:$G$117</definedName>
    <definedName name="ModifiedBasisEnable">'Alternative Form'!$F$144:$G$146</definedName>
    <definedName name="_xlnm.Print_Area" localSheetId="1">'Alternative Form'!$A:$H</definedName>
    <definedName name="_xlnm.Print_Titles" localSheetId="1">'Alternative Form'!$2:$7</definedName>
    <definedName name="Section2ACapitalDetail">'Alternative Form'!$F$216:$F$225</definedName>
    <definedName name="Section2ADebtDetail">'Alternative Form'!$G$216:$G$225</definedName>
    <definedName name="Section2ADetail">'Alternative Form'!$F$216:$G$225</definedName>
    <definedName name="SectionA2">'Alternative Form'!$D$216:$D$225</definedName>
    <definedName name="SectionA2Total">'Alternative Form'!$H$227</definedName>
  </definedNames>
  <calcPr calcId="162913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6" i="1" l="1"/>
  <c r="F175" i="1"/>
  <c r="G30" i="1"/>
  <c r="F157" i="1" l="1"/>
  <c r="G157" i="1"/>
  <c r="K8" i="2"/>
  <c r="H32" i="1" l="1"/>
  <c r="H92" i="1" l="1"/>
  <c r="G119" i="1" l="1"/>
  <c r="F119" i="1"/>
  <c r="H114" i="1"/>
  <c r="F179" i="1"/>
  <c r="G198" i="1" l="1"/>
  <c r="F198" i="1"/>
  <c r="G184" i="1"/>
  <c r="F184" i="1"/>
  <c r="H184" i="1" l="1"/>
  <c r="H196" i="1"/>
  <c r="H182" i="1"/>
  <c r="G106" i="1" l="1"/>
  <c r="F106" i="1"/>
  <c r="H146" i="1"/>
  <c r="H144" i="1"/>
  <c r="H22" i="1"/>
  <c r="F132" i="1"/>
  <c r="G132" i="1"/>
  <c r="G243" i="1"/>
  <c r="G260" i="1" s="1"/>
  <c r="F118" i="1"/>
  <c r="G118" i="1"/>
  <c r="F34" i="1"/>
  <c r="G34" i="1"/>
  <c r="F54" i="1"/>
  <c r="F63" i="1"/>
  <c r="F75" i="1"/>
  <c r="F83" i="1"/>
  <c r="F95" i="1"/>
  <c r="G54" i="1"/>
  <c r="G63" i="1"/>
  <c r="G75" i="1"/>
  <c r="G83" i="1"/>
  <c r="G95" i="1"/>
  <c r="F227" i="1"/>
  <c r="G227" i="1"/>
  <c r="G26" i="1"/>
  <c r="G40" i="1"/>
  <c r="G44" i="1"/>
  <c r="G140" i="1"/>
  <c r="F26" i="1"/>
  <c r="F40" i="1"/>
  <c r="F44" i="1"/>
  <c r="F140" i="1"/>
  <c r="H117" i="1"/>
  <c r="H130" i="1"/>
  <c r="H129" i="1" s="1"/>
  <c r="H147" i="1"/>
  <c r="H159" i="1"/>
  <c r="H158" i="1"/>
  <c r="H154" i="1"/>
  <c r="E6" i="1"/>
  <c r="H99" i="1"/>
  <c r="H87" i="1"/>
  <c r="H73" i="1"/>
  <c r="H24" i="1"/>
  <c r="E10" i="1"/>
  <c r="E9" i="1"/>
  <c r="E8" i="1"/>
  <c r="E7" i="1"/>
  <c r="F193" i="1"/>
  <c r="G193" i="1"/>
  <c r="G179" i="1"/>
  <c r="H127" i="1"/>
  <c r="H116" i="1"/>
  <c r="H102" i="1"/>
  <c r="H50" i="1"/>
  <c r="H37" i="1"/>
  <c r="H109" i="1"/>
  <c r="H86" i="1"/>
  <c r="H78" i="1"/>
  <c r="H66" i="1"/>
  <c r="H57" i="1"/>
  <c r="H138" i="1"/>
  <c r="H165" i="1"/>
  <c r="H187" i="1"/>
  <c r="H29" i="1"/>
  <c r="H21" i="1"/>
  <c r="A268" i="1"/>
  <c r="H224" i="1"/>
  <c r="H223" i="1"/>
  <c r="H222" i="1"/>
  <c r="H221" i="1"/>
  <c r="H220" i="1"/>
  <c r="H219" i="1"/>
  <c r="H218" i="1"/>
  <c r="H72" i="1"/>
  <c r="H38" i="1"/>
  <c r="H33" i="1"/>
  <c r="H30" i="1"/>
  <c r="H31" i="1"/>
  <c r="H23" i="1"/>
  <c r="H128" i="1"/>
  <c r="H217" i="1"/>
  <c r="H225" i="1"/>
  <c r="H216" i="1"/>
  <c r="H191" i="1"/>
  <c r="H190" i="1"/>
  <c r="H189" i="1"/>
  <c r="H18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51" i="1"/>
  <c r="H150" i="1"/>
  <c r="H139" i="1"/>
  <c r="H113" i="1"/>
  <c r="H112" i="1"/>
  <c r="H111" i="1"/>
  <c r="H110" i="1"/>
  <c r="H105" i="1"/>
  <c r="H104" i="1"/>
  <c r="H103" i="1"/>
  <c r="H100" i="1"/>
  <c r="H94" i="1"/>
  <c r="H93" i="1"/>
  <c r="H91" i="1"/>
  <c r="H90" i="1"/>
  <c r="H89" i="1"/>
  <c r="H88" i="1"/>
  <c r="H82" i="1"/>
  <c r="H81" i="1"/>
  <c r="H80" i="1"/>
  <c r="H79" i="1"/>
  <c r="H74" i="1"/>
  <c r="H71" i="1"/>
  <c r="H70" i="1"/>
  <c r="H69" i="1"/>
  <c r="H68" i="1"/>
  <c r="H67" i="1"/>
  <c r="H62" i="1"/>
  <c r="H61" i="1"/>
  <c r="H60" i="1"/>
  <c r="H58" i="1"/>
  <c r="H53" i="1"/>
  <c r="H52" i="1"/>
  <c r="H51" i="1"/>
  <c r="H43" i="1"/>
  <c r="H39" i="1"/>
  <c r="H25" i="1"/>
  <c r="H152" i="1"/>
  <c r="H145" i="1"/>
  <c r="H40" i="1" l="1"/>
  <c r="H44" i="1"/>
  <c r="H63" i="1"/>
  <c r="H227" i="1"/>
  <c r="F46" i="1"/>
  <c r="H95" i="1"/>
  <c r="H54" i="1"/>
  <c r="H132" i="1"/>
  <c r="H83" i="1"/>
  <c r="H140" i="1"/>
  <c r="F121" i="1"/>
  <c r="F202" i="1"/>
  <c r="H198" i="1"/>
  <c r="H179" i="1"/>
  <c r="H26" i="1"/>
  <c r="H118" i="1"/>
  <c r="H119" i="1"/>
  <c r="H75" i="1"/>
  <c r="H34" i="1"/>
  <c r="G254" i="1" s="1"/>
  <c r="H193" i="1"/>
  <c r="G46" i="1"/>
  <c r="G121" i="1"/>
  <c r="H106" i="1"/>
  <c r="H202" i="1" l="1"/>
  <c r="F124" i="1"/>
  <c r="F134" i="1" s="1"/>
  <c r="F141" i="1" s="1"/>
  <c r="F161" i="1" s="1"/>
  <c r="H46" i="1"/>
  <c r="G263" i="1"/>
  <c r="H121" i="1"/>
  <c r="G251" i="1" s="1"/>
  <c r="G257" i="1" s="1"/>
  <c r="G202" i="1"/>
  <c r="G124" i="1"/>
  <c r="K199" i="1" l="1"/>
  <c r="K200" i="1" s="1"/>
  <c r="F201" i="1" s="1"/>
  <c r="G266" i="1"/>
  <c r="G134" i="1"/>
  <c r="G141" i="1" s="1"/>
  <c r="G161" i="1" s="1"/>
  <c r="H124" i="1"/>
  <c r="H134" i="1" s="1"/>
  <c r="H155" i="1" l="1"/>
  <c r="H148" i="1"/>
  <c r="G160" i="1"/>
  <c r="L199" i="1"/>
  <c r="L200" i="1" s="1"/>
  <c r="G201" i="1" s="1"/>
  <c r="H141" i="1"/>
  <c r="H161" i="1" l="1"/>
</calcChain>
</file>

<file path=xl/sharedStrings.xml><?xml version="1.0" encoding="utf-8"?>
<sst xmlns="http://schemas.openxmlformats.org/spreadsheetml/2006/main" count="536" uniqueCount="342">
  <si>
    <t xml:space="preserve"> </t>
  </si>
  <si>
    <t>A.</t>
  </si>
  <si>
    <t>REVENUES</t>
  </si>
  <si>
    <t>1.</t>
  </si>
  <si>
    <t>2.</t>
  </si>
  <si>
    <t>3.</t>
  </si>
  <si>
    <t>4.</t>
  </si>
  <si>
    <t>TOTAL REVENUES</t>
  </si>
  <si>
    <t>B.</t>
  </si>
  <si>
    <t>5.</t>
  </si>
  <si>
    <t xml:space="preserve">          </t>
  </si>
  <si>
    <t>6.</t>
  </si>
  <si>
    <t>7.</t>
  </si>
  <si>
    <t>8.</t>
  </si>
  <si>
    <t>TOTAL EXPENDITURES</t>
  </si>
  <si>
    <t>C.</t>
  </si>
  <si>
    <t>D.</t>
  </si>
  <si>
    <t>E.</t>
  </si>
  <si>
    <t>F.</t>
  </si>
  <si>
    <t>a.</t>
  </si>
  <si>
    <t>b.</t>
  </si>
  <si>
    <t>G.</t>
  </si>
  <si>
    <t>ASSETS</t>
  </si>
  <si>
    <t>Cash</t>
  </si>
  <si>
    <t>In County Treasury</t>
  </si>
  <si>
    <t>In Banks</t>
  </si>
  <si>
    <t>Investments</t>
  </si>
  <si>
    <t>Accounts Receivable</t>
  </si>
  <si>
    <t>Other Current Assets</t>
  </si>
  <si>
    <t>TOTAL ASSETS</t>
  </si>
  <si>
    <t>LIABILITIES</t>
  </si>
  <si>
    <t>Accounts Payable</t>
  </si>
  <si>
    <t>TOTAL LIABILITIES</t>
  </si>
  <si>
    <t>I.</t>
  </si>
  <si>
    <t>Special Education - Federal</t>
  </si>
  <si>
    <t>Child Nutrition - Federal</t>
  </si>
  <si>
    <t>All Other State Revenues</t>
  </si>
  <si>
    <t>Unrestricted</t>
  </si>
  <si>
    <t>Restricted</t>
  </si>
  <si>
    <t>Total</t>
  </si>
  <si>
    <t xml:space="preserve">Charter Schools Categorical Block Grant </t>
  </si>
  <si>
    <t>Employee Benefits</t>
  </si>
  <si>
    <t>STRS</t>
  </si>
  <si>
    <t>PERS</t>
  </si>
  <si>
    <t>Health and Welfare Benefits</t>
  </si>
  <si>
    <t>Unemployment Insurance</t>
  </si>
  <si>
    <t>Other Employee Benefits</t>
  </si>
  <si>
    <t>Books and Supplies</t>
  </si>
  <si>
    <t>Services and Other Operating Expenditures</t>
  </si>
  <si>
    <t>Travel and Conferences</t>
  </si>
  <si>
    <t>Communications</t>
  </si>
  <si>
    <t>Capital Outlay</t>
  </si>
  <si>
    <t>Books and Media for New School Libraries or Major</t>
  </si>
  <si>
    <t xml:space="preserve">Equipment </t>
  </si>
  <si>
    <t>Tuition to Other Schools</t>
  </si>
  <si>
    <t>Certificated Pupil Support Salaries</t>
  </si>
  <si>
    <t>Certificated Supervisors' and Administrators' Salaries</t>
  </si>
  <si>
    <t>Other Certificated Salaries</t>
  </si>
  <si>
    <t>c.</t>
  </si>
  <si>
    <t>d.</t>
  </si>
  <si>
    <t>e.</t>
  </si>
  <si>
    <t>TOTAL COMMUNITY SERVICES EXPENDITURES</t>
  </si>
  <si>
    <t>Certificated Salaries</t>
  </si>
  <si>
    <t>9.</t>
  </si>
  <si>
    <t>Collections Awaiting Deposit</t>
  </si>
  <si>
    <t>OASDI / Medicare / Alternative</t>
  </si>
  <si>
    <t xml:space="preserve">          Total, Certificated Salaries</t>
  </si>
  <si>
    <t xml:space="preserve">          Total, Employee Benefits</t>
  </si>
  <si>
    <t>Approved Textbooks and Core Curricula Materials</t>
  </si>
  <si>
    <t>Books and Other Reference Materials</t>
  </si>
  <si>
    <t>Materials and Supplies</t>
  </si>
  <si>
    <t>Noncapitalized Equipment</t>
  </si>
  <si>
    <t>Food</t>
  </si>
  <si>
    <t xml:space="preserve">          Total, Books and Supplies</t>
  </si>
  <si>
    <t>Insurance</t>
  </si>
  <si>
    <t xml:space="preserve">          Total, Services and Other Operating Expenditures</t>
  </si>
  <si>
    <t>Buildings and Improvements of Buildings</t>
  </si>
  <si>
    <t xml:space="preserve">          Total, Capital Outlay</t>
  </si>
  <si>
    <t xml:space="preserve">          Total, Federal Revenues </t>
  </si>
  <si>
    <t xml:space="preserve">          Total, Local Revenues</t>
  </si>
  <si>
    <t>Other State Revenues</t>
  </si>
  <si>
    <t xml:space="preserve">         Total, Other State Revenues</t>
  </si>
  <si>
    <t>Other Local Revenues</t>
  </si>
  <si>
    <t>Special Education - State</t>
  </si>
  <si>
    <t>All Other Local Revenues</t>
  </si>
  <si>
    <t xml:space="preserve">In Revolving Fund </t>
  </si>
  <si>
    <t xml:space="preserve">   Capital Outlay   </t>
  </si>
  <si>
    <t xml:space="preserve">   Debt Service   </t>
  </si>
  <si>
    <t xml:space="preserve">          Total          </t>
  </si>
  <si>
    <t>Dues and Memberships</t>
  </si>
  <si>
    <t>All Other Transfers</t>
  </si>
  <si>
    <t>Debt Service:</t>
  </si>
  <si>
    <t>Stores</t>
  </si>
  <si>
    <t>Fair Value Adjustment to Cash in County Treasury</t>
  </si>
  <si>
    <t>Rentals, Leases, Repairs, and Noncap. Improvements</t>
  </si>
  <si>
    <t>$</t>
  </si>
  <si>
    <t>Object Code</t>
  </si>
  <si>
    <t>3101-3102</t>
  </si>
  <si>
    <t>3201-3202</t>
  </si>
  <si>
    <t>3301-3302</t>
  </si>
  <si>
    <t>3401-3402</t>
  </si>
  <si>
    <t>3501-3502</t>
  </si>
  <si>
    <t>3701-3702</t>
  </si>
  <si>
    <t>3901-3902</t>
  </si>
  <si>
    <t>7110-7143</t>
  </si>
  <si>
    <t>7211-7213</t>
  </si>
  <si>
    <t>8980-8999</t>
  </si>
  <si>
    <t>Operations and Housekeeping Services</t>
  </si>
  <si>
    <t>Professional/Consulting Services and Operating Expend.</t>
  </si>
  <si>
    <t>Workers' Compensation Insurance</t>
  </si>
  <si>
    <t>State Aid - Current Year</t>
  </si>
  <si>
    <t>State Aid - Prior Years</t>
  </si>
  <si>
    <t>8091, 8097</t>
  </si>
  <si>
    <t>8181, 8182</t>
  </si>
  <si>
    <t>Other Sources</t>
  </si>
  <si>
    <t>8930-8979</t>
  </si>
  <si>
    <t>7630-7699</t>
  </si>
  <si>
    <t>9660-9669</t>
  </si>
  <si>
    <t>FINANCIAL REPORT -- ALTERNATIVE FORM</t>
  </si>
  <si>
    <t>BEFORE OTHER FINANCING SOURCES AND USES (A5-B8)</t>
  </si>
  <si>
    <t>c1</t>
  </si>
  <si>
    <t>c2</t>
  </si>
  <si>
    <t>c3</t>
  </si>
  <si>
    <t>objcode</t>
  </si>
  <si>
    <t>unrestr</t>
  </si>
  <si>
    <t>restr</t>
  </si>
  <si>
    <t>ttl</t>
  </si>
  <si>
    <t>Charter School Name:</t>
  </si>
  <si>
    <t>Charter Approving Entity:</t>
  </si>
  <si>
    <t>County:</t>
  </si>
  <si>
    <t>CHARTER SCHOOL CERTIFICATION</t>
  </si>
  <si>
    <t>Signed:</t>
  </si>
  <si>
    <t xml:space="preserve">      Date:</t>
  </si>
  <si>
    <t>Charter School Official</t>
  </si>
  <si>
    <t>(Original signature required)</t>
  </si>
  <si>
    <t>Printed
Name:</t>
  </si>
  <si>
    <t xml:space="preserve">       Title:</t>
  </si>
  <si>
    <t>To the County Superintendent of Schools:</t>
  </si>
  <si>
    <t>Authorized Representative of
Charter Approving Entity</t>
  </si>
  <si>
    <t>To the Superintendent of Public Instruction:</t>
  </si>
  <si>
    <t>County Superintendent/Designee</t>
  </si>
  <si>
    <t>For Charter School:</t>
  </si>
  <si>
    <t>Name</t>
  </si>
  <si>
    <t>Title</t>
  </si>
  <si>
    <t>Telephone</t>
  </si>
  <si>
    <t xml:space="preserve">              Description</t>
  </si>
  <si>
    <t>3601-3602</t>
  </si>
  <si>
    <t>OTHER FINANCING SOURCES / USES</t>
  </si>
  <si>
    <t>TOTAL OTHER FINANCING SOURCES / USES</t>
  </si>
  <si>
    <t>Contributions Between Unrestricted and Restricted Accounts</t>
  </si>
  <si>
    <t>As of July 1</t>
  </si>
  <si>
    <t>f.</t>
  </si>
  <si>
    <t>g.</t>
  </si>
  <si>
    <t>h.</t>
  </si>
  <si>
    <t>i.</t>
  </si>
  <si>
    <t>j.</t>
  </si>
  <si>
    <t>CDS #:</t>
  </si>
  <si>
    <t>Charter #:</t>
  </si>
  <si>
    <t>9793, 9795</t>
  </si>
  <si>
    <t>(</t>
  </si>
  <si>
    <t>)</t>
  </si>
  <si>
    <t>To the entity that approved the charter school:</t>
  </si>
  <si>
    <t>Less:  Other Uses</t>
  </si>
  <si>
    <t xml:space="preserve">Other Outgo </t>
  </si>
  <si>
    <t>(must agree with Line F2)</t>
  </si>
  <si>
    <t>(must net to zero)</t>
  </si>
  <si>
    <t>StateRevSE</t>
  </si>
  <si>
    <t>StateRevAO</t>
  </si>
  <si>
    <t>LocalRevAO</t>
  </si>
  <si>
    <t>7221-7223SE</t>
  </si>
  <si>
    <t>7221-7223AO</t>
  </si>
  <si>
    <t>Transfers of Apportionments to Other LEAs - Spec. Ed.</t>
  </si>
  <si>
    <t>Transfers of Apportionments to Other LEAs - All Other</t>
  </si>
  <si>
    <t>New 02/26/04</t>
  </si>
  <si>
    <t>8110, 8260-8299</t>
  </si>
  <si>
    <t>Current Loans</t>
  </si>
  <si>
    <t>6100-6170</t>
  </si>
  <si>
    <t>Prepaid Expenditures (Expenses)</t>
  </si>
  <si>
    <r>
      <t xml:space="preserve">Land and Land Improvements </t>
    </r>
    <r>
      <rPr>
        <sz val="9"/>
        <color indexed="8"/>
        <rFont val="Arial"/>
        <family val="2"/>
      </rPr>
      <t/>
    </r>
  </si>
  <si>
    <t xml:space="preserve">     Expansion of School Libraries </t>
  </si>
  <si>
    <t xml:space="preserve">Equipment Replacement </t>
  </si>
  <si>
    <t xml:space="preserve">the following amounts paid out of federal funds: </t>
  </si>
  <si>
    <t>Version</t>
  </si>
  <si>
    <t>For information regarding this report, please contact:</t>
  </si>
  <si>
    <t xml:space="preserve">     Interest </t>
  </si>
  <si>
    <t>Amount</t>
  </si>
  <si>
    <t xml:space="preserve">Objects of Expenditures    </t>
  </si>
  <si>
    <t>Transfers of Pass-Through Revenues to Other LEAs</t>
  </si>
  <si>
    <t>This charter school uses the following basis of accounting:</t>
  </si>
  <si>
    <t xml:space="preserve">      (Enter "0.00" if none)      </t>
  </si>
  <si>
    <t>(Please enter an "X" in the applicable box below; check only one box)</t>
  </si>
  <si>
    <t>X</t>
  </si>
  <si>
    <t>NOTE:  An Alternative Form submitted to the California Department of Education will not be considered a valid submission if the following information is missing:</t>
  </si>
  <si>
    <t>OPEB, Allocated</t>
  </si>
  <si>
    <t>OPEB, Active Employees</t>
  </si>
  <si>
    <t>3751-3752</t>
  </si>
  <si>
    <t>Subagreements for Services</t>
  </si>
  <si>
    <t>7281-7299</t>
  </si>
  <si>
    <t>Community Services Expenditures</t>
  </si>
  <si>
    <t>Certificated Teachers' Salaries</t>
  </si>
  <si>
    <t>CHARTER SCHOOL UNAUDITED ACTUALS</t>
  </si>
  <si>
    <t>Noncertificated Salaries</t>
  </si>
  <si>
    <t>Noncertificated Instructional Salaries</t>
  </si>
  <si>
    <t>Noncertificated Support Salaries</t>
  </si>
  <si>
    <t>Noncertificated Supervisors' and Administrators' Salaries</t>
  </si>
  <si>
    <t>Other Noncertificated Salaries</t>
  </si>
  <si>
    <t xml:space="preserve">          Total, Noncertificated Salaries</t>
  </si>
  <si>
    <t>EXCESS (DEFICIENCY) OF REVENUES OVER EXPENDITURES</t>
  </si>
  <si>
    <t xml:space="preserve">     Principal (for modified accrual basis only)</t>
  </si>
  <si>
    <t>With Fiscal Agent/Trustee</t>
  </si>
  <si>
    <t>Due from Grantor Governments</t>
  </si>
  <si>
    <t>Due to Grantor Governments</t>
  </si>
  <si>
    <t>c. Committed</t>
  </si>
  <si>
    <t>Committed</t>
  </si>
  <si>
    <t xml:space="preserve">e. </t>
  </si>
  <si>
    <t>1.  Revolving Cash (equals Object 9130)</t>
  </si>
  <si>
    <t>3.  Prepaid Expenditures (equals Object 9330)</t>
  </si>
  <si>
    <t>1.  Stabilization Arrangements</t>
  </si>
  <si>
    <t>2.  Other Commitments</t>
  </si>
  <si>
    <t>4.  All Others</t>
  </si>
  <si>
    <t>Assigned</t>
  </si>
  <si>
    <t>Nonspendable</t>
  </si>
  <si>
    <t>1.  Reserve for Economic Uncertainties</t>
  </si>
  <si>
    <t>Unassigned/Unappropriated</t>
  </si>
  <si>
    <t>2.  Unassigned/Unappropriated Amount</t>
  </si>
  <si>
    <t xml:space="preserve">                         Federal Program Name (If no amounts, indicate "NONE")                                 </t>
  </si>
  <si>
    <t>NOTE:   IF YOUR CHARTER SCHOOL RECEIVED FEDERAL FUNDING, AS REPORTED IN SECTION A2,  THE FOLLOWING</t>
  </si>
  <si>
    <t>ADDITIONAL INFORMATION MUST BE PROVIDED IN ORDER FOR THE CDE TO CALCULATE COMPLIANCE WITH</t>
  </si>
  <si>
    <t xml:space="preserve">Included in the Capital Outlay and Debt Service expenditures reported in sections B6 and B7 are </t>
  </si>
  <si>
    <t>Subtotal of State &amp; Local Expenditures</t>
  </si>
  <si>
    <t>Less Community Services</t>
  </si>
  <si>
    <t>Less Capital Outlay &amp; Debt Service</t>
  </si>
  <si>
    <t>[c minus d minus e]</t>
  </si>
  <si>
    <t>[Revenues are used as proxy for expenditures because most federal revenues</t>
  </si>
  <si>
    <t>are normally recognized in the period that qualifying expenditures are incurred]</t>
  </si>
  <si>
    <t>Less Federal Expenditures (Total A2)</t>
  </si>
  <si>
    <t>Total Expenditures (B8)</t>
  </si>
  <si>
    <t>[a minus b]</t>
  </si>
  <si>
    <t>Total, Other Outgo</t>
  </si>
  <si>
    <t>9790M</t>
  </si>
  <si>
    <t>9790A</t>
  </si>
  <si>
    <t>1000-1999</t>
  </si>
  <si>
    <t>2000-2999</t>
  </si>
  <si>
    <t>4000-4999</t>
  </si>
  <si>
    <t>5000-5999</t>
  </si>
  <si>
    <t xml:space="preserve"> 3000-3999
except 3801-38002</t>
  </si>
  <si>
    <t>TOTAL STATE &amp; LOCAL EXPENDITURES SUBJECT TO MOE</t>
  </si>
  <si>
    <t xml:space="preserve">2.  Stores (equals Object 9320)        </t>
  </si>
  <si>
    <t>Provide the amount of State and Local funds reported in Section B that were expended for Community Services Activities:</t>
  </si>
  <si>
    <t xml:space="preserve">and 9711-9789) </t>
  </si>
  <si>
    <t>Federal Revenue Used for Capital Outlay and Debt Service</t>
  </si>
  <si>
    <r>
      <t xml:space="preserve">Modified Accrual Basis </t>
    </r>
    <r>
      <rPr>
        <sz val="11"/>
        <color indexed="8"/>
        <rFont val="Arial"/>
        <family val="2"/>
      </rPr>
      <t>(Applicable Capital Outlay/Debt Service/Fund Balance objects are 6100-6170, 6200-6500, 7438, 7439,</t>
    </r>
  </si>
  <si>
    <t>TOTAL FEDERAL REVENUES USED FOR CAPITAL OUTLAY AND DEBT SERVICE</t>
  </si>
  <si>
    <t xml:space="preserve">           Total Debt Service</t>
  </si>
  <si>
    <t xml:space="preserve">Other Federal Revenues </t>
  </si>
  <si>
    <r>
      <t>Accrual Basis</t>
    </r>
    <r>
      <rPr>
        <sz val="11"/>
        <rFont val="Arial"/>
        <family val="2"/>
      </rPr>
      <t xml:space="preserve"> (Applicable Capital Assets/Interest on Long-Term Debt/Long-Term Liabilities/Net Position objects are 6900, 7438, </t>
    </r>
  </si>
  <si>
    <t>Education Protection Account State Aid - Current Year</t>
  </si>
  <si>
    <t>K.</t>
  </si>
  <si>
    <t>DEFERRED OUTFLOWS OF RESOURCES</t>
  </si>
  <si>
    <t>Deferred Outflows of Resources</t>
  </si>
  <si>
    <t>J.</t>
  </si>
  <si>
    <t>DEFERRED INFLOWS OF RESOURCES</t>
  </si>
  <si>
    <t>Unearned Revenue</t>
  </si>
  <si>
    <t>LCFF Sources</t>
  </si>
  <si>
    <t xml:space="preserve">          Total, LCFF Sources</t>
  </si>
  <si>
    <r>
      <t xml:space="preserve">Employee Benefits                                   </t>
    </r>
    <r>
      <rPr>
        <sz val="10"/>
        <color indexed="8"/>
        <rFont val="Arial"/>
        <family val="2"/>
      </rPr>
      <t xml:space="preserve"> </t>
    </r>
  </si>
  <si>
    <t>9400-9489, 9660-9669, 9796, and 9797)</t>
  </si>
  <si>
    <t>Adjustments/Restatements</t>
  </si>
  <si>
    <t>Beginning Fund Balance/Net Position</t>
  </si>
  <si>
    <t>FUND BALANCE / NET POSITION</t>
  </si>
  <si>
    <t>Adjusted Beginning Fund Balance /Net Position</t>
  </si>
  <si>
    <t>Ending Fund Balance /Net Position, June 30 (E+F1c)</t>
  </si>
  <si>
    <t>FUND BALANCE /NET POSITION</t>
  </si>
  <si>
    <t>[L2 Total]</t>
  </si>
  <si>
    <t>[Total B6 plus objects 7438 and 7439, less L1 Total]</t>
  </si>
  <si>
    <t>H.</t>
  </si>
  <si>
    <t>Deferred Inflows of Resources</t>
  </si>
  <si>
    <t>Ending Fund Balance /Net Position, June 30 (G9 + H2) - (I6 + J2)</t>
  </si>
  <si>
    <t>9400-9489</t>
  </si>
  <si>
    <t>Instructions:</t>
  </si>
  <si>
    <t>Macros must be enabled to use this workbook.</t>
  </si>
  <si>
    <t>Please close the file and re-open it with macros enabled.</t>
  </si>
  <si>
    <t>Go to your File tab – Options – Trust Center – Trust Center Settings –  Macro Settings – Enable all macros</t>
  </si>
  <si>
    <t>Federal Revenues (see NOTE in Section L)</t>
  </si>
  <si>
    <t>EXPENDITURES (see NOTE in Section L)</t>
  </si>
  <si>
    <t>Transfers to Charter Schools in Lieu of Property Taxes</t>
  </si>
  <si>
    <t>Other LCFF Transfers</t>
  </si>
  <si>
    <t xml:space="preserve">(Objects 6100-6170, 6200-6500 modified accrual basis only) </t>
  </si>
  <si>
    <t>Depreciation Expense (accrual basis only)</t>
  </si>
  <si>
    <t>Capital Assets (accrual basis only)</t>
  </si>
  <si>
    <t>Long-Term Liabilities (accrual basis only)</t>
  </si>
  <si>
    <t>TOTAL DEFERRED INFLOWS</t>
  </si>
  <si>
    <t>TOTAL DEFERRED OUTFLOWS</t>
  </si>
  <si>
    <t>NET INCREASE (DECREASE) IN FUND BALANCE /NET POSITION (C+D4)</t>
  </si>
  <si>
    <t>For County Fiscal Contact:</t>
  </si>
  <si>
    <t>For Approving Entity:</t>
  </si>
  <si>
    <t>Transfers of Direct Costs</t>
  </si>
  <si>
    <t>5700-5799</t>
  </si>
  <si>
    <t>Transfers of Indirect Costs</t>
  </si>
  <si>
    <t>7300-7399</t>
  </si>
  <si>
    <t>Components of Ending Fund Balance (Modified Accrual Basis only)</t>
  </si>
  <si>
    <t>Components of Ending Net Position (Accrual Basis only)</t>
  </si>
  <si>
    <t>a.  Net Investment in Capital Assets</t>
  </si>
  <si>
    <t>b.  Restricted Net Position</t>
  </si>
  <si>
    <t>c.  Unrestricted Net Position</t>
  </si>
  <si>
    <t>Donated Food Commodities</t>
  </si>
  <si>
    <t>THE FEDERAL EVERY STUDENT SUCCEEDS ACT (ESSA) MAINTENANCE OF EFFORT REQUIREMENT:</t>
  </si>
  <si>
    <t>State and Local Expenditures to be Used for ESSA Annual Maintenance of Effort Calculation:</t>
  </si>
  <si>
    <t>12345678912345</t>
  </si>
  <si>
    <t>L. FEDERAL EVERY STUDENT SUCCEEDS ACT (ESSA) MAINTENANCE OF EFFORT REQUIREMENT</t>
  </si>
  <si>
    <t>90 percent expenditure level on either an aggregate or per capita expenditure basis may result in reduction to</t>
  </si>
  <si>
    <t>No Child Left Behind/Every Student Succeeds Act</t>
  </si>
  <si>
    <t>Email address</t>
  </si>
  <si>
    <r>
      <t xml:space="preserve">is hereby filed with the County Superintendent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42100(a).</t>
    </r>
  </si>
  <si>
    <r>
      <t xml:space="preserve">verified for mathematical accuracy by the County Superintendent of Schools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42100(a).</t>
    </r>
  </si>
  <si>
    <r>
      <t xml:space="preserve">has been approved, and is hereby filed by the charter school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42100(b).</t>
    </r>
  </si>
  <si>
    <t>Clerical, Technical and Office Salaries</t>
  </si>
  <si>
    <t>July 1, 2020  to  June 30, 2021</t>
  </si>
  <si>
    <t>2020-21 CHARTER SCHOOL UNAUDITED ACTUALS FINANCIAL REPORT -- ALTERNATIVE FORM:  This report</t>
  </si>
  <si>
    <t>2020-21 CHARTER SCHOOL UNAUDITED ACTUALS FINANCIAL REPORT -- ALTERNATIVE FORM:  This report has been</t>
  </si>
  <si>
    <t>July 1, 2020 to  June 30, 2021</t>
  </si>
  <si>
    <t>allocations for covered programs in 2022-23.</t>
  </si>
  <si>
    <t>Results of this calculation will be used for comparison with 2019-20 expenditures. Failure to maintain the required</t>
  </si>
  <si>
    <t>Granite Mountain Charter</t>
  </si>
  <si>
    <t>Lucerne Valley Unified</t>
  </si>
  <si>
    <t>San Bernardino</t>
  </si>
  <si>
    <t>2033</t>
  </si>
  <si>
    <t>Douglas Beaton</t>
  </si>
  <si>
    <t>Chief Business Officer</t>
  </si>
  <si>
    <t>760-248-6108</t>
  </si>
  <si>
    <t>douglas_beaton@lucernevalleyusd.org</t>
  </si>
  <si>
    <t>Aaron Guibord</t>
  </si>
  <si>
    <t>SBM - CSMC</t>
  </si>
  <si>
    <t>805-390-1813</t>
  </si>
  <si>
    <t>aguibord@csmci.com</t>
  </si>
  <si>
    <t>Brook MacMillan</t>
  </si>
  <si>
    <t>Executive Director</t>
  </si>
  <si>
    <t>NONE</t>
  </si>
  <si>
    <t>Annette Baker</t>
  </si>
  <si>
    <t>Business Advisor</t>
  </si>
  <si>
    <t>909-386-9676</t>
  </si>
  <si>
    <t>annette.baker@sbcss.net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</si>
</sst>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name val="Times New Roman"/>
    </font>
    <font>
      <b/>
      <sz val="1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u/>
      <sz val="1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u/>
      <sz val="11"/>
      <color indexed="8"/>
      <name val="Arial"/>
      <family val="2"/>
    </font>
    <font>
      <i/>
      <sz val="11"/>
      <color indexed="8"/>
      <name val="Arial"/>
      <family val="2"/>
    </font>
    <font>
      <u/>
      <sz val="11"/>
      <color indexed="8"/>
      <name val="Arial"/>
      <family val="2"/>
    </font>
    <font>
      <u val="double"/>
      <sz val="11"/>
      <color indexed="8"/>
      <name val="Arial"/>
      <family val="2"/>
    </font>
    <font>
      <sz val="9"/>
      <color indexed="8"/>
      <name val="Arial"/>
      <family val="2"/>
    </font>
    <font>
      <sz val="7"/>
      <color indexed="8"/>
      <name val="Arial"/>
      <family val="2"/>
    </font>
    <font>
      <sz val="16"/>
      <name val="Times New Roman"/>
      <family val="1"/>
    </font>
    <font>
      <sz val="12"/>
      <name val="Book Antiqua"/>
      <family val="1"/>
    </font>
    <font>
      <sz val="14"/>
      <name val="Book Antiqua"/>
      <family val="1"/>
    </font>
    <font>
      <sz val="18"/>
      <name val="Book Antiqua"/>
      <family val="1"/>
    </font>
    <font>
      <sz val="20"/>
      <name val="Book Antiqua"/>
      <family val="1"/>
    </font>
    <font>
      <b/>
      <sz val="11"/>
      <name val="Times New Roman"/>
      <family val="1"/>
    </font>
    <font>
      <b/>
      <i/>
      <sz val="11"/>
      <color indexed="8"/>
      <name val="Arial"/>
      <family val="2"/>
    </font>
    <font>
      <sz val="7.5"/>
      <color indexed="8"/>
      <name val="Arial"/>
      <family val="2"/>
    </font>
    <font>
      <sz val="11"/>
      <color theme="1" tint="0.4999847407452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7">
    <xf numFmtId="0" fontId="0" fillId="0" borderId="0" xfId="0"/>
    <xf numFmtId="0" fontId="3" fillId="0" borderId="0" xfId="1" applyFont="1"/>
    <xf numFmtId="0" fontId="4" fillId="0" borderId="0" xfId="1" applyFont="1" applyAlignment="1">
      <alignment horizontal="center"/>
    </xf>
    <xf numFmtId="0" fontId="9" fillId="0" borderId="0" xfId="0" applyFont="1"/>
    <xf numFmtId="0" fontId="4" fillId="0" borderId="0" xfId="1" applyFont="1"/>
    <xf numFmtId="0" fontId="4" fillId="0" borderId="0" xfId="1" applyFont="1" applyAlignment="1"/>
    <xf numFmtId="0" fontId="6" fillId="0" borderId="0" xfId="0" applyNumberFormat="1" applyFont="1" applyProtection="1"/>
    <xf numFmtId="3" fontId="6" fillId="0" borderId="0" xfId="0" applyNumberFormat="1" applyFont="1" applyProtection="1"/>
    <xf numFmtId="0" fontId="6" fillId="0" borderId="0" xfId="0" applyFont="1" applyProtection="1"/>
    <xf numFmtId="0" fontId="9" fillId="0" borderId="0" xfId="0" applyFont="1" applyProtection="1"/>
    <xf numFmtId="0" fontId="6" fillId="0" borderId="0" xfId="0" applyNumberFormat="1" applyFont="1" applyBorder="1" applyProtection="1"/>
    <xf numFmtId="49" fontId="6" fillId="2" borderId="1" xfId="0" applyNumberFormat="1" applyFont="1" applyFill="1" applyBorder="1" applyAlignment="1" applyProtection="1">
      <alignment horizontal="center"/>
    </xf>
    <xf numFmtId="49" fontId="6" fillId="2" borderId="2" xfId="0" applyNumberFormat="1" applyFont="1" applyFill="1" applyBorder="1" applyAlignment="1" applyProtection="1">
      <alignment horizontal="center"/>
    </xf>
    <xf numFmtId="49" fontId="7" fillId="2" borderId="2" xfId="0" applyNumberFormat="1" applyFont="1" applyFill="1" applyBorder="1" applyAlignment="1" applyProtection="1">
      <alignment horizontal="left"/>
    </xf>
    <xf numFmtId="0" fontId="6" fillId="0" borderId="0" xfId="0" applyFont="1" applyAlignment="1" applyProtection="1">
      <alignment horizontal="center"/>
    </xf>
    <xf numFmtId="49" fontId="7" fillId="0" borderId="3" xfId="0" applyNumberFormat="1" applyFont="1" applyBorder="1" applyProtection="1"/>
    <xf numFmtId="49" fontId="7" fillId="0" borderId="0" xfId="0" applyNumberFormat="1" applyFont="1" applyBorder="1" applyProtection="1"/>
    <xf numFmtId="49" fontId="6" fillId="0" borderId="0" xfId="0" applyNumberFormat="1" applyFont="1" applyBorder="1" applyProtection="1"/>
    <xf numFmtId="3" fontId="6" fillId="3" borderId="4" xfId="0" applyNumberFormat="1" applyFont="1" applyFill="1" applyBorder="1" applyProtection="1"/>
    <xf numFmtId="49" fontId="7" fillId="0" borderId="0" xfId="0" quotePrefix="1" applyNumberFormat="1" applyFont="1" applyBorder="1" applyProtection="1"/>
    <xf numFmtId="0" fontId="6" fillId="0" borderId="0" xfId="0" applyFont="1" applyBorder="1" applyProtection="1"/>
    <xf numFmtId="49" fontId="6" fillId="0" borderId="3" xfId="0" applyNumberFormat="1" applyFont="1" applyBorder="1" applyProtection="1"/>
    <xf numFmtId="49" fontId="7" fillId="0" borderId="0" xfId="0" quotePrefix="1" applyNumberFormat="1" applyFont="1" applyBorder="1" applyAlignment="1" applyProtection="1"/>
    <xf numFmtId="49" fontId="6" fillId="0" borderId="0" xfId="0" applyNumberFormat="1" applyFont="1" applyBorder="1" applyAlignment="1" applyProtection="1"/>
    <xf numFmtId="49" fontId="7" fillId="0" borderId="3" xfId="0" quotePrefix="1" applyNumberFormat="1" applyFont="1" applyBorder="1" applyProtection="1"/>
    <xf numFmtId="0" fontId="6" fillId="0" borderId="3" xfId="0" applyNumberFormat="1" applyFont="1" applyBorder="1" applyProtection="1"/>
    <xf numFmtId="0" fontId="7" fillId="0" borderId="0" xfId="0" quotePrefix="1" applyNumberFormat="1" applyFont="1" applyBorder="1" applyProtection="1"/>
    <xf numFmtId="49" fontId="6" fillId="0" borderId="5" xfId="0" applyNumberFormat="1" applyFont="1" applyBorder="1" applyProtection="1"/>
    <xf numFmtId="49" fontId="6" fillId="0" borderId="6" xfId="0" applyNumberFormat="1" applyFont="1" applyBorder="1" applyProtection="1"/>
    <xf numFmtId="49" fontId="6" fillId="0" borderId="0" xfId="0" applyNumberFormat="1" applyFont="1" applyBorder="1" applyAlignment="1" applyProtection="1">
      <alignment wrapText="1"/>
    </xf>
    <xf numFmtId="0" fontId="7" fillId="0" borderId="0" xfId="0" quotePrefix="1" applyFont="1" applyBorder="1" applyProtection="1"/>
    <xf numFmtId="49" fontId="7" fillId="0" borderId="6" xfId="0" applyNumberFormat="1" applyFont="1" applyBorder="1" applyProtection="1"/>
    <xf numFmtId="0" fontId="6" fillId="0" borderId="6" xfId="0" applyFont="1" applyBorder="1" applyProtection="1"/>
    <xf numFmtId="0" fontId="6" fillId="0" borderId="0" xfId="0" applyFont="1" applyFill="1" applyBorder="1" applyProtection="1"/>
    <xf numFmtId="0" fontId="6" fillId="0" borderId="5" xfId="0" applyNumberFormat="1" applyFont="1" applyBorder="1" applyProtection="1"/>
    <xf numFmtId="0" fontId="6" fillId="0" borderId="6" xfId="0" applyNumberFormat="1" applyFont="1" applyBorder="1" applyProtection="1"/>
    <xf numFmtId="0" fontId="7" fillId="0" borderId="3" xfId="0" applyNumberFormat="1" applyFont="1" applyBorder="1" applyProtection="1"/>
    <xf numFmtId="0" fontId="7" fillId="0" borderId="0" xfId="0" applyNumberFormat="1" applyFont="1" applyBorder="1" applyProtection="1"/>
    <xf numFmtId="0" fontId="7" fillId="0" borderId="0" xfId="0" quotePrefix="1" applyNumberFormat="1" applyFont="1" applyBorder="1" applyAlignment="1" applyProtection="1"/>
    <xf numFmtId="0" fontId="11" fillId="0" borderId="0" xfId="0" applyNumberFormat="1" applyFont="1" applyBorder="1" applyProtection="1"/>
    <xf numFmtId="0" fontId="7" fillId="0" borderId="3" xfId="0" quotePrefix="1" applyNumberFormat="1" applyFont="1" applyBorder="1" applyProtection="1"/>
    <xf numFmtId="0" fontId="7" fillId="0" borderId="0" xfId="0" applyFont="1" applyProtection="1"/>
    <xf numFmtId="3" fontId="6" fillId="0" borderId="0" xfId="0" applyNumberFormat="1" applyFont="1" applyBorder="1" applyProtection="1"/>
    <xf numFmtId="0" fontId="12" fillId="0" borderId="0" xfId="0" applyNumberFormat="1" applyFont="1" applyBorder="1" applyAlignment="1" applyProtection="1">
      <alignment horizontal="center"/>
    </xf>
    <xf numFmtId="3" fontId="13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4" fontId="7" fillId="2" borderId="7" xfId="0" applyNumberFormat="1" applyFont="1" applyFill="1" applyBorder="1" applyAlignment="1" applyProtection="1">
      <alignment horizontal="center"/>
    </xf>
    <xf numFmtId="4" fontId="7" fillId="2" borderId="8" xfId="0" applyNumberFormat="1" applyFont="1" applyFill="1" applyBorder="1" applyAlignment="1" applyProtection="1">
      <alignment horizontal="center"/>
    </xf>
    <xf numFmtId="39" fontId="6" fillId="4" borderId="9" xfId="0" applyNumberFormat="1" applyFont="1" applyFill="1" applyBorder="1" applyProtection="1"/>
    <xf numFmtId="39" fontId="6" fillId="3" borderId="10" xfId="0" applyNumberFormat="1" applyFont="1" applyFill="1" applyBorder="1" applyProtection="1"/>
    <xf numFmtId="39" fontId="6" fillId="3" borderId="4" xfId="0" applyNumberFormat="1" applyFont="1" applyFill="1" applyBorder="1" applyProtection="1"/>
    <xf numFmtId="39" fontId="6" fillId="3" borderId="8" xfId="0" applyNumberFormat="1" applyFont="1" applyFill="1" applyBorder="1" applyProtection="1"/>
    <xf numFmtId="39" fontId="6" fillId="3" borderId="11" xfId="0" applyNumberFormat="1" applyFont="1" applyFill="1" applyBorder="1" applyProtection="1"/>
    <xf numFmtId="39" fontId="6" fillId="4" borderId="4" xfId="0" applyNumberFormat="1" applyFont="1" applyFill="1" applyBorder="1" applyProtection="1"/>
    <xf numFmtId="39" fontId="6" fillId="4" borderId="8" xfId="0" applyNumberFormat="1" applyFont="1" applyFill="1" applyBorder="1" applyProtection="1"/>
    <xf numFmtId="39" fontId="6" fillId="4" borderId="12" xfId="0" applyNumberFormat="1" applyFont="1" applyFill="1" applyBorder="1" applyProtection="1"/>
    <xf numFmtId="39" fontId="7" fillId="2" borderId="8" xfId="0" applyNumberFormat="1" applyFont="1" applyFill="1" applyBorder="1" applyAlignment="1" applyProtection="1">
      <alignment horizontal="center"/>
    </xf>
    <xf numFmtId="39" fontId="6" fillId="3" borderId="12" xfId="0" applyNumberFormat="1" applyFont="1" applyFill="1" applyBorder="1" applyProtection="1"/>
    <xf numFmtId="39" fontId="6" fillId="3" borderId="13" xfId="0" applyNumberFormat="1" applyFont="1" applyFill="1" applyBorder="1" applyProtection="1"/>
    <xf numFmtId="39" fontId="6" fillId="3" borderId="14" xfId="0" applyNumberFormat="1" applyFont="1" applyFill="1" applyBorder="1" applyProtection="1"/>
    <xf numFmtId="39" fontId="6" fillId="4" borderId="10" xfId="0" applyNumberFormat="1" applyFont="1" applyFill="1" applyBorder="1" applyProtection="1"/>
    <xf numFmtId="0" fontId="1" fillId="0" borderId="0" xfId="1" applyFont="1" applyAlignment="1" applyProtection="1">
      <alignment horizontal="centerContinuous"/>
    </xf>
    <xf numFmtId="0" fontId="4" fillId="0" borderId="0" xfId="1" applyFont="1" applyAlignment="1" applyProtection="1">
      <alignment horizontal="centerContinuous"/>
    </xf>
    <xf numFmtId="0" fontId="5" fillId="0" borderId="0" xfId="1" applyFont="1" applyAlignment="1" applyProtection="1">
      <alignment horizontal="centerContinuous"/>
    </xf>
    <xf numFmtId="0" fontId="4" fillId="0" borderId="0" xfId="1" applyFont="1" applyProtection="1"/>
    <xf numFmtId="0" fontId="4" fillId="0" borderId="0" xfId="1" applyFont="1" applyAlignment="1" applyProtection="1"/>
    <xf numFmtId="0" fontId="1" fillId="0" borderId="0" xfId="1" applyFont="1" applyAlignment="1" applyProtection="1">
      <alignment horizontal="left"/>
    </xf>
    <xf numFmtId="0" fontId="1" fillId="0" borderId="0" xfId="1" applyFont="1" applyAlignment="1" applyProtection="1">
      <alignment horizontal="center"/>
    </xf>
    <xf numFmtId="0" fontId="9" fillId="0" borderId="0" xfId="0" applyFont="1" applyAlignment="1" applyProtection="1"/>
    <xf numFmtId="0" fontId="3" fillId="0" borderId="0" xfId="0" applyFont="1" applyAlignment="1" applyProtection="1">
      <alignment horizontal="right"/>
    </xf>
    <xf numFmtId="0" fontId="4" fillId="0" borderId="15" xfId="1" applyFont="1" applyBorder="1" applyProtection="1"/>
    <xf numFmtId="0" fontId="4" fillId="0" borderId="15" xfId="1" applyFont="1" applyBorder="1" applyAlignment="1" applyProtection="1"/>
    <xf numFmtId="0" fontId="3" fillId="0" borderId="16" xfId="1" applyFont="1" applyBorder="1" applyAlignment="1" applyProtection="1"/>
    <xf numFmtId="0" fontId="3" fillId="0" borderId="16" xfId="0" applyFont="1" applyBorder="1" applyAlignment="1" applyProtection="1"/>
    <xf numFmtId="0" fontId="4" fillId="0" borderId="0" xfId="1" applyFont="1" applyBorder="1" applyProtection="1"/>
    <xf numFmtId="0" fontId="3" fillId="0" borderId="0" xfId="1" applyFont="1" applyAlignment="1" applyProtection="1"/>
    <xf numFmtId="0" fontId="4" fillId="0" borderId="0" xfId="1" applyFont="1" applyAlignment="1" applyProtection="1">
      <alignment horizontal="centerContinuous" vertical="top"/>
    </xf>
    <xf numFmtId="0" fontId="3" fillId="0" borderId="0" xfId="0" applyFont="1" applyAlignment="1" applyProtection="1">
      <alignment horizontal="centerContinuous" vertical="top"/>
    </xf>
    <xf numFmtId="0" fontId="3" fillId="0" borderId="0" xfId="1" applyFont="1" applyAlignment="1" applyProtection="1">
      <alignment wrapText="1"/>
    </xf>
    <xf numFmtId="0" fontId="3" fillId="0" borderId="17" xfId="1" applyFont="1" applyBorder="1" applyProtection="1"/>
    <xf numFmtId="0" fontId="3" fillId="0" borderId="17" xfId="1" applyFont="1" applyBorder="1" applyAlignment="1" applyProtection="1"/>
    <xf numFmtId="0" fontId="3" fillId="0" borderId="18" xfId="1" applyFont="1" applyBorder="1" applyAlignment="1" applyProtection="1"/>
    <xf numFmtId="0" fontId="3" fillId="0" borderId="18" xfId="0" applyFont="1" applyBorder="1" applyAlignment="1" applyProtection="1"/>
    <xf numFmtId="0" fontId="4" fillId="0" borderId="19" xfId="1" applyFont="1" applyBorder="1" applyAlignment="1" applyProtection="1">
      <alignment horizontal="centerContinuous" wrapText="1"/>
    </xf>
    <xf numFmtId="0" fontId="4" fillId="0" borderId="19" xfId="1" applyFont="1" applyBorder="1" applyAlignment="1" applyProtection="1"/>
    <xf numFmtId="0" fontId="3" fillId="0" borderId="0" xfId="1" applyFont="1" applyBorder="1" applyAlignment="1" applyProtection="1"/>
    <xf numFmtId="0" fontId="4" fillId="0" borderId="0" xfId="1" applyFont="1" applyAlignment="1" applyProtection="1">
      <alignment horizontal="center"/>
    </xf>
    <xf numFmtId="0" fontId="3" fillId="0" borderId="0" xfId="0" applyFont="1" applyAlignment="1" applyProtection="1"/>
    <xf numFmtId="0" fontId="3" fillId="0" borderId="19" xfId="1" applyFont="1" applyBorder="1" applyAlignment="1" applyProtection="1"/>
    <xf numFmtId="0" fontId="3" fillId="0" borderId="19" xfId="0" applyFont="1" applyBorder="1" applyAlignment="1" applyProtection="1"/>
    <xf numFmtId="0" fontId="3" fillId="0" borderId="0" xfId="1" applyFont="1" applyProtection="1"/>
    <xf numFmtId="0" fontId="4" fillId="0" borderId="0" xfId="1" applyFont="1" applyProtection="1">
      <protection locked="0"/>
    </xf>
    <xf numFmtId="40" fontId="6" fillId="2" borderId="20" xfId="0" applyNumberFormat="1" applyFont="1" applyFill="1" applyBorder="1" applyAlignment="1" applyProtection="1">
      <alignment horizontal="right"/>
    </xf>
    <xf numFmtId="40" fontId="6" fillId="2" borderId="21" xfId="0" applyNumberFormat="1" applyFont="1" applyFill="1" applyBorder="1" applyAlignment="1" applyProtection="1">
      <alignment horizontal="right"/>
    </xf>
    <xf numFmtId="40" fontId="6" fillId="0" borderId="22" xfId="0" applyNumberFormat="1" applyFont="1" applyFill="1" applyBorder="1" applyAlignment="1" applyProtection="1">
      <alignment horizontal="right"/>
      <protection locked="0"/>
    </xf>
    <xf numFmtId="40" fontId="6" fillId="0" borderId="23" xfId="0" applyNumberFormat="1" applyFont="1" applyFill="1" applyBorder="1" applyAlignment="1" applyProtection="1">
      <alignment horizontal="right"/>
      <protection locked="0"/>
    </xf>
    <xf numFmtId="40" fontId="6" fillId="2" borderId="22" xfId="0" applyNumberFormat="1" applyFont="1" applyFill="1" applyBorder="1" applyAlignment="1" applyProtection="1">
      <alignment horizontal="right"/>
    </xf>
    <xf numFmtId="40" fontId="6" fillId="0" borderId="24" xfId="0" applyNumberFormat="1" applyFont="1" applyFill="1" applyBorder="1" applyAlignment="1" applyProtection="1">
      <alignment horizontal="right"/>
      <protection locked="0"/>
    </xf>
    <xf numFmtId="40" fontId="6" fillId="3" borderId="7" xfId="0" applyNumberFormat="1" applyFont="1" applyFill="1" applyBorder="1" applyAlignment="1" applyProtection="1">
      <alignment horizontal="right"/>
    </xf>
    <xf numFmtId="40" fontId="6" fillId="2" borderId="25" xfId="0" applyNumberFormat="1" applyFont="1" applyFill="1" applyBorder="1" applyAlignment="1" applyProtection="1">
      <alignment horizontal="right"/>
    </xf>
    <xf numFmtId="40" fontId="6" fillId="0" borderId="23" xfId="0" applyNumberFormat="1" applyFont="1" applyBorder="1" applyAlignment="1" applyProtection="1">
      <alignment horizontal="right"/>
      <protection locked="0"/>
    </xf>
    <xf numFmtId="40" fontId="6" fillId="0" borderId="26" xfId="0" applyNumberFormat="1" applyFont="1" applyBorder="1" applyAlignment="1" applyProtection="1">
      <alignment horizontal="right"/>
      <protection locked="0"/>
    </xf>
    <xf numFmtId="40" fontId="6" fillId="0" borderId="27" xfId="0" applyNumberFormat="1" applyFont="1" applyBorder="1" applyAlignment="1" applyProtection="1">
      <alignment horizontal="right"/>
      <protection locked="0"/>
    </xf>
    <xf numFmtId="40" fontId="6" fillId="4" borderId="7" xfId="0" applyNumberFormat="1" applyFont="1" applyFill="1" applyBorder="1" applyAlignment="1" applyProtection="1">
      <alignment horizontal="right"/>
    </xf>
    <xf numFmtId="40" fontId="6" fillId="3" borderId="25" xfId="0" applyNumberFormat="1" applyFont="1" applyFill="1" applyBorder="1" applyAlignment="1" applyProtection="1">
      <alignment horizontal="right"/>
    </xf>
    <xf numFmtId="40" fontId="6" fillId="4" borderId="28" xfId="0" applyNumberFormat="1" applyFont="1" applyFill="1" applyBorder="1" applyAlignment="1" applyProtection="1">
      <alignment horizontal="right"/>
    </xf>
    <xf numFmtId="40" fontId="6" fillId="3" borderId="21" xfId="0" applyNumberFormat="1" applyFont="1" applyFill="1" applyBorder="1" applyAlignment="1" applyProtection="1">
      <alignment horizontal="right"/>
    </xf>
    <xf numFmtId="40" fontId="6" fillId="3" borderId="28" xfId="0" applyNumberFormat="1" applyFont="1" applyFill="1" applyBorder="1" applyAlignment="1" applyProtection="1">
      <alignment horizontal="right"/>
    </xf>
    <xf numFmtId="40" fontId="6" fillId="0" borderId="20" xfId="0" applyNumberFormat="1" applyFont="1" applyBorder="1" applyAlignment="1" applyProtection="1">
      <alignment horizontal="right"/>
      <protection locked="0"/>
    </xf>
    <xf numFmtId="40" fontId="6" fillId="0" borderId="21" xfId="0" applyNumberFormat="1" applyFont="1" applyBorder="1" applyAlignment="1" applyProtection="1">
      <alignment horizontal="right"/>
      <protection locked="0"/>
    </xf>
    <xf numFmtId="40" fontId="6" fillId="0" borderId="22" xfId="0" applyNumberFormat="1" applyFont="1" applyBorder="1" applyAlignment="1" applyProtection="1">
      <alignment horizontal="right"/>
      <protection locked="0"/>
    </xf>
    <xf numFmtId="40" fontId="6" fillId="5" borderId="21" xfId="0" applyNumberFormat="1" applyFont="1" applyFill="1" applyBorder="1" applyAlignment="1" applyProtection="1">
      <alignment horizontal="right"/>
    </xf>
    <xf numFmtId="40" fontId="6" fillId="5" borderId="22" xfId="0" applyNumberFormat="1" applyFont="1" applyFill="1" applyBorder="1" applyAlignment="1" applyProtection="1">
      <alignment horizontal="right"/>
      <protection locked="0"/>
    </xf>
    <xf numFmtId="40" fontId="6" fillId="5" borderId="25" xfId="0" applyNumberFormat="1" applyFont="1" applyFill="1" applyBorder="1" applyAlignment="1" applyProtection="1">
      <alignment horizontal="right"/>
    </xf>
    <xf numFmtId="40" fontId="6" fillId="5" borderId="27" xfId="0" applyNumberFormat="1" applyFont="1" applyFill="1" applyBorder="1" applyAlignment="1" applyProtection="1">
      <alignment horizontal="right"/>
    </xf>
    <xf numFmtId="40" fontId="7" fillId="2" borderId="7" xfId="0" applyNumberFormat="1" applyFont="1" applyFill="1" applyBorder="1" applyAlignment="1" applyProtection="1">
      <alignment horizontal="center"/>
    </xf>
    <xf numFmtId="39" fontId="6" fillId="0" borderId="0" xfId="0" applyNumberFormat="1" applyFont="1" applyProtection="1"/>
    <xf numFmtId="49" fontId="6" fillId="0" borderId="0" xfId="0" quotePrefix="1" applyNumberFormat="1" applyFont="1" applyBorder="1" applyAlignment="1" applyProtection="1">
      <alignment horizontal="left"/>
    </xf>
    <xf numFmtId="0" fontId="6" fillId="0" borderId="0" xfId="0" quotePrefix="1" applyNumberFormat="1" applyFont="1" applyBorder="1" applyAlignment="1" applyProtection="1">
      <alignment horizontal="left"/>
    </xf>
    <xf numFmtId="40" fontId="6" fillId="0" borderId="28" xfId="0" applyNumberFormat="1" applyFont="1" applyFill="1" applyBorder="1" applyAlignment="1" applyProtection="1">
      <alignment horizontal="right"/>
      <protection locked="0"/>
    </xf>
    <xf numFmtId="40" fontId="6" fillId="0" borderId="27" xfId="0" applyNumberFormat="1" applyFont="1" applyFill="1" applyBorder="1" applyAlignment="1" applyProtection="1">
      <alignment horizontal="right"/>
    </xf>
    <xf numFmtId="0" fontId="4" fillId="0" borderId="0" xfId="1" applyFont="1" applyBorder="1" applyAlignment="1" applyProtection="1"/>
    <xf numFmtId="0" fontId="3" fillId="0" borderId="0" xfId="1" quotePrefix="1" applyFont="1" applyAlignment="1" applyProtection="1">
      <alignment horizontal="left"/>
    </xf>
    <xf numFmtId="40" fontId="6" fillId="6" borderId="7" xfId="0" applyNumberFormat="1" applyFont="1" applyFill="1" applyBorder="1" applyAlignment="1" applyProtection="1">
      <alignment horizontal="right"/>
    </xf>
    <xf numFmtId="39" fontId="6" fillId="6" borderId="28" xfId="0" applyNumberFormat="1" applyFont="1" applyFill="1" applyBorder="1" applyAlignment="1" applyProtection="1">
      <alignment horizontal="right"/>
    </xf>
    <xf numFmtId="49" fontId="3" fillId="0" borderId="0" xfId="0" applyNumberFormat="1" applyFont="1" applyBorder="1" applyAlignment="1" applyProtection="1">
      <alignment horizontal="left"/>
    </xf>
    <xf numFmtId="49" fontId="6" fillId="0" borderId="0" xfId="0" applyNumberFormat="1" applyFont="1" applyBorder="1" applyAlignment="1" applyProtection="1">
      <alignment horizontal="left"/>
    </xf>
    <xf numFmtId="0" fontId="7" fillId="0" borderId="0" xfId="0" applyNumberFormat="1" applyFont="1" applyBorder="1" applyAlignment="1" applyProtection="1">
      <alignment horizontal="right"/>
    </xf>
    <xf numFmtId="49" fontId="7" fillId="2" borderId="2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Alignment="1" applyProtection="1">
      <alignment horizontal="center"/>
    </xf>
    <xf numFmtId="0" fontId="6" fillId="0" borderId="20" xfId="0" applyNumberFormat="1" applyFont="1" applyBorder="1" applyAlignment="1" applyProtection="1">
      <alignment horizontal="center"/>
    </xf>
    <xf numFmtId="0" fontId="6" fillId="0" borderId="20" xfId="0" quotePrefix="1" applyFont="1" applyFill="1" applyBorder="1" applyAlignment="1" applyProtection="1">
      <alignment horizontal="center"/>
    </xf>
    <xf numFmtId="3" fontId="6" fillId="0" borderId="20" xfId="0" quotePrefix="1" applyNumberFormat="1" applyFont="1" applyFill="1" applyBorder="1" applyAlignment="1" applyProtection="1">
      <alignment horizontal="center"/>
    </xf>
    <xf numFmtId="0" fontId="6" fillId="0" borderId="20" xfId="0" applyFont="1" applyBorder="1" applyAlignment="1" applyProtection="1">
      <alignment horizontal="center"/>
    </xf>
    <xf numFmtId="0" fontId="6" fillId="0" borderId="20" xfId="0" quotePrefix="1" applyFont="1" applyBorder="1" applyAlignment="1" applyProtection="1">
      <alignment horizontal="center"/>
    </xf>
    <xf numFmtId="3" fontId="6" fillId="0" borderId="20" xfId="0" quotePrefix="1" applyNumberFormat="1" applyFont="1" applyBorder="1" applyAlignment="1" applyProtection="1">
      <alignment horizontal="center"/>
    </xf>
    <xf numFmtId="40" fontId="7" fillId="2" borderId="29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/>
    <xf numFmtId="40" fontId="6" fillId="5" borderId="21" xfId="0" applyNumberFormat="1" applyFont="1" applyFill="1" applyBorder="1" applyAlignment="1" applyProtection="1">
      <alignment horizontal="right"/>
      <protection locked="0"/>
    </xf>
    <xf numFmtId="39" fontId="6" fillId="3" borderId="30" xfId="0" applyNumberFormat="1" applyFont="1" applyFill="1" applyBorder="1" applyProtection="1"/>
    <xf numFmtId="40" fontId="6" fillId="0" borderId="28" xfId="0" applyNumberFormat="1" applyFont="1" applyBorder="1" applyAlignment="1" applyProtection="1">
      <alignment horizontal="right"/>
      <protection locked="0"/>
    </xf>
    <xf numFmtId="0" fontId="6" fillId="0" borderId="0" xfId="0" quotePrefix="1" applyNumberFormat="1" applyFont="1" applyBorder="1" applyProtection="1"/>
    <xf numFmtId="0" fontId="6" fillId="0" borderId="0" xfId="0" quotePrefix="1" applyFont="1" applyBorder="1" applyProtection="1"/>
    <xf numFmtId="40" fontId="6" fillId="2" borderId="0" xfId="0" applyNumberFormat="1" applyFont="1" applyFill="1" applyBorder="1" applyAlignment="1" applyProtection="1">
      <alignment horizontal="right"/>
    </xf>
    <xf numFmtId="39" fontId="6" fillId="6" borderId="11" xfId="0" applyNumberFormat="1" applyFont="1" applyFill="1" applyBorder="1" applyProtection="1"/>
    <xf numFmtId="39" fontId="6" fillId="4" borderId="11" xfId="0" applyNumberFormat="1" applyFont="1" applyFill="1" applyBorder="1" applyProtection="1"/>
    <xf numFmtId="39" fontId="6" fillId="4" borderId="31" xfId="0" applyNumberFormat="1" applyFont="1" applyFill="1" applyBorder="1" applyProtection="1"/>
    <xf numFmtId="39" fontId="6" fillId="4" borderId="33" xfId="0" applyNumberFormat="1" applyFont="1" applyFill="1" applyBorder="1" applyProtection="1"/>
    <xf numFmtId="40" fontId="6" fillId="4" borderId="25" xfId="0" applyNumberFormat="1" applyFont="1" applyFill="1" applyBorder="1" applyAlignment="1" applyProtection="1">
      <alignment horizontal="right"/>
      <protection hidden="1"/>
    </xf>
    <xf numFmtId="40" fontId="6" fillId="4" borderId="21" xfId="0" applyNumberFormat="1" applyFont="1" applyFill="1" applyBorder="1" applyAlignment="1" applyProtection="1">
      <alignment horizontal="right"/>
      <protection hidden="1"/>
    </xf>
    <xf numFmtId="40" fontId="6" fillId="4" borderId="23" xfId="0" applyNumberFormat="1" applyFont="1" applyFill="1" applyBorder="1" applyAlignment="1" applyProtection="1">
      <alignment horizontal="right"/>
      <protection hidden="1"/>
    </xf>
    <xf numFmtId="40" fontId="6" fillId="4" borderId="27" xfId="0" applyNumberFormat="1" applyFont="1" applyFill="1" applyBorder="1" applyAlignment="1" applyProtection="1">
      <alignment horizontal="right"/>
      <protection hidden="1"/>
    </xf>
    <xf numFmtId="0" fontId="6" fillId="0" borderId="6" xfId="0" applyFont="1" applyBorder="1" applyAlignment="1" applyProtection="1">
      <alignment horizontal="center"/>
    </xf>
    <xf numFmtId="49" fontId="7" fillId="0" borderId="34" xfId="0" applyNumberFormat="1" applyFont="1" applyBorder="1" applyProtection="1"/>
    <xf numFmtId="49" fontId="7" fillId="0" borderId="19" xfId="0" applyNumberFormat="1" applyFont="1" applyBorder="1" applyProtection="1"/>
    <xf numFmtId="49" fontId="6" fillId="0" borderId="19" xfId="0" applyNumberFormat="1" applyFont="1" applyBorder="1" applyProtection="1"/>
    <xf numFmtId="0" fontId="6" fillId="0" borderId="35" xfId="0" applyFont="1" applyFill="1" applyBorder="1" applyAlignment="1" applyProtection="1">
      <alignment horizontal="center"/>
    </xf>
    <xf numFmtId="0" fontId="6" fillId="0" borderId="19" xfId="0" applyFont="1" applyBorder="1" applyProtection="1"/>
    <xf numFmtId="0" fontId="6" fillId="0" borderId="19" xfId="0" applyFont="1" applyBorder="1" applyAlignment="1" applyProtection="1">
      <alignment horizontal="center"/>
    </xf>
    <xf numFmtId="0" fontId="11" fillId="0" borderId="0" xfId="0" applyNumberFormat="1" applyFont="1" applyProtection="1"/>
    <xf numFmtId="0" fontId="11" fillId="0" borderId="0" xfId="0" applyFont="1" applyProtection="1"/>
    <xf numFmtId="40" fontId="6" fillId="4" borderId="0" xfId="0" applyNumberFormat="1" applyFont="1" applyFill="1" applyBorder="1" applyAlignment="1" applyProtection="1">
      <alignment horizontal="right"/>
      <protection hidden="1"/>
    </xf>
    <xf numFmtId="40" fontId="6" fillId="4" borderId="7" xfId="0" applyNumberFormat="1" applyFont="1" applyFill="1" applyBorder="1" applyAlignment="1" applyProtection="1">
      <alignment horizontal="right"/>
      <protection hidden="1"/>
    </xf>
    <xf numFmtId="39" fontId="6" fillId="0" borderId="0" xfId="0" applyNumberFormat="1" applyFont="1" applyBorder="1" applyProtection="1"/>
    <xf numFmtId="0" fontId="6" fillId="0" borderId="20" xfId="0" quotePrefix="1" applyFont="1" applyFill="1" applyBorder="1" applyAlignment="1" applyProtection="1">
      <alignment horizontal="right"/>
    </xf>
    <xf numFmtId="3" fontId="6" fillId="0" borderId="14" xfId="0" applyNumberFormat="1" applyFont="1" applyBorder="1" applyProtection="1"/>
    <xf numFmtId="0" fontId="10" fillId="0" borderId="0" xfId="0" applyFont="1" applyBorder="1" applyAlignment="1" applyProtection="1"/>
    <xf numFmtId="0" fontId="10" fillId="0" borderId="0" xfId="0" applyNumberFormat="1" applyFont="1" applyBorder="1" applyAlignment="1" applyProtection="1">
      <alignment horizontal="center"/>
    </xf>
    <xf numFmtId="0" fontId="7" fillId="0" borderId="0" xfId="0" quotePrefix="1" applyNumberFormat="1" applyFont="1" applyBorder="1" applyAlignment="1" applyProtection="1">
      <alignment horizontal="left"/>
    </xf>
    <xf numFmtId="0" fontId="7" fillId="0" borderId="0" xfId="0" applyNumberFormat="1" applyFont="1" applyBorder="1" applyAlignment="1" applyProtection="1">
      <alignment horizontal="left"/>
    </xf>
    <xf numFmtId="0" fontId="0" fillId="0" borderId="0" xfId="0" applyBorder="1" applyAlignment="1"/>
    <xf numFmtId="0" fontId="3" fillId="0" borderId="0" xfId="0" applyFont="1" applyBorder="1" applyAlignment="1"/>
    <xf numFmtId="0" fontId="1" fillId="0" borderId="0" xfId="0" applyFont="1" applyBorder="1" applyAlignment="1"/>
    <xf numFmtId="0" fontId="6" fillId="0" borderId="0" xfId="0" applyNumberFormat="1" applyFont="1" applyBorder="1" applyAlignment="1" applyProtection="1">
      <alignment horizontal="left"/>
    </xf>
    <xf numFmtId="49" fontId="3" fillId="0" borderId="19" xfId="0" applyNumberFormat="1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3" fontId="7" fillId="0" borderId="0" xfId="0" applyNumberFormat="1" applyFont="1" applyBorder="1" applyProtection="1"/>
    <xf numFmtId="3" fontId="6" fillId="0" borderId="0" xfId="0" applyNumberFormat="1" applyFont="1" applyBorder="1" applyAlignment="1" applyProtection="1">
      <alignment horizontal="right"/>
    </xf>
    <xf numFmtId="0" fontId="7" fillId="0" borderId="0" xfId="0" applyFont="1" applyBorder="1" applyProtection="1"/>
    <xf numFmtId="0" fontId="12" fillId="0" borderId="0" xfId="0" applyNumberFormat="1" applyFont="1" applyBorder="1" applyProtection="1"/>
    <xf numFmtId="0" fontId="3" fillId="0" borderId="0" xfId="0" applyFont="1" applyBorder="1" applyProtection="1"/>
    <xf numFmtId="0" fontId="6" fillId="0" borderId="0" xfId="0" quotePrefix="1" applyNumberFormat="1" applyFont="1" applyBorder="1" applyAlignment="1" applyProtection="1">
      <alignment horizontal="center"/>
    </xf>
    <xf numFmtId="3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right"/>
    </xf>
    <xf numFmtId="3" fontId="6" fillId="0" borderId="0" xfId="0" quotePrefix="1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right" wrapText="1"/>
    </xf>
    <xf numFmtId="0" fontId="6" fillId="0" borderId="0" xfId="0" applyFont="1" applyBorder="1" applyAlignment="1" applyProtection="1">
      <alignment horizontal="right"/>
    </xf>
    <xf numFmtId="3" fontId="14" fillId="0" borderId="0" xfId="0" applyNumberFormat="1" applyFont="1" applyBorder="1" applyProtection="1"/>
    <xf numFmtId="0" fontId="7" fillId="0" borderId="32" xfId="0" applyNumberFormat="1" applyFont="1" applyBorder="1" applyAlignment="1" applyProtection="1">
      <alignment horizontal="left"/>
      <protection locked="0"/>
    </xf>
    <xf numFmtId="0" fontId="6" fillId="0" borderId="6" xfId="0" applyNumberFormat="1" applyFont="1" applyBorder="1" applyProtection="1">
      <protection locked="0"/>
    </xf>
    <xf numFmtId="40" fontId="6" fillId="4" borderId="6" xfId="0" applyNumberFormat="1" applyFont="1" applyFill="1" applyBorder="1" applyAlignment="1" applyProtection="1">
      <alignment horizontal="right"/>
      <protection hidden="1"/>
    </xf>
    <xf numFmtId="40" fontId="6" fillId="4" borderId="19" xfId="0" applyNumberFormat="1" applyFont="1" applyFill="1" applyBorder="1" applyAlignment="1" applyProtection="1">
      <alignment horizontal="right"/>
      <protection hidden="1"/>
    </xf>
    <xf numFmtId="40" fontId="6" fillId="4" borderId="15" xfId="0" applyNumberFormat="1" applyFont="1" applyFill="1" applyBorder="1" applyAlignment="1" applyProtection="1">
      <alignment horizontal="right"/>
      <protection hidden="1"/>
    </xf>
    <xf numFmtId="37" fontId="6" fillId="3" borderId="19" xfId="0" applyNumberFormat="1" applyFont="1" applyFill="1" applyBorder="1" applyProtection="1"/>
    <xf numFmtId="39" fontId="6" fillId="4" borderId="15" xfId="0" applyNumberFormat="1" applyFont="1" applyFill="1" applyBorder="1" applyProtection="1"/>
    <xf numFmtId="3" fontId="6" fillId="0" borderId="37" xfId="0" applyNumberFormat="1" applyFont="1" applyBorder="1" applyProtection="1"/>
    <xf numFmtId="39" fontId="6" fillId="0" borderId="38" xfId="0" applyNumberFormat="1" applyFont="1" applyBorder="1" applyProtection="1">
      <protection locked="0"/>
    </xf>
    <xf numFmtId="39" fontId="6" fillId="0" borderId="39" xfId="0" applyNumberFormat="1" applyFont="1" applyBorder="1" applyProtection="1">
      <protection locked="0"/>
    </xf>
    <xf numFmtId="39" fontId="6" fillId="3" borderId="40" xfId="0" applyNumberFormat="1" applyFont="1" applyFill="1" applyBorder="1" applyAlignment="1" applyProtection="1">
      <alignment horizontal="center"/>
    </xf>
    <xf numFmtId="39" fontId="6" fillId="4" borderId="38" xfId="0" applyNumberFormat="1" applyFont="1" applyFill="1" applyBorder="1" applyProtection="1"/>
    <xf numFmtId="39" fontId="6" fillId="0" borderId="41" xfId="0" applyNumberFormat="1" applyFont="1" applyBorder="1" applyProtection="1">
      <protection locked="0"/>
    </xf>
    <xf numFmtId="39" fontId="6" fillId="4" borderId="42" xfId="0" applyNumberFormat="1" applyFont="1" applyFill="1" applyBorder="1" applyProtection="1"/>
    <xf numFmtId="39" fontId="6" fillId="0" borderId="43" xfId="0" applyNumberFormat="1" applyFont="1" applyBorder="1" applyProtection="1">
      <protection locked="0"/>
    </xf>
    <xf numFmtId="39" fontId="6" fillId="4" borderId="44" xfId="0" applyNumberFormat="1" applyFont="1" applyFill="1" applyBorder="1" applyProtection="1"/>
    <xf numFmtId="39" fontId="6" fillId="3" borderId="45" xfId="0" applyNumberFormat="1" applyFont="1" applyFill="1" applyBorder="1" applyAlignment="1" applyProtection="1">
      <alignment horizontal="center"/>
    </xf>
    <xf numFmtId="39" fontId="6" fillId="3" borderId="46" xfId="0" applyNumberFormat="1" applyFont="1" applyFill="1" applyBorder="1" applyAlignment="1" applyProtection="1">
      <alignment horizontal="center"/>
    </xf>
    <xf numFmtId="39" fontId="6" fillId="4" borderId="41" xfId="0" applyNumberFormat="1" applyFont="1" applyFill="1" applyBorder="1" applyProtection="1"/>
    <xf numFmtId="3" fontId="6" fillId="0" borderId="47" xfId="0" applyNumberFormat="1" applyFont="1" applyBorder="1" applyProtection="1"/>
    <xf numFmtId="3" fontId="6" fillId="3" borderId="48" xfId="0" applyNumberFormat="1" applyFont="1" applyFill="1" applyBorder="1" applyProtection="1"/>
    <xf numFmtId="39" fontId="6" fillId="0" borderId="2" xfId="0" applyNumberFormat="1" applyFont="1" applyBorder="1" applyAlignment="1" applyProtection="1">
      <alignment horizontal="right"/>
      <protection locked="0"/>
    </xf>
    <xf numFmtId="39" fontId="6" fillId="0" borderId="0" xfId="0" applyNumberFormat="1" applyFont="1" applyBorder="1" applyAlignment="1" applyProtection="1">
      <alignment horizontal="right"/>
    </xf>
    <xf numFmtId="40" fontId="6" fillId="0" borderId="25" xfId="0" applyNumberFormat="1" applyFont="1" applyFill="1" applyBorder="1" applyAlignment="1" applyProtection="1">
      <alignment horizontal="right"/>
    </xf>
    <xf numFmtId="40" fontId="6" fillId="0" borderId="21" xfId="0" applyNumberFormat="1" applyFont="1" applyFill="1" applyBorder="1" applyAlignment="1" applyProtection="1">
      <alignment horizontal="right"/>
    </xf>
    <xf numFmtId="0" fontId="14" fillId="0" borderId="0" xfId="0" applyNumberFormat="1" applyFont="1" applyBorder="1" applyProtection="1"/>
    <xf numFmtId="39" fontId="6" fillId="4" borderId="22" xfId="0" applyNumberFormat="1" applyFont="1" applyFill="1" applyBorder="1" applyProtection="1">
      <protection hidden="1"/>
    </xf>
    <xf numFmtId="39" fontId="6" fillId="4" borderId="23" xfId="0" applyNumberFormat="1" applyFont="1" applyFill="1" applyBorder="1" applyProtection="1">
      <protection hidden="1"/>
    </xf>
    <xf numFmtId="40" fontId="6" fillId="4" borderId="24" xfId="0" applyNumberFormat="1" applyFont="1" applyFill="1" applyBorder="1" applyAlignment="1" applyProtection="1">
      <alignment horizontal="right"/>
      <protection hidden="1"/>
    </xf>
    <xf numFmtId="0" fontId="6" fillId="0" borderId="36" xfId="0" applyFont="1" applyFill="1" applyBorder="1" applyAlignment="1" applyProtection="1">
      <alignment horizontal="center"/>
    </xf>
    <xf numFmtId="49" fontId="6" fillId="2" borderId="5" xfId="0" applyNumberFormat="1" applyFont="1" applyFill="1" applyBorder="1" applyAlignment="1" applyProtection="1">
      <alignment horizontal="center"/>
    </xf>
    <xf numFmtId="49" fontId="6" fillId="2" borderId="6" xfId="0" applyNumberFormat="1" applyFont="1" applyFill="1" applyBorder="1" applyAlignment="1" applyProtection="1">
      <alignment horizontal="center"/>
    </xf>
    <xf numFmtId="49" fontId="7" fillId="2" borderId="6" xfId="0" applyNumberFormat="1" applyFont="1" applyFill="1" applyBorder="1" applyAlignment="1" applyProtection="1">
      <alignment horizontal="left"/>
    </xf>
    <xf numFmtId="40" fontId="7" fillId="2" borderId="28" xfId="0" applyNumberFormat="1" applyFont="1" applyFill="1" applyBorder="1" applyAlignment="1" applyProtection="1">
      <alignment horizontal="center"/>
    </xf>
    <xf numFmtId="39" fontId="7" fillId="2" borderId="12" xfId="0" applyNumberFormat="1" applyFont="1" applyFill="1" applyBorder="1" applyAlignment="1" applyProtection="1">
      <alignment horizontal="center"/>
    </xf>
    <xf numFmtId="40" fontId="6" fillId="2" borderId="27" xfId="0" applyNumberFormat="1" applyFont="1" applyFill="1" applyBorder="1" applyAlignment="1" applyProtection="1">
      <alignment horizontal="right"/>
    </xf>
    <xf numFmtId="0" fontId="6" fillId="0" borderId="5" xfId="0" applyFont="1" applyBorder="1" applyAlignment="1" applyProtection="1">
      <alignment horizontal="center"/>
    </xf>
    <xf numFmtId="0" fontId="6" fillId="0" borderId="50" xfId="0" applyNumberFormat="1" applyFont="1" applyBorder="1" applyProtection="1"/>
    <xf numFmtId="0" fontId="6" fillId="0" borderId="51" xfId="0" applyNumberFormat="1" applyFont="1" applyBorder="1" applyProtection="1"/>
    <xf numFmtId="0" fontId="6" fillId="0" borderId="52" xfId="0" applyNumberFormat="1" applyFont="1" applyBorder="1" applyAlignment="1" applyProtection="1">
      <alignment horizontal="center"/>
    </xf>
    <xf numFmtId="40" fontId="6" fillId="4" borderId="53" xfId="0" applyNumberFormat="1" applyFont="1" applyFill="1" applyBorder="1" applyAlignment="1" applyProtection="1">
      <alignment horizontal="right"/>
    </xf>
    <xf numFmtId="39" fontId="6" fillId="4" borderId="54" xfId="0" applyNumberFormat="1" applyFont="1" applyFill="1" applyBorder="1" applyProtection="1"/>
    <xf numFmtId="40" fontId="6" fillId="0" borderId="27" xfId="0" applyNumberFormat="1" applyFont="1" applyFill="1" applyBorder="1" applyAlignment="1" applyProtection="1">
      <alignment horizontal="right"/>
      <protection locked="0"/>
    </xf>
    <xf numFmtId="0" fontId="6" fillId="0" borderId="20" xfId="0" applyFont="1" applyFill="1" applyBorder="1" applyAlignment="1" applyProtection="1">
      <alignment horizontal="left"/>
    </xf>
    <xf numFmtId="40" fontId="6" fillId="0" borderId="21" xfId="0" applyNumberFormat="1" applyFont="1" applyFill="1" applyBorder="1" applyAlignment="1" applyProtection="1">
      <alignment horizontal="right"/>
      <protection locked="0"/>
    </xf>
    <xf numFmtId="40" fontId="6" fillId="0" borderId="25" xfId="0" applyNumberFormat="1" applyFont="1" applyBorder="1" applyAlignment="1" applyProtection="1">
      <alignment horizontal="right"/>
    </xf>
    <xf numFmtId="40" fontId="15" fillId="4" borderId="27" xfId="0" applyNumberFormat="1" applyFont="1" applyFill="1" applyBorder="1" applyAlignment="1" applyProtection="1">
      <alignment horizontal="left"/>
      <protection hidden="1"/>
    </xf>
    <xf numFmtId="0" fontId="16" fillId="0" borderId="0" xfId="0" applyFo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7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40" fontId="6" fillId="4" borderId="20" xfId="0" applyNumberFormat="1" applyFont="1" applyFill="1" applyBorder="1" applyAlignment="1" applyProtection="1">
      <alignment horizontal="right"/>
      <protection hidden="1"/>
    </xf>
    <xf numFmtId="40" fontId="6" fillId="4" borderId="22" xfId="0" applyNumberFormat="1" applyFont="1" applyFill="1" applyBorder="1" applyAlignment="1" applyProtection="1">
      <alignment horizontal="right"/>
      <protection hidden="1"/>
    </xf>
    <xf numFmtId="49" fontId="6" fillId="0" borderId="0" xfId="0" quotePrefix="1" applyNumberFormat="1" applyFont="1" applyBorder="1" applyProtection="1"/>
    <xf numFmtId="0" fontId="22" fillId="0" borderId="0" xfId="0" applyNumberFormat="1" applyFont="1" applyBorder="1" applyProtection="1"/>
    <xf numFmtId="40" fontId="6" fillId="0" borderId="0" xfId="0" applyNumberFormat="1" applyFont="1" applyProtection="1"/>
    <xf numFmtId="0" fontId="7" fillId="0" borderId="0" xfId="0" applyNumberFormat="1" applyFont="1" applyBorder="1" applyAlignment="1" applyProtection="1">
      <alignment horizontal="right"/>
    </xf>
    <xf numFmtId="0" fontId="0" fillId="0" borderId="0" xfId="0" quotePrefix="1"/>
    <xf numFmtId="0" fontId="7" fillId="0" borderId="0" xfId="0" applyNumberFormat="1" applyFont="1" applyBorder="1" applyAlignment="1" applyProtection="1"/>
    <xf numFmtId="0" fontId="6" fillId="0" borderId="0" xfId="0" applyNumberFormat="1" applyFont="1" applyBorder="1" applyAlignment="1" applyProtection="1"/>
    <xf numFmtId="3" fontId="6" fillId="0" borderId="0" xfId="0" applyNumberFormat="1" applyFont="1" applyBorder="1" applyAlignment="1" applyProtection="1"/>
    <xf numFmtId="40" fontId="24" fillId="8" borderId="23" xfId="0" applyNumberFormat="1" applyFont="1" applyFill="1" applyBorder="1" applyAlignment="1" applyProtection="1">
      <alignment horizontal="right"/>
      <protection hidden="1"/>
    </xf>
    <xf numFmtId="0" fontId="25" fillId="0" borderId="19" xfId="1" applyFont="1" applyBorder="1" applyAlignment="1" applyProtection="1"/>
    <xf numFmtId="0" fontId="25" fillId="0" borderId="16" xfId="1" applyFont="1" applyBorder="1" applyAlignment="1" applyProtection="1"/>
    <xf numFmtId="49" fontId="8" fillId="0" borderId="0" xfId="0" applyNumberFormat="1" applyFont="1" applyBorder="1" applyAlignment="1" applyProtection="1">
      <alignment horizontal="right"/>
    </xf>
    <xf numFmtId="0" fontId="26" fillId="0" borderId="0" xfId="1" applyFont="1" applyAlignment="1" applyProtection="1">
      <alignment horizontal="centerContinuous"/>
    </xf>
    <xf numFmtId="0" fontId="25" fillId="0" borderId="0" xfId="1" applyFont="1" applyAlignment="1" applyProtection="1">
      <alignment horizontal="centerContinuous"/>
    </xf>
    <xf numFmtId="0" fontId="25" fillId="0" borderId="19" xfId="1" applyFont="1" applyBorder="1" applyAlignment="1" applyProtection="1">
      <alignment horizontal="centerContinuous" wrapText="1"/>
    </xf>
    <xf numFmtId="0" fontId="25" fillId="0" borderId="0" xfId="1" applyFont="1" applyAlignment="1" applyProtection="1"/>
    <xf numFmtId="0" fontId="27" fillId="0" borderId="0" xfId="0" applyFont="1" applyAlignment="1" applyProtection="1"/>
    <xf numFmtId="0" fontId="25" fillId="0" borderId="0" xfId="1" quotePrefix="1" applyFont="1" applyBorder="1" applyAlignment="1" applyProtection="1">
      <alignment horizontal="left"/>
    </xf>
    <xf numFmtId="0" fontId="25" fillId="0" borderId="18" xfId="1" applyFont="1" applyBorder="1" applyAlignment="1" applyProtection="1"/>
    <xf numFmtId="0" fontId="25" fillId="0" borderId="0" xfId="1" quotePrefix="1" applyFont="1" applyAlignment="1" applyProtection="1">
      <alignment horizontal="left"/>
    </xf>
    <xf numFmtId="0" fontId="27" fillId="0" borderId="0" xfId="1" applyFont="1" applyAlignment="1" applyProtection="1"/>
    <xf numFmtId="0" fontId="25" fillId="0" borderId="0" xfId="0" applyFont="1" applyAlignment="1" applyProtection="1">
      <alignment horizontal="centerContinuous" vertical="top"/>
    </xf>
    <xf numFmtId="40" fontId="6" fillId="5" borderId="23" xfId="0" applyNumberFormat="1" applyFont="1" applyFill="1" applyBorder="1" applyAlignment="1" applyProtection="1">
      <alignment horizontal="right"/>
      <protection locked="0"/>
    </xf>
    <xf numFmtId="40" fontId="6" fillId="5" borderId="21" xfId="0" applyNumberFormat="1" applyFont="1" applyFill="1" applyBorder="1" applyAlignment="1" applyProtection="1">
      <alignment horizontal="right"/>
      <protection hidden="1"/>
    </xf>
    <xf numFmtId="40" fontId="23" fillId="5" borderId="21" xfId="0" applyNumberFormat="1" applyFont="1" applyFill="1" applyBorder="1" applyAlignment="1" applyProtection="1">
      <alignment vertical="top"/>
      <protection hidden="1"/>
    </xf>
    <xf numFmtId="40" fontId="23" fillId="5" borderId="21" xfId="0" applyNumberFormat="1" applyFont="1" applyFill="1" applyBorder="1" applyAlignment="1" applyProtection="1">
      <alignment vertical="top" wrapText="1"/>
      <protection hidden="1"/>
    </xf>
    <xf numFmtId="40" fontId="6" fillId="5" borderId="26" xfId="0" applyNumberFormat="1" applyFont="1" applyFill="1" applyBorder="1" applyAlignment="1" applyProtection="1">
      <alignment horizontal="right"/>
      <protection locked="0"/>
    </xf>
    <xf numFmtId="40" fontId="6" fillId="5" borderId="27" xfId="0" applyNumberFormat="1" applyFont="1" applyFill="1" applyBorder="1" applyAlignment="1" applyProtection="1">
      <alignment horizontal="right"/>
      <protection locked="0"/>
    </xf>
    <xf numFmtId="40" fontId="6" fillId="5" borderId="24" xfId="0" applyNumberFormat="1" applyFont="1" applyFill="1" applyBorder="1" applyAlignment="1" applyProtection="1">
      <alignment horizontal="right"/>
      <protection locked="0"/>
    </xf>
    <xf numFmtId="0" fontId="3" fillId="0" borderId="6" xfId="1" applyFont="1" applyBorder="1" applyAlignment="1" applyProtection="1">
      <alignment horizontal="left"/>
      <protection locked="0"/>
    </xf>
    <xf numFmtId="49" fontId="6" fillId="0" borderId="6" xfId="0" applyNumberFormat="1" applyFont="1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6" fillId="0" borderId="2" xfId="0" applyNumberFormat="1" applyFont="1" applyBorder="1" applyAlignment="1" applyProtection="1">
      <alignment horizontal="left"/>
    </xf>
    <xf numFmtId="0" fontId="0" fillId="0" borderId="2" xfId="0" applyNumberFormat="1" applyBorder="1" applyAlignment="1" applyProtection="1">
      <alignment horizontal="left"/>
    </xf>
    <xf numFmtId="49" fontId="6" fillId="0" borderId="2" xfId="0" applyNumberFormat="1" applyFont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26" fillId="0" borderId="49" xfId="1" applyFont="1" applyBorder="1" applyAlignment="1" applyProtection="1">
      <alignment horizontal="left" wrapText="1"/>
    </xf>
    <xf numFmtId="0" fontId="3" fillId="0" borderId="15" xfId="0" applyFont="1" applyBorder="1" applyAlignment="1" applyProtection="1">
      <alignment horizontal="right"/>
    </xf>
    <xf numFmtId="0" fontId="0" fillId="0" borderId="15" xfId="0" applyBorder="1" applyAlignment="1"/>
    <xf numFmtId="0" fontId="27" fillId="0" borderId="0" xfId="0" applyFont="1" applyAlignment="1" applyProtection="1">
      <alignment horizontal="left"/>
    </xf>
    <xf numFmtId="0" fontId="3" fillId="0" borderId="6" xfId="1" applyFont="1" applyBorder="1" applyAlignment="1" applyProtection="1">
      <alignment horizontal="left"/>
    </xf>
    <xf numFmtId="0" fontId="8" fillId="0" borderId="0" xfId="0" applyNumberFormat="1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10" fillId="0" borderId="0" xfId="0" quotePrefix="1" applyNumberFormat="1" applyFont="1" applyBorder="1" applyAlignment="1" applyProtection="1">
      <alignment horizontal="center"/>
    </xf>
    <xf numFmtId="0" fontId="10" fillId="0" borderId="0" xfId="0" applyFont="1" applyBorder="1" applyAlignment="1" applyProtection="1"/>
    <xf numFmtId="0" fontId="3" fillId="0" borderId="0" xfId="0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right"/>
    </xf>
    <xf numFmtId="49" fontId="6" fillId="0" borderId="2" xfId="0" applyNumberFormat="1" applyFont="1" applyBorder="1" applyAlignment="1" applyProtection="1">
      <alignment horizontal="left"/>
    </xf>
    <xf numFmtId="0" fontId="3" fillId="0" borderId="2" xfId="0" applyNumberFormat="1" applyFont="1" applyBorder="1" applyAlignment="1" applyProtection="1">
      <alignment horizontal="left"/>
    </xf>
    <xf numFmtId="49" fontId="6" fillId="0" borderId="6" xfId="0" applyNumberFormat="1" applyFont="1" applyBorder="1" applyAlignment="1" applyProtection="1">
      <alignment horizontal="left"/>
    </xf>
    <xf numFmtId="0" fontId="0" fillId="0" borderId="6" xfId="0" applyNumberFormat="1" applyBorder="1" applyAlignment="1">
      <alignment horizontal="left"/>
    </xf>
    <xf numFmtId="0" fontId="7" fillId="0" borderId="0" xfId="0" applyNumberFormat="1" applyFont="1" applyBorder="1" applyAlignment="1" applyProtection="1"/>
    <xf numFmtId="0" fontId="21" fillId="0" borderId="0" xfId="0" applyFont="1" applyAlignment="1"/>
    <xf numFmtId="0" fontId="21" fillId="0" borderId="20" xfId="0" applyFont="1" applyBorder="1" applyAlignment="1"/>
  </cellXfs>
  <cellStyles count="2">
    <cellStyle name="Normal" xfId="0" builtinId="0"/>
    <cellStyle name="Normal_SBE Alternate Form Cert Page 8 15 03" xfId="1"/>
  </cellStyles>
  <dxfs count="15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66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  <fill>
        <patternFill>
          <bgColor rgb="FFFF66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53"/>
        </patternFill>
      </fill>
    </dxf>
    <dxf>
      <fill>
        <patternFill>
          <bgColor indexed="27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61"/>
  <sheetViews>
    <sheetView showGridLines="0" showRowColHeaders="0" showRuler="0" zoomScale="104" zoomScaleNormal="104" zoomScalePageLayoutView="104" workbookViewId="0">
      <selection activeCell="F32" sqref="F32:J32"/>
    </sheetView>
  </sheetViews>
  <sheetFormatPr defaultColWidth="0" defaultRowHeight="12.5" zeroHeight="1" x14ac:dyDescent="0.25"/>
  <cols>
    <col min="1" max="1" width="1.36328125" style="4" customWidth="1"/>
    <col min="2" max="2" width="3.54296875" style="5" customWidth="1"/>
    <col min="3" max="3" width="1.54296875" style="4" customWidth="1"/>
    <col min="4" max="4" width="1.08984375" style="5" customWidth="1"/>
    <col min="5" max="5" width="8" style="4" customWidth="1"/>
    <col min="6" max="6" width="9.08984375" style="4" customWidth="1"/>
    <col min="7" max="7" width="21.36328125" style="4" customWidth="1"/>
    <col min="8" max="8" width="4.6328125" style="4" customWidth="1"/>
    <col min="9" max="9" width="9.08984375" style="4" customWidth="1"/>
    <col min="10" max="10" width="10.54296875" style="4" customWidth="1"/>
    <col min="11" max="11" width="2.6328125" style="4" customWidth="1"/>
    <col min="12" max="12" width="9.08984375" style="4" customWidth="1"/>
    <col min="13" max="13" width="7.36328125" style="4" customWidth="1"/>
    <col min="14" max="14" width="3.6328125" style="4" customWidth="1"/>
    <col min="15" max="15" width="6.90625" style="4" customWidth="1"/>
    <col min="16" max="16" width="31.90625" style="4" customWidth="1"/>
    <col min="17" max="17" width="6.36328125" style="4" customWidth="1"/>
    <col min="18" max="16384" width="0" style="4" hidden="1"/>
  </cols>
  <sheetData>
    <row r="1" spans="1:16" s="2" customFormat="1" ht="15.5" x14ac:dyDescent="0.35">
      <c r="A1" s="255" t="s">
        <v>200</v>
      </c>
      <c r="B1" s="63"/>
      <c r="C1" s="63"/>
      <c r="D1" s="63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s="2" customFormat="1" ht="15.5" x14ac:dyDescent="0.35">
      <c r="A2" s="255" t="s">
        <v>118</v>
      </c>
      <c r="B2" s="63"/>
      <c r="C2" s="63"/>
      <c r="D2" s="63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</row>
    <row r="3" spans="1:16" s="2" customFormat="1" ht="14" x14ac:dyDescent="0.3">
      <c r="A3" s="64" t="s">
        <v>317</v>
      </c>
      <c r="B3" s="63"/>
      <c r="C3" s="63"/>
      <c r="D3" s="63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1:16" s="2" customFormat="1" ht="8.25" customHeight="1" x14ac:dyDescent="0.3">
      <c r="A4" s="62"/>
      <c r="B4" s="63"/>
      <c r="C4" s="63"/>
      <c r="D4" s="63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</row>
    <row r="5" spans="1:16" ht="15.5" x14ac:dyDescent="0.35">
      <c r="A5" s="255" t="s">
        <v>130</v>
      </c>
      <c r="B5" s="63"/>
      <c r="C5" s="63"/>
      <c r="D5" s="63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</row>
    <row r="6" spans="1:16" ht="8.25" customHeight="1" x14ac:dyDescent="0.3">
      <c r="A6" s="65"/>
      <c r="B6" s="66"/>
      <c r="C6" s="65"/>
      <c r="D6" s="67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</row>
    <row r="7" spans="1:16" s="3" customFormat="1" ht="17.25" customHeight="1" x14ac:dyDescent="0.35">
      <c r="A7" s="9"/>
      <c r="B7" s="69"/>
      <c r="C7" s="9"/>
      <c r="D7" s="9"/>
      <c r="E7" s="70"/>
      <c r="F7" s="70"/>
      <c r="G7" s="70"/>
      <c r="H7" s="70"/>
      <c r="I7" s="70"/>
      <c r="J7" s="254" t="s">
        <v>127</v>
      </c>
      <c r="K7" s="273" t="s">
        <v>323</v>
      </c>
      <c r="L7" s="274"/>
      <c r="M7" s="274"/>
      <c r="N7" s="274"/>
      <c r="O7" s="274"/>
      <c r="P7" s="274"/>
    </row>
    <row r="8" spans="1:16" s="3" customFormat="1" ht="17.25" customHeight="1" x14ac:dyDescent="0.35">
      <c r="A8" s="9"/>
      <c r="B8" s="69"/>
      <c r="C8" s="9"/>
      <c r="D8" s="9"/>
      <c r="E8" s="70"/>
      <c r="F8" s="70"/>
      <c r="G8" s="70"/>
      <c r="H8" s="70"/>
      <c r="I8" s="70"/>
      <c r="J8" s="254" t="s">
        <v>156</v>
      </c>
      <c r="K8" s="275" t="str">
        <f ca="1">TRIM(LEFT(SUBSTITUTE(MID(CELL("filename",A1),FIND("[",CELL("filename",A1))+1,255),".xl",REPT(" ",255)),255))</f>
        <v>36750510139188</v>
      </c>
      <c r="L8" s="276"/>
      <c r="M8" s="276"/>
      <c r="N8" s="276"/>
      <c r="O8" s="276"/>
      <c r="P8" s="276"/>
    </row>
    <row r="9" spans="1:16" s="3" customFormat="1" ht="17.25" customHeight="1" x14ac:dyDescent="0.35">
      <c r="A9" s="9"/>
      <c r="B9" s="69"/>
      <c r="C9" s="9"/>
      <c r="D9" s="9"/>
      <c r="E9" s="70"/>
      <c r="F9" s="70"/>
      <c r="G9" s="70"/>
      <c r="H9" s="70"/>
      <c r="I9" s="70"/>
      <c r="J9" s="254" t="s">
        <v>128</v>
      </c>
      <c r="K9" s="277" t="s">
        <v>324</v>
      </c>
      <c r="L9" s="278"/>
      <c r="M9" s="278"/>
      <c r="N9" s="278"/>
      <c r="O9" s="278"/>
      <c r="P9" s="278"/>
    </row>
    <row r="10" spans="1:16" s="3" customFormat="1" ht="17.25" customHeight="1" x14ac:dyDescent="0.35">
      <c r="A10" s="9"/>
      <c r="B10" s="69"/>
      <c r="C10" s="9"/>
      <c r="D10" s="9"/>
      <c r="E10" s="70"/>
      <c r="F10" s="70"/>
      <c r="G10" s="70"/>
      <c r="H10" s="70"/>
      <c r="I10" s="70"/>
      <c r="J10" s="254" t="s">
        <v>129</v>
      </c>
      <c r="K10" s="277" t="s">
        <v>325</v>
      </c>
      <c r="L10" s="278"/>
      <c r="M10" s="278"/>
      <c r="N10" s="278"/>
      <c r="O10" s="278"/>
      <c r="P10" s="278"/>
    </row>
    <row r="11" spans="1:16" s="3" customFormat="1" ht="18.75" customHeight="1" x14ac:dyDescent="0.35">
      <c r="A11" s="9"/>
      <c r="B11" s="69"/>
      <c r="C11" s="9"/>
      <c r="D11" s="9"/>
      <c r="E11" s="70"/>
      <c r="F11" s="70"/>
      <c r="G11" s="70"/>
      <c r="H11" s="70"/>
      <c r="I11" s="70"/>
      <c r="J11" s="254" t="s">
        <v>157</v>
      </c>
      <c r="K11" s="277" t="s">
        <v>326</v>
      </c>
      <c r="L11" s="278"/>
      <c r="M11" s="278"/>
      <c r="N11" s="278"/>
      <c r="O11" s="278"/>
      <c r="P11" s="278"/>
    </row>
    <row r="12" spans="1:16" s="3" customFormat="1" ht="18.75" customHeight="1" thickBot="1" x14ac:dyDescent="0.35">
      <c r="A12" s="9"/>
      <c r="B12" s="69"/>
      <c r="C12" s="9"/>
      <c r="D12" s="9"/>
      <c r="E12" s="280"/>
      <c r="F12" s="281"/>
      <c r="G12" s="281"/>
      <c r="H12" s="281"/>
      <c r="I12" s="281"/>
      <c r="J12" s="281"/>
      <c r="K12" s="281"/>
      <c r="L12" s="281"/>
      <c r="M12" s="281"/>
      <c r="N12" s="281"/>
      <c r="O12" s="281"/>
      <c r="P12" s="281"/>
    </row>
    <row r="13" spans="1:16" ht="39.75" customHeight="1" thickTop="1" x14ac:dyDescent="0.35">
      <c r="A13" s="75"/>
      <c r="B13" s="122"/>
      <c r="C13" s="75"/>
      <c r="E13" s="279" t="s">
        <v>192</v>
      </c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</row>
    <row r="14" spans="1:16" ht="20.25" customHeight="1" x14ac:dyDescent="0.35">
      <c r="A14" s="65"/>
      <c r="B14" s="66"/>
      <c r="C14" s="65"/>
      <c r="D14" s="66"/>
      <c r="E14" s="260" t="s">
        <v>183</v>
      </c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66"/>
    </row>
    <row r="15" spans="1:16" ht="15.75" customHeight="1" x14ac:dyDescent="0.25">
      <c r="A15" s="65"/>
      <c r="B15" s="66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</row>
    <row r="16" spans="1:16" ht="15.5" x14ac:dyDescent="0.35">
      <c r="A16" s="65"/>
      <c r="B16" s="66"/>
      <c r="C16" s="65"/>
      <c r="D16" s="258"/>
      <c r="E16" s="263" t="s">
        <v>294</v>
      </c>
      <c r="F16" s="88"/>
      <c r="G16" s="88"/>
      <c r="H16" s="88"/>
      <c r="I16" s="282" t="s">
        <v>295</v>
      </c>
      <c r="J16" s="282"/>
      <c r="K16" s="282"/>
      <c r="L16" s="282"/>
      <c r="M16" s="88"/>
      <c r="N16" s="88" t="s">
        <v>0</v>
      </c>
      <c r="O16" s="259" t="s">
        <v>141</v>
      </c>
      <c r="P16" s="88"/>
    </row>
    <row r="17" spans="1:20" ht="29.25" customHeight="1" x14ac:dyDescent="0.3">
      <c r="A17" s="65"/>
      <c r="B17" s="66"/>
      <c r="C17" s="65"/>
      <c r="D17" s="66"/>
      <c r="E17" s="272" t="s">
        <v>338</v>
      </c>
      <c r="F17" s="272"/>
      <c r="G17" s="272"/>
      <c r="H17" s="66"/>
      <c r="I17" s="272" t="s">
        <v>327</v>
      </c>
      <c r="J17" s="272"/>
      <c r="K17" s="272"/>
      <c r="L17" s="272"/>
      <c r="M17" s="272"/>
      <c r="N17" s="66"/>
      <c r="O17" s="272" t="s">
        <v>331</v>
      </c>
      <c r="P17" s="272"/>
    </row>
    <row r="18" spans="1:20" ht="15.5" x14ac:dyDescent="0.35">
      <c r="A18" s="65"/>
      <c r="B18" s="66"/>
      <c r="C18" s="65"/>
      <c r="D18" s="66"/>
      <c r="E18" s="252" t="s">
        <v>142</v>
      </c>
      <c r="F18" s="89"/>
      <c r="G18" s="89"/>
      <c r="H18" s="86"/>
      <c r="I18" s="252" t="s">
        <v>142</v>
      </c>
      <c r="J18" s="90"/>
      <c r="K18" s="89"/>
      <c r="L18" s="89" t="s">
        <v>0</v>
      </c>
      <c r="M18" s="89"/>
      <c r="N18" s="138" t="s">
        <v>0</v>
      </c>
      <c r="O18" s="252" t="s">
        <v>142</v>
      </c>
      <c r="P18" s="89"/>
    </row>
    <row r="19" spans="1:20" ht="28.5" customHeight="1" x14ac:dyDescent="0.3">
      <c r="A19" s="65"/>
      <c r="B19" s="66"/>
      <c r="C19" s="65"/>
      <c r="D19" s="66"/>
      <c r="E19" s="272" t="s">
        <v>339</v>
      </c>
      <c r="F19" s="272"/>
      <c r="G19" s="272"/>
      <c r="H19" s="66"/>
      <c r="I19" s="272" t="s">
        <v>328</v>
      </c>
      <c r="J19" s="272"/>
      <c r="K19" s="272"/>
      <c r="L19" s="272"/>
      <c r="M19" s="272"/>
      <c r="N19" s="66"/>
      <c r="O19" s="272" t="s">
        <v>332</v>
      </c>
      <c r="P19" s="272"/>
    </row>
    <row r="20" spans="1:20" ht="15.5" x14ac:dyDescent="0.35">
      <c r="A20" s="65"/>
      <c r="B20" s="66"/>
      <c r="C20" s="65"/>
      <c r="D20" s="66"/>
      <c r="E20" s="252" t="s">
        <v>143</v>
      </c>
      <c r="F20" s="89"/>
      <c r="G20" s="89"/>
      <c r="H20" s="86"/>
      <c r="I20" s="252" t="s">
        <v>143</v>
      </c>
      <c r="J20" s="89"/>
      <c r="K20" s="89"/>
      <c r="L20" s="89" t="s">
        <v>0</v>
      </c>
      <c r="M20" s="89"/>
      <c r="N20" s="86" t="s">
        <v>0</v>
      </c>
      <c r="O20" s="252" t="s">
        <v>143</v>
      </c>
      <c r="P20" s="90"/>
    </row>
    <row r="21" spans="1:20" ht="28.5" customHeight="1" x14ac:dyDescent="0.3">
      <c r="A21" s="65"/>
      <c r="B21" s="66"/>
      <c r="C21" s="65"/>
      <c r="D21" s="66"/>
      <c r="E21" s="272" t="s">
        <v>340</v>
      </c>
      <c r="F21" s="272"/>
      <c r="G21" s="272"/>
      <c r="H21" s="66"/>
      <c r="I21" s="272" t="s">
        <v>329</v>
      </c>
      <c r="J21" s="272"/>
      <c r="K21" s="272"/>
      <c r="L21" s="272"/>
      <c r="M21" s="272"/>
      <c r="N21" s="66"/>
      <c r="O21" s="272" t="s">
        <v>333</v>
      </c>
      <c r="P21" s="272"/>
    </row>
    <row r="22" spans="1:20" s="1" customFormat="1" ht="15.5" x14ac:dyDescent="0.35">
      <c r="A22" s="91"/>
      <c r="B22" s="76"/>
      <c r="C22" s="91"/>
      <c r="D22" s="76"/>
      <c r="E22" s="252" t="s">
        <v>144</v>
      </c>
      <c r="F22" s="89"/>
      <c r="G22" s="89"/>
      <c r="H22" s="86"/>
      <c r="I22" s="252" t="s">
        <v>144</v>
      </c>
      <c r="J22" s="89"/>
      <c r="K22" s="89"/>
      <c r="L22" s="89" t="s">
        <v>0</v>
      </c>
      <c r="M22" s="89"/>
      <c r="N22" s="86" t="s">
        <v>0</v>
      </c>
      <c r="O22" s="252" t="s">
        <v>144</v>
      </c>
      <c r="P22" s="89"/>
    </row>
    <row r="23" spans="1:20" ht="28.5" customHeight="1" x14ac:dyDescent="0.3">
      <c r="A23" s="65"/>
      <c r="B23" s="66"/>
      <c r="C23" s="65"/>
      <c r="D23" s="66"/>
      <c r="E23" s="272" t="s">
        <v>341</v>
      </c>
      <c r="F23" s="272"/>
      <c r="G23" s="272"/>
      <c r="H23" s="66"/>
      <c r="I23" s="272" t="s">
        <v>330</v>
      </c>
      <c r="J23" s="272"/>
      <c r="K23" s="272"/>
      <c r="L23" s="272"/>
      <c r="M23" s="272"/>
      <c r="N23" s="66"/>
      <c r="O23" s="272" t="s">
        <v>334</v>
      </c>
      <c r="P23" s="272"/>
    </row>
    <row r="24" spans="1:20" s="1" customFormat="1" ht="15.5" x14ac:dyDescent="0.35">
      <c r="A24" s="91"/>
      <c r="B24" s="76"/>
      <c r="C24" s="91"/>
      <c r="D24" s="76"/>
      <c r="E24" s="252" t="s">
        <v>312</v>
      </c>
      <c r="F24" s="89"/>
      <c r="G24" s="89"/>
      <c r="H24" s="86"/>
      <c r="I24" s="252" t="s">
        <v>312</v>
      </c>
      <c r="J24" s="90"/>
      <c r="K24" s="89"/>
      <c r="L24" s="89" t="s">
        <v>0</v>
      </c>
      <c r="M24" s="89"/>
      <c r="N24" s="86" t="s">
        <v>0</v>
      </c>
      <c r="O24" s="252" t="s">
        <v>312</v>
      </c>
      <c r="P24" s="89"/>
    </row>
    <row r="25" spans="1:20" ht="17.25" customHeight="1" thickBot="1" x14ac:dyDescent="0.35">
      <c r="A25" s="75"/>
      <c r="B25" s="122"/>
      <c r="C25" s="75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</row>
    <row r="26" spans="1:20" ht="33.75" customHeight="1" thickTop="1" x14ac:dyDescent="0.35">
      <c r="A26" s="65"/>
      <c r="B26" s="66"/>
      <c r="C26" s="65"/>
      <c r="D26" s="73"/>
      <c r="E26" s="253" t="s">
        <v>161</v>
      </c>
      <c r="F26" s="74"/>
      <c r="G26" s="74"/>
      <c r="H26" s="74"/>
      <c r="I26" s="74"/>
      <c r="J26" s="74"/>
      <c r="K26" s="73"/>
      <c r="L26" s="74"/>
      <c r="M26" s="74"/>
      <c r="N26" s="74"/>
      <c r="O26" s="74"/>
      <c r="P26" s="74"/>
    </row>
    <row r="27" spans="1:20" ht="25.5" customHeight="1" x14ac:dyDescent="0.3">
      <c r="A27" s="65" t="s">
        <v>159</v>
      </c>
      <c r="B27" s="46" t="s">
        <v>191</v>
      </c>
      <c r="C27" s="75" t="s">
        <v>160</v>
      </c>
      <c r="D27" s="76"/>
      <c r="E27" s="123" t="s">
        <v>318</v>
      </c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</row>
    <row r="28" spans="1:20" ht="15.5" x14ac:dyDescent="0.35">
      <c r="A28" s="65"/>
      <c r="B28" s="66"/>
      <c r="C28" s="65"/>
      <c r="D28" s="76"/>
      <c r="E28" s="258" t="s">
        <v>315</v>
      </c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</row>
    <row r="29" spans="1:20" ht="39" customHeight="1" x14ac:dyDescent="0.35">
      <c r="A29" s="65"/>
      <c r="B29" s="66"/>
      <c r="C29" s="65"/>
      <c r="D29" s="76"/>
      <c r="E29" s="258" t="s">
        <v>131</v>
      </c>
      <c r="F29" s="283"/>
      <c r="G29" s="283"/>
      <c r="H29" s="283"/>
      <c r="I29" s="283"/>
      <c r="J29" s="283"/>
      <c r="K29" s="76"/>
      <c r="L29" s="258" t="s">
        <v>132</v>
      </c>
      <c r="M29" s="283"/>
      <c r="N29" s="283"/>
      <c r="O29" s="283"/>
      <c r="P29" s="76"/>
    </row>
    <row r="30" spans="1:20" ht="15.5" x14ac:dyDescent="0.25">
      <c r="A30" s="65"/>
      <c r="B30" s="66"/>
      <c r="C30" s="65"/>
      <c r="D30" s="66"/>
      <c r="E30" s="65"/>
      <c r="F30" s="77" t="s">
        <v>133</v>
      </c>
      <c r="G30" s="264"/>
      <c r="H30" s="78"/>
      <c r="I30" s="78"/>
      <c r="J30" s="78"/>
      <c r="K30" s="66"/>
      <c r="L30" s="66"/>
      <c r="M30" s="66"/>
      <c r="N30" s="66"/>
      <c r="O30" s="66"/>
      <c r="P30" s="66"/>
      <c r="T30" s="92"/>
    </row>
    <row r="31" spans="1:20" ht="15.5" x14ac:dyDescent="0.25">
      <c r="A31" s="65"/>
      <c r="B31" s="66"/>
      <c r="C31" s="65"/>
      <c r="D31" s="66"/>
      <c r="E31" s="65"/>
      <c r="F31" s="77" t="s">
        <v>134</v>
      </c>
      <c r="G31" s="264"/>
      <c r="H31" s="78"/>
      <c r="I31" s="78"/>
      <c r="J31" s="78"/>
      <c r="K31" s="66"/>
      <c r="L31" s="66"/>
      <c r="M31" s="66"/>
      <c r="N31" s="66"/>
      <c r="O31" s="66"/>
      <c r="P31" s="66"/>
    </row>
    <row r="32" spans="1:20" ht="39" customHeight="1" x14ac:dyDescent="0.3">
      <c r="A32" s="65"/>
      <c r="B32" s="66"/>
      <c r="C32" s="65"/>
      <c r="D32" s="76"/>
      <c r="E32" s="79" t="s">
        <v>135</v>
      </c>
      <c r="F32" s="272" t="s">
        <v>335</v>
      </c>
      <c r="G32" s="272"/>
      <c r="H32" s="272"/>
      <c r="I32" s="272"/>
      <c r="J32" s="272"/>
      <c r="K32" s="76"/>
      <c r="L32" s="76" t="s">
        <v>136</v>
      </c>
      <c r="M32" s="272" t="s">
        <v>336</v>
      </c>
      <c r="N32" s="272"/>
      <c r="O32" s="272"/>
      <c r="P32" s="76"/>
    </row>
    <row r="33" spans="1:16" s="1" customFormat="1" ht="28.5" customHeight="1" x14ac:dyDescent="0.3">
      <c r="A33" s="80"/>
      <c r="B33" s="81"/>
      <c r="C33" s="80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</row>
    <row r="34" spans="1:16" ht="33.75" customHeight="1" x14ac:dyDescent="0.35">
      <c r="A34" s="65"/>
      <c r="B34" s="66"/>
      <c r="C34" s="65"/>
      <c r="D34" s="76"/>
      <c r="E34" s="261" t="s">
        <v>137</v>
      </c>
      <c r="F34" s="82"/>
      <c r="G34" s="82"/>
      <c r="H34" s="82"/>
      <c r="I34" s="82"/>
      <c r="J34" s="82"/>
      <c r="K34" s="76"/>
      <c r="L34" s="76"/>
      <c r="M34" s="82"/>
      <c r="N34" s="82"/>
      <c r="O34" s="82"/>
      <c r="P34" s="83"/>
    </row>
    <row r="35" spans="1:16" ht="25.5" customHeight="1" x14ac:dyDescent="0.35">
      <c r="A35" s="65" t="s">
        <v>159</v>
      </c>
      <c r="B35" s="46" t="s">
        <v>191</v>
      </c>
      <c r="C35" s="75" t="s">
        <v>160</v>
      </c>
      <c r="D35" s="76"/>
      <c r="E35" s="262" t="s">
        <v>318</v>
      </c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</row>
    <row r="36" spans="1:16" ht="15.5" x14ac:dyDescent="0.35">
      <c r="A36" s="65"/>
      <c r="B36" s="66"/>
      <c r="C36" s="65"/>
      <c r="D36" s="76"/>
      <c r="E36" s="258" t="s">
        <v>313</v>
      </c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</row>
    <row r="37" spans="1:16" ht="39" customHeight="1" x14ac:dyDescent="0.35">
      <c r="A37" s="65"/>
      <c r="B37" s="66"/>
      <c r="C37" s="65"/>
      <c r="D37" s="76"/>
      <c r="E37" s="258" t="s">
        <v>131</v>
      </c>
      <c r="F37" s="283"/>
      <c r="G37" s="283"/>
      <c r="H37" s="283"/>
      <c r="I37" s="283"/>
      <c r="J37" s="283"/>
      <c r="K37" s="76"/>
      <c r="L37" s="258" t="s">
        <v>132</v>
      </c>
      <c r="M37" s="283"/>
      <c r="N37" s="283"/>
      <c r="O37" s="283"/>
      <c r="P37" s="76"/>
    </row>
    <row r="38" spans="1:16" ht="27" customHeight="1" x14ac:dyDescent="0.35">
      <c r="A38" s="65"/>
      <c r="B38" s="66"/>
      <c r="C38" s="65"/>
      <c r="D38" s="66"/>
      <c r="E38" s="66"/>
      <c r="F38" s="84" t="s">
        <v>138</v>
      </c>
      <c r="G38" s="257"/>
      <c r="H38" s="84"/>
      <c r="I38" s="84"/>
      <c r="J38" s="84"/>
      <c r="K38" s="66"/>
      <c r="L38" s="66"/>
      <c r="M38" s="85"/>
      <c r="N38" s="85"/>
      <c r="O38" s="85"/>
      <c r="P38" s="66"/>
    </row>
    <row r="39" spans="1:16" ht="15.5" x14ac:dyDescent="0.35">
      <c r="A39" s="65"/>
      <c r="B39" s="66"/>
      <c r="C39" s="65"/>
      <c r="D39" s="66"/>
      <c r="E39" s="66"/>
      <c r="F39" s="63" t="s">
        <v>134</v>
      </c>
      <c r="G39" s="256"/>
      <c r="H39" s="63"/>
      <c r="I39" s="63"/>
      <c r="J39" s="63"/>
      <c r="K39" s="66"/>
      <c r="L39" s="66"/>
      <c r="M39" s="66"/>
      <c r="N39" s="66"/>
      <c r="O39" s="66"/>
      <c r="P39" s="66"/>
    </row>
    <row r="40" spans="1:16" ht="39" customHeight="1" x14ac:dyDescent="0.3">
      <c r="A40" s="65"/>
      <c r="B40" s="66"/>
      <c r="C40" s="65"/>
      <c r="D40" s="76"/>
      <c r="E40" s="79" t="s">
        <v>135</v>
      </c>
      <c r="F40" s="272"/>
      <c r="G40" s="272"/>
      <c r="H40" s="272"/>
      <c r="I40" s="272"/>
      <c r="J40" s="272"/>
      <c r="K40" s="76"/>
      <c r="L40" s="76" t="s">
        <v>136</v>
      </c>
      <c r="M40" s="272"/>
      <c r="N40" s="272"/>
      <c r="O40" s="272"/>
      <c r="P40" s="76"/>
    </row>
    <row r="41" spans="1:16" s="1" customFormat="1" ht="28.5" customHeight="1" x14ac:dyDescent="0.3">
      <c r="A41" s="80"/>
      <c r="B41" s="81"/>
      <c r="C41" s="80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</row>
    <row r="42" spans="1:16" ht="35.25" customHeight="1" x14ac:dyDescent="0.35">
      <c r="A42" s="65"/>
      <c r="B42" s="66"/>
      <c r="C42" s="65"/>
      <c r="D42" s="86"/>
      <c r="E42" s="261" t="s">
        <v>139</v>
      </c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3"/>
    </row>
    <row r="43" spans="1:16" ht="27.75" customHeight="1" x14ac:dyDescent="0.35">
      <c r="A43" s="65" t="s">
        <v>159</v>
      </c>
      <c r="B43" s="46" t="s">
        <v>191</v>
      </c>
      <c r="C43" s="75" t="s">
        <v>160</v>
      </c>
      <c r="D43" s="76"/>
      <c r="E43" s="262" t="s">
        <v>319</v>
      </c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</row>
    <row r="44" spans="1:16" ht="15.5" x14ac:dyDescent="0.35">
      <c r="A44" s="65"/>
      <c r="B44" s="66"/>
      <c r="C44" s="65"/>
      <c r="D44" s="76"/>
      <c r="E44" s="258" t="s">
        <v>314</v>
      </c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</row>
    <row r="45" spans="1:16" ht="39" customHeight="1" x14ac:dyDescent="0.35">
      <c r="A45" s="65"/>
      <c r="B45" s="66"/>
      <c r="C45" s="65"/>
      <c r="D45" s="76"/>
      <c r="E45" s="258" t="s">
        <v>131</v>
      </c>
      <c r="F45" s="283"/>
      <c r="G45" s="283"/>
      <c r="H45" s="283"/>
      <c r="I45" s="283"/>
      <c r="J45" s="283"/>
      <c r="K45" s="76"/>
      <c r="L45" s="258" t="s">
        <v>132</v>
      </c>
      <c r="M45" s="283"/>
      <c r="N45" s="283"/>
      <c r="O45" s="283"/>
      <c r="P45" s="76"/>
    </row>
    <row r="46" spans="1:16" ht="15.5" x14ac:dyDescent="0.35">
      <c r="A46" s="65"/>
      <c r="B46" s="66"/>
      <c r="C46" s="65"/>
      <c r="D46" s="76"/>
      <c r="E46" s="76"/>
      <c r="F46" s="63" t="s">
        <v>140</v>
      </c>
      <c r="G46" s="256"/>
      <c r="H46" s="63"/>
      <c r="I46" s="63"/>
      <c r="J46" s="63"/>
      <c r="K46" s="87"/>
      <c r="L46" s="76"/>
      <c r="M46" s="76"/>
      <c r="N46" s="76"/>
      <c r="O46" s="76"/>
      <c r="P46" s="76"/>
    </row>
    <row r="47" spans="1:16" ht="15.5" x14ac:dyDescent="0.35">
      <c r="A47" s="65"/>
      <c r="B47" s="66"/>
      <c r="C47" s="65"/>
      <c r="D47" s="76"/>
      <c r="E47" s="76"/>
      <c r="F47" s="63" t="s">
        <v>134</v>
      </c>
      <c r="G47" s="256"/>
      <c r="H47" s="63"/>
      <c r="I47" s="63"/>
      <c r="J47" s="63"/>
      <c r="K47" s="87"/>
      <c r="L47" s="76"/>
      <c r="M47" s="76"/>
      <c r="N47" s="76"/>
      <c r="O47" s="76"/>
      <c r="P47" s="76"/>
    </row>
    <row r="48" spans="1:16" ht="13" thickBot="1" x14ac:dyDescent="0.3">
      <c r="A48" s="71"/>
      <c r="B48" s="72"/>
      <c r="C48" s="71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</row>
    <row r="49" spans="1:25" s="5" customFormat="1" ht="13" hidden="1" thickTop="1" x14ac:dyDescent="0.25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</row>
    <row r="50" spans="1:25" s="5" customFormat="1" hidden="1" x14ac:dyDescent="0.25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</row>
    <row r="51" spans="1:25" s="5" customFormat="1" hidden="1" x14ac:dyDescent="0.25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</row>
    <row r="52" spans="1:25" s="5" customFormat="1" hidden="1" x14ac:dyDescent="0.25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</row>
    <row r="53" spans="1:25" hidden="1" x14ac:dyDescent="0.25">
      <c r="A53" s="65"/>
      <c r="B53" s="66"/>
      <c r="C53" s="65"/>
      <c r="D53" s="66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</row>
    <row r="54" spans="1:25" hidden="1" x14ac:dyDescent="0.25">
      <c r="A54" s="65"/>
      <c r="B54" s="66"/>
      <c r="C54" s="65"/>
      <c r="D54" s="66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X54" s="4" t="s">
        <v>182</v>
      </c>
      <c r="Y54" s="4">
        <v>2004.1</v>
      </c>
    </row>
    <row r="55" spans="1:25" hidden="1" x14ac:dyDescent="0.25">
      <c r="A55" s="65"/>
      <c r="B55" s="66"/>
      <c r="C55" s="65"/>
      <c r="D55" s="66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</row>
    <row r="56" spans="1:25" hidden="1" x14ac:dyDescent="0.25">
      <c r="A56" s="65"/>
      <c r="B56" s="66"/>
      <c r="C56" s="65"/>
      <c r="D56" s="66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</row>
    <row r="57" spans="1:25" hidden="1" x14ac:dyDescent="0.25">
      <c r="A57" s="65"/>
      <c r="B57" s="66"/>
      <c r="C57" s="65"/>
      <c r="D57" s="66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</row>
    <row r="58" spans="1:25" hidden="1" x14ac:dyDescent="0.25">
      <c r="A58" s="65"/>
      <c r="B58" s="66"/>
      <c r="C58" s="65"/>
      <c r="D58" s="66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</row>
    <row r="59" spans="1:25" hidden="1" x14ac:dyDescent="0.25">
      <c r="A59" s="65"/>
      <c r="B59" s="66"/>
      <c r="C59" s="65"/>
      <c r="D59" s="66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</row>
    <row r="60" spans="1:25" hidden="1" x14ac:dyDescent="0.25">
      <c r="A60" s="65"/>
      <c r="B60" s="66"/>
      <c r="C60" s="65"/>
      <c r="D60" s="66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</row>
    <row r="61" spans="1:25" hidden="1" x14ac:dyDescent="0.25">
      <c r="A61" s="65"/>
      <c r="B61" s="66"/>
      <c r="C61" s="65"/>
      <c r="D61" s="66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</row>
  </sheetData>
  <sheetProtection algorithmName="SHA-512" hashValue="Dqjm8XSv4UFSnkgQkLG8B6urS42V8cCYhs7Qqa3Fy/kOEy3ACI4ysBf5PME5VhR66XutaHlgIUmJZ9OfElQafA==" saltValue="wLkCbZ9uYmNzRP8imxilLw==" spinCount="100000" sheet="1" objects="1" scenarios="1" selectLockedCells="1"/>
  <dataConsolidate/>
  <mergeCells count="30">
    <mergeCell ref="I16:L16"/>
    <mergeCell ref="F45:J45"/>
    <mergeCell ref="M45:O45"/>
    <mergeCell ref="K11:P11"/>
    <mergeCell ref="M37:O37"/>
    <mergeCell ref="F37:J37"/>
    <mergeCell ref="F29:J29"/>
    <mergeCell ref="F32:J32"/>
    <mergeCell ref="M29:O29"/>
    <mergeCell ref="F40:J40"/>
    <mergeCell ref="M40:O40"/>
    <mergeCell ref="M32:O32"/>
    <mergeCell ref="E17:G17"/>
    <mergeCell ref="E19:G19"/>
    <mergeCell ref="E23:G23"/>
    <mergeCell ref="I17:M17"/>
    <mergeCell ref="K7:P7"/>
    <mergeCell ref="K8:P8"/>
    <mergeCell ref="K9:P9"/>
    <mergeCell ref="K10:P10"/>
    <mergeCell ref="E13:P13"/>
    <mergeCell ref="E12:P12"/>
    <mergeCell ref="I23:M23"/>
    <mergeCell ref="E21:G21"/>
    <mergeCell ref="O17:P17"/>
    <mergeCell ref="O19:P19"/>
    <mergeCell ref="O21:P21"/>
    <mergeCell ref="O23:P23"/>
    <mergeCell ref="I19:M19"/>
    <mergeCell ref="I21:M21"/>
  </mergeCells>
  <phoneticPr fontId="0" type="noConversion"/>
  <printOptions horizontalCentered="1"/>
  <pageMargins left="0.25" right="0.25" top="0.25" bottom="0.75" header="0.3" footer="0.3"/>
  <pageSetup scale="70" orientation="portrait" useFirstPageNumber="1" r:id="rId1"/>
  <headerFooter alignWithMargins="0">
    <oddFooter xml:space="preserve">&amp;L&amp;"Arial,Regular"&amp;8California Department of Education
Charter School Financial Report
Certification Form (Revised 03/15/21) vs 4.6&amp;C&amp;"Arial,Regular"&amp;8
Page &amp;P of &amp;N
&amp;R&amp;"Arial,Regular"&amp;8
&amp;D   &amp;T    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EX269"/>
  <sheetViews>
    <sheetView showGridLines="0" showRowColHeaders="0" tabSelected="1" showRuler="0" topLeftCell="A2" zoomScale="104" zoomScaleNormal="104" zoomScaleSheetLayoutView="90" workbookViewId="0">
      <selection activeCell="F24" activeCellId="1" sqref="F24"/>
    </sheetView>
  </sheetViews>
  <sheetFormatPr defaultColWidth="9.08984375" defaultRowHeight="0" customHeight="1" zeroHeight="1" x14ac:dyDescent="0.3"/>
  <cols>
    <col min="1" max="1" width="3" style="10" customWidth="1"/>
    <col min="2" max="3" width="2.54296875" style="10" customWidth="1"/>
    <col min="4" max="4" width="59.453125" style="10" customWidth="1"/>
    <col min="5" max="5" width="16.6328125" style="10" customWidth="1"/>
    <col min="6" max="7" width="15.08984375" style="42" customWidth="1"/>
    <col min="8" max="8" width="17" style="42" customWidth="1"/>
    <col min="9" max="9" width="8.90625" style="8" hidden="1" customWidth="1"/>
    <col min="10" max="16378" width="9.08984375" style="8" hidden="1" customWidth="1"/>
    <col min="16379" max="16384" width="19.08984375" style="8" hidden="1" customWidth="1"/>
  </cols>
  <sheetData>
    <row r="1" spans="1:9" ht="17.25" hidden="1" customHeight="1" x14ac:dyDescent="0.3">
      <c r="A1" s="25" t="s">
        <v>120</v>
      </c>
      <c r="B1" s="6" t="s">
        <v>121</v>
      </c>
      <c r="C1" s="6" t="s">
        <v>122</v>
      </c>
      <c r="D1" s="6">
        <v>4</v>
      </c>
      <c r="E1" s="6" t="s">
        <v>123</v>
      </c>
      <c r="F1" s="7" t="s">
        <v>124</v>
      </c>
      <c r="G1" s="7" t="s">
        <v>125</v>
      </c>
      <c r="H1" s="166" t="s">
        <v>126</v>
      </c>
    </row>
    <row r="2" spans="1:9" s="9" customFormat="1" ht="18" customHeight="1" x14ac:dyDescent="0.35">
      <c r="A2" s="284" t="s">
        <v>200</v>
      </c>
      <c r="B2" s="285"/>
      <c r="C2" s="285"/>
      <c r="D2" s="285"/>
      <c r="E2" s="285"/>
      <c r="F2" s="285"/>
      <c r="G2" s="285"/>
      <c r="H2" s="285"/>
      <c r="I2" s="20"/>
    </row>
    <row r="3" spans="1:9" s="9" customFormat="1" ht="18" customHeight="1" x14ac:dyDescent="0.35">
      <c r="A3" s="284" t="s">
        <v>118</v>
      </c>
      <c r="B3" s="288"/>
      <c r="C3" s="288"/>
      <c r="D3" s="288"/>
      <c r="E3" s="288"/>
      <c r="F3" s="288"/>
      <c r="G3" s="288"/>
      <c r="H3" s="288"/>
      <c r="I3" s="20"/>
    </row>
    <row r="4" spans="1:9" s="9" customFormat="1" ht="18" customHeight="1" x14ac:dyDescent="0.3">
      <c r="A4" s="286" t="s">
        <v>320</v>
      </c>
      <c r="B4" s="287"/>
      <c r="C4" s="287"/>
      <c r="D4" s="287"/>
      <c r="E4" s="287"/>
      <c r="F4" s="287"/>
      <c r="G4" s="287"/>
      <c r="H4" s="287"/>
      <c r="I4" s="20"/>
    </row>
    <row r="5" spans="1:9" s="9" customFormat="1" ht="10.5" customHeight="1" x14ac:dyDescent="0.3">
      <c r="A5" s="168"/>
      <c r="B5" s="167"/>
      <c r="C5" s="167"/>
      <c r="D5" s="167"/>
      <c r="E5" s="167"/>
      <c r="F5" s="167"/>
      <c r="G5" s="167"/>
      <c r="H5" s="167"/>
      <c r="I5" s="20"/>
    </row>
    <row r="6" spans="1:9" s="9" customFormat="1" ht="17.25" customHeight="1" x14ac:dyDescent="0.3">
      <c r="A6" s="289" t="s">
        <v>127</v>
      </c>
      <c r="B6" s="289"/>
      <c r="C6" s="289"/>
      <c r="D6" s="289"/>
      <c r="E6" s="292" t="str">
        <f>Certification!K7</f>
        <v>Granite Mountain Charter</v>
      </c>
      <c r="F6" s="293"/>
      <c r="G6" s="293"/>
      <c r="H6" s="293"/>
      <c r="I6" s="20"/>
    </row>
    <row r="7" spans="1:9" s="9" customFormat="1" ht="17.25" customHeight="1" x14ac:dyDescent="0.3">
      <c r="A7" s="289" t="s">
        <v>156</v>
      </c>
      <c r="B7" s="289"/>
      <c r="C7" s="289"/>
      <c r="D7" s="289"/>
      <c r="E7" s="290" t="str">
        <f ca="1">Certification!K8</f>
        <v>36750510139188</v>
      </c>
      <c r="F7" s="291"/>
      <c r="G7" s="291"/>
      <c r="H7" s="276"/>
      <c r="I7" s="20"/>
    </row>
    <row r="8" spans="1:9" s="9" customFormat="1" ht="17.25" customHeight="1" x14ac:dyDescent="0.3">
      <c r="A8" s="289" t="s">
        <v>128</v>
      </c>
      <c r="B8" s="289"/>
      <c r="C8" s="289"/>
      <c r="D8" s="289"/>
      <c r="E8" s="290" t="str">
        <f>Certification!K9</f>
        <v>Lucerne Valley Unified</v>
      </c>
      <c r="F8" s="291"/>
      <c r="G8" s="291"/>
      <c r="H8" s="276"/>
      <c r="I8" s="20"/>
    </row>
    <row r="9" spans="1:9" s="9" customFormat="1" ht="17.25" customHeight="1" x14ac:dyDescent="0.3">
      <c r="A9" s="289" t="s">
        <v>129</v>
      </c>
      <c r="B9" s="289"/>
      <c r="C9" s="289"/>
      <c r="D9" s="289"/>
      <c r="E9" s="290" t="str">
        <f>Certification!K10</f>
        <v>San Bernardino</v>
      </c>
      <c r="F9" s="291"/>
      <c r="G9" s="291"/>
      <c r="H9" s="276"/>
      <c r="I9" s="20"/>
    </row>
    <row r="10" spans="1:9" s="9" customFormat="1" ht="16.5" customHeight="1" x14ac:dyDescent="0.3">
      <c r="A10" s="289" t="s">
        <v>157</v>
      </c>
      <c r="B10" s="289"/>
      <c r="C10" s="289"/>
      <c r="D10" s="289"/>
      <c r="E10" s="290" t="str">
        <f>Certification!K11</f>
        <v>2033</v>
      </c>
      <c r="F10" s="291"/>
      <c r="G10" s="291"/>
      <c r="H10" s="276"/>
      <c r="I10" s="20"/>
    </row>
    <row r="11" spans="1:9" s="9" customFormat="1" ht="16.5" customHeight="1" x14ac:dyDescent="0.3">
      <c r="A11" s="128"/>
      <c r="B11" s="170" t="s">
        <v>188</v>
      </c>
      <c r="C11" s="169"/>
      <c r="D11" s="169"/>
      <c r="E11" s="169"/>
      <c r="F11" s="169"/>
      <c r="G11" s="169"/>
      <c r="H11" s="175"/>
      <c r="I11" s="20"/>
    </row>
    <row r="12" spans="1:9" s="9" customFormat="1" ht="16.5" customHeight="1" x14ac:dyDescent="0.3">
      <c r="A12" s="128"/>
      <c r="B12" s="170" t="s">
        <v>190</v>
      </c>
      <c r="C12" s="169"/>
      <c r="D12" s="176"/>
      <c r="E12" s="176"/>
      <c r="F12" s="126"/>
      <c r="G12" s="126"/>
      <c r="H12" s="126"/>
      <c r="I12" s="20"/>
    </row>
    <row r="13" spans="1:9" s="9" customFormat="1" ht="16.5" customHeight="1" x14ac:dyDescent="0.3">
      <c r="A13" s="246"/>
      <c r="B13" s="189" t="s">
        <v>191</v>
      </c>
      <c r="C13" s="173" t="s">
        <v>255</v>
      </c>
      <c r="D13" s="172"/>
      <c r="E13" s="172"/>
      <c r="F13" s="172"/>
      <c r="G13" s="172"/>
      <c r="H13" s="172"/>
      <c r="I13" s="171"/>
    </row>
    <row r="14" spans="1:9" s="9" customFormat="1" ht="16.5" customHeight="1" x14ac:dyDescent="0.3">
      <c r="A14" s="128"/>
      <c r="B14" s="170"/>
      <c r="C14" s="138"/>
      <c r="D14" s="138" t="s">
        <v>266</v>
      </c>
      <c r="E14" s="138"/>
      <c r="F14" s="138"/>
      <c r="G14" s="138"/>
      <c r="H14" s="138"/>
      <c r="I14" s="171"/>
    </row>
    <row r="15" spans="1:9" s="9" customFormat="1" ht="16.5" customHeight="1" x14ac:dyDescent="0.3">
      <c r="A15" s="128"/>
      <c r="B15" s="189"/>
      <c r="C15" s="170" t="s">
        <v>251</v>
      </c>
      <c r="D15" s="169"/>
      <c r="E15" s="127"/>
      <c r="F15" s="126"/>
      <c r="G15" s="126"/>
      <c r="H15" s="126"/>
      <c r="I15" s="20"/>
    </row>
    <row r="16" spans="1:9" s="9" customFormat="1" ht="16.25" customHeight="1" x14ac:dyDescent="0.3">
      <c r="A16" s="128"/>
      <c r="B16" s="128" t="s">
        <v>0</v>
      </c>
      <c r="C16" s="128" t="s">
        <v>0</v>
      </c>
      <c r="D16" s="174" t="s">
        <v>249</v>
      </c>
      <c r="E16" s="128"/>
      <c r="F16" s="128"/>
      <c r="G16" s="128"/>
      <c r="H16" s="128"/>
      <c r="I16" s="20"/>
    </row>
    <row r="17" spans="1:9" ht="8" customHeight="1" x14ac:dyDescent="0.3">
      <c r="A17" s="128"/>
      <c r="B17" s="128"/>
      <c r="C17" s="128"/>
      <c r="D17" s="128"/>
      <c r="E17" s="128"/>
      <c r="F17" s="128"/>
      <c r="G17" s="128"/>
      <c r="H17" s="128"/>
      <c r="I17" s="20"/>
    </row>
    <row r="18" spans="1:9" s="14" customFormat="1" ht="14.25" customHeight="1" x14ac:dyDescent="0.3">
      <c r="A18" s="11"/>
      <c r="B18" s="12"/>
      <c r="C18" s="12"/>
      <c r="D18" s="13" t="s">
        <v>145</v>
      </c>
      <c r="E18" s="129" t="s">
        <v>96</v>
      </c>
      <c r="F18" s="47" t="s">
        <v>37</v>
      </c>
      <c r="G18" s="47" t="s">
        <v>38</v>
      </c>
      <c r="H18" s="48" t="s">
        <v>39</v>
      </c>
    </row>
    <row r="19" spans="1:9" ht="14.25" customHeight="1" x14ac:dyDescent="0.3">
      <c r="A19" s="15" t="s">
        <v>1</v>
      </c>
      <c r="B19" s="16" t="s">
        <v>2</v>
      </c>
      <c r="C19" s="17"/>
      <c r="D19" s="17"/>
      <c r="E19" s="130" t="s">
        <v>0</v>
      </c>
      <c r="F19" s="114"/>
      <c r="G19" s="93"/>
      <c r="H19" s="18"/>
    </row>
    <row r="20" spans="1:9" ht="14.25" customHeight="1" x14ac:dyDescent="0.3">
      <c r="A20" s="15"/>
      <c r="B20" s="19" t="s">
        <v>3</v>
      </c>
      <c r="C20" s="17" t="s">
        <v>263</v>
      </c>
      <c r="D20" s="17"/>
      <c r="E20" s="130" t="s">
        <v>0</v>
      </c>
      <c r="F20" s="112"/>
      <c r="G20" s="93"/>
      <c r="H20" s="18"/>
    </row>
    <row r="21" spans="1:9" ht="14.25" customHeight="1" x14ac:dyDescent="0.3">
      <c r="A21" s="15"/>
      <c r="B21" s="16"/>
      <c r="C21" s="17"/>
      <c r="D21" s="17" t="s">
        <v>110</v>
      </c>
      <c r="E21" s="130">
        <v>8011</v>
      </c>
      <c r="F21" s="113">
        <v>27595443</v>
      </c>
      <c r="G21" s="94"/>
      <c r="H21" s="49">
        <f t="shared" ref="H21:H23" si="0">SUM(F21)</f>
        <v>27595443</v>
      </c>
    </row>
    <row r="22" spans="1:9" ht="14.25" customHeight="1" x14ac:dyDescent="0.3">
      <c r="A22" s="15"/>
      <c r="B22" s="16"/>
      <c r="C22" s="17"/>
      <c r="D22" s="17" t="s">
        <v>256</v>
      </c>
      <c r="E22" s="130">
        <v>8012</v>
      </c>
      <c r="F22" s="113">
        <v>636364</v>
      </c>
      <c r="G22" s="94"/>
      <c r="H22" s="49">
        <f t="shared" si="0"/>
        <v>636364</v>
      </c>
    </row>
    <row r="23" spans="1:9" ht="14.25" customHeight="1" x14ac:dyDescent="0.3">
      <c r="A23" s="15"/>
      <c r="B23" s="16"/>
      <c r="C23" s="17"/>
      <c r="D23" s="17" t="s">
        <v>111</v>
      </c>
      <c r="E23" s="132">
        <v>8019</v>
      </c>
      <c r="F23" s="96">
        <v>860</v>
      </c>
      <c r="G23" s="94"/>
      <c r="H23" s="49">
        <f t="shared" si="0"/>
        <v>860</v>
      </c>
    </row>
    <row r="24" spans="1:9" ht="14.25" customHeight="1" x14ac:dyDescent="0.3">
      <c r="A24" s="15"/>
      <c r="B24" s="16"/>
      <c r="C24" s="17"/>
      <c r="D24" s="17" t="s">
        <v>285</v>
      </c>
      <c r="E24" s="130">
        <v>8096</v>
      </c>
      <c r="F24" s="139">
        <v>857500</v>
      </c>
      <c r="G24" s="97"/>
      <c r="H24" s="51">
        <f>SUM(F24)</f>
        <v>857500</v>
      </c>
    </row>
    <row r="25" spans="1:9" ht="14.25" customHeight="1" x14ac:dyDescent="0.3">
      <c r="A25" s="15"/>
      <c r="B25" s="16"/>
      <c r="C25" s="17"/>
      <c r="D25" s="17" t="s">
        <v>286</v>
      </c>
      <c r="E25" s="133" t="s">
        <v>112</v>
      </c>
      <c r="F25" s="98"/>
      <c r="G25" s="98"/>
      <c r="H25" s="140">
        <f>SUM(F25:G25)</f>
        <v>0</v>
      </c>
    </row>
    <row r="26" spans="1:9" ht="14.25" customHeight="1" x14ac:dyDescent="0.3">
      <c r="A26" s="15"/>
      <c r="B26" s="16"/>
      <c r="C26" s="17"/>
      <c r="D26" s="17" t="s">
        <v>264</v>
      </c>
      <c r="E26" s="130" t="s">
        <v>0</v>
      </c>
      <c r="F26" s="99">
        <f>SUM(F21:F25)</f>
        <v>29090167</v>
      </c>
      <c r="G26" s="99">
        <f>SUM(G25)</f>
        <v>0</v>
      </c>
      <c r="H26" s="52">
        <f>SUM(F26:G26)</f>
        <v>29090167</v>
      </c>
    </row>
    <row r="27" spans="1:9" ht="11.25" customHeight="1" x14ac:dyDescent="0.3">
      <c r="A27" s="15"/>
      <c r="B27" s="16"/>
      <c r="C27" s="17"/>
      <c r="D27" s="17"/>
      <c r="E27" s="130" t="s">
        <v>0</v>
      </c>
      <c r="F27" s="100"/>
      <c r="G27" s="114"/>
      <c r="H27" s="53"/>
    </row>
    <row r="28" spans="1:9" ht="14.25" customHeight="1" x14ac:dyDescent="0.3">
      <c r="A28" s="15"/>
      <c r="B28" s="19" t="s">
        <v>4</v>
      </c>
      <c r="C28" s="17" t="s">
        <v>283</v>
      </c>
      <c r="D28" s="17"/>
      <c r="E28" s="130" t="s">
        <v>0</v>
      </c>
      <c r="F28" s="94"/>
      <c r="G28" s="112"/>
      <c r="H28" s="51"/>
    </row>
    <row r="29" spans="1:9" ht="14.25" customHeight="1" x14ac:dyDescent="0.3">
      <c r="A29" s="15"/>
      <c r="B29" s="17"/>
      <c r="C29" s="17"/>
      <c r="D29" s="17" t="s">
        <v>311</v>
      </c>
      <c r="E29" s="132">
        <v>8290</v>
      </c>
      <c r="F29" s="94"/>
      <c r="G29" s="113"/>
      <c r="H29" s="49">
        <f>SUM(G29)</f>
        <v>0</v>
      </c>
    </row>
    <row r="30" spans="1:9" ht="14.25" customHeight="1" x14ac:dyDescent="0.3">
      <c r="A30" s="15"/>
      <c r="B30" s="17"/>
      <c r="C30" s="17"/>
      <c r="D30" s="17" t="s">
        <v>34</v>
      </c>
      <c r="E30" s="132" t="s">
        <v>113</v>
      </c>
      <c r="F30" s="94"/>
      <c r="G30" s="101">
        <f>397753+37212</f>
        <v>434965</v>
      </c>
      <c r="H30" s="49">
        <f>SUM(G30)</f>
        <v>434965</v>
      </c>
    </row>
    <row r="31" spans="1:9" ht="14.25" customHeight="1" x14ac:dyDescent="0.3">
      <c r="A31" s="15"/>
      <c r="B31" s="17"/>
      <c r="C31" s="17"/>
      <c r="D31" s="17" t="s">
        <v>35</v>
      </c>
      <c r="E31" s="130">
        <v>8220</v>
      </c>
      <c r="F31" s="94"/>
      <c r="G31" s="101"/>
      <c r="H31" s="49">
        <f>SUM(G31)</f>
        <v>0</v>
      </c>
    </row>
    <row r="32" spans="1:9" ht="14.25" customHeight="1" x14ac:dyDescent="0.3">
      <c r="A32" s="15"/>
      <c r="B32" s="17"/>
      <c r="C32" s="17"/>
      <c r="D32" s="17" t="s">
        <v>305</v>
      </c>
      <c r="E32" s="130">
        <v>8221</v>
      </c>
      <c r="F32" s="97"/>
      <c r="G32" s="103"/>
      <c r="H32" s="49">
        <f>SUM(G32)</f>
        <v>0</v>
      </c>
    </row>
    <row r="33" spans="1:8" ht="14.25" customHeight="1" x14ac:dyDescent="0.3">
      <c r="A33" s="15"/>
      <c r="B33" s="17"/>
      <c r="C33" s="17"/>
      <c r="D33" s="17" t="s">
        <v>254</v>
      </c>
      <c r="E33" s="165" t="s">
        <v>174</v>
      </c>
      <c r="F33" s="102"/>
      <c r="G33" s="103">
        <v>456052.98</v>
      </c>
      <c r="H33" s="54">
        <f>SUM(F33:G33)</f>
        <v>456052.98</v>
      </c>
    </row>
    <row r="34" spans="1:8" ht="14.25" customHeight="1" x14ac:dyDescent="0.3">
      <c r="A34" s="15"/>
      <c r="B34" s="17"/>
      <c r="C34" s="17"/>
      <c r="D34" s="17" t="s">
        <v>78</v>
      </c>
      <c r="E34" s="130" t="s">
        <v>0</v>
      </c>
      <c r="F34" s="104">
        <f>SUM(F33)</f>
        <v>0</v>
      </c>
      <c r="G34" s="104">
        <f>SUM(G29:G33)</f>
        <v>891017.98</v>
      </c>
      <c r="H34" s="55">
        <f>SUM(F34:G34)</f>
        <v>891017.98</v>
      </c>
    </row>
    <row r="35" spans="1:8" ht="11.25" customHeight="1" x14ac:dyDescent="0.3">
      <c r="A35" s="15"/>
      <c r="B35" s="17"/>
      <c r="C35" s="17"/>
      <c r="D35" s="17"/>
      <c r="E35" s="130" t="s">
        <v>0</v>
      </c>
      <c r="F35" s="100"/>
      <c r="G35" s="100"/>
      <c r="H35" s="53"/>
    </row>
    <row r="36" spans="1:8" ht="14.25" customHeight="1" x14ac:dyDescent="0.3">
      <c r="A36" s="21"/>
      <c r="B36" s="19" t="s">
        <v>5</v>
      </c>
      <c r="C36" s="17" t="s">
        <v>80</v>
      </c>
      <c r="D36" s="17"/>
      <c r="E36" s="130" t="s">
        <v>0</v>
      </c>
      <c r="F36" s="94"/>
      <c r="G36" s="94"/>
      <c r="H36" s="51"/>
    </row>
    <row r="37" spans="1:8" ht="14.25" hidden="1" customHeight="1" x14ac:dyDescent="0.3">
      <c r="A37" s="21"/>
      <c r="B37" s="19"/>
      <c r="C37" s="17"/>
      <c r="D37" s="17" t="s">
        <v>40</v>
      </c>
      <c r="E37" s="130">
        <v>8480</v>
      </c>
      <c r="F37" s="139"/>
      <c r="G37" s="97"/>
      <c r="H37" s="49">
        <f>SUM(F37)</f>
        <v>0</v>
      </c>
    </row>
    <row r="38" spans="1:8" ht="14.25" customHeight="1" x14ac:dyDescent="0.3">
      <c r="A38" s="21"/>
      <c r="B38" s="19"/>
      <c r="C38" s="17"/>
      <c r="D38" s="17" t="s">
        <v>83</v>
      </c>
      <c r="E38" s="130" t="s">
        <v>166</v>
      </c>
      <c r="F38" s="97"/>
      <c r="G38" s="96">
        <v>2054857</v>
      </c>
      <c r="H38" s="49">
        <f>SUM(G38)</f>
        <v>2054857</v>
      </c>
    </row>
    <row r="39" spans="1:8" ht="14.25" customHeight="1" x14ac:dyDescent="0.3">
      <c r="A39" s="21"/>
      <c r="B39" s="17"/>
      <c r="C39" s="17"/>
      <c r="D39" s="17" t="s">
        <v>36</v>
      </c>
      <c r="E39" s="130" t="s">
        <v>167</v>
      </c>
      <c r="F39" s="102"/>
      <c r="G39" s="103">
        <v>1081712.52</v>
      </c>
      <c r="H39" s="54">
        <f>SUM(F39:G39)</f>
        <v>1081712.52</v>
      </c>
    </row>
    <row r="40" spans="1:8" ht="14.25" customHeight="1" x14ac:dyDescent="0.3">
      <c r="A40" s="21"/>
      <c r="B40" s="17"/>
      <c r="C40" s="17"/>
      <c r="D40" s="10" t="s">
        <v>81</v>
      </c>
      <c r="E40" s="130" t="s">
        <v>0</v>
      </c>
      <c r="F40" s="104">
        <f>SUM(F37,F39)</f>
        <v>0</v>
      </c>
      <c r="G40" s="104">
        <f>SUM(G38,G39)</f>
        <v>3136569.52</v>
      </c>
      <c r="H40" s="55">
        <f>SUM(F40:G40)</f>
        <v>3136569.52</v>
      </c>
    </row>
    <row r="41" spans="1:8" ht="11.25" customHeight="1" x14ac:dyDescent="0.3">
      <c r="A41" s="21"/>
      <c r="B41" s="17"/>
      <c r="C41" s="17"/>
      <c r="E41" s="130" t="s">
        <v>0</v>
      </c>
      <c r="F41" s="114"/>
      <c r="G41" s="114"/>
      <c r="H41" s="53"/>
    </row>
    <row r="42" spans="1:8" ht="14.25" customHeight="1" x14ac:dyDescent="0.3">
      <c r="A42" s="21"/>
      <c r="B42" s="19" t="s">
        <v>6</v>
      </c>
      <c r="C42" s="17" t="s">
        <v>82</v>
      </c>
      <c r="D42" s="17"/>
      <c r="E42" s="130" t="s">
        <v>0</v>
      </c>
      <c r="F42" s="112"/>
      <c r="G42" s="112"/>
      <c r="H42" s="51"/>
    </row>
    <row r="43" spans="1:8" ht="14.25" customHeight="1" x14ac:dyDescent="0.3">
      <c r="A43" s="21"/>
      <c r="B43" s="17"/>
      <c r="C43" s="17"/>
      <c r="D43" s="17" t="s">
        <v>84</v>
      </c>
      <c r="E43" s="130" t="s">
        <v>168</v>
      </c>
      <c r="F43" s="141">
        <v>-793656.43</v>
      </c>
      <c r="G43" s="141">
        <v>904267</v>
      </c>
      <c r="H43" s="54">
        <f>SUM(F43:G43)</f>
        <v>110610.57</v>
      </c>
    </row>
    <row r="44" spans="1:8" ht="14.25" customHeight="1" x14ac:dyDescent="0.3">
      <c r="A44" s="21"/>
      <c r="B44" s="17"/>
      <c r="C44" s="17"/>
      <c r="D44" s="17" t="s">
        <v>79</v>
      </c>
      <c r="E44" s="130" t="s">
        <v>0</v>
      </c>
      <c r="F44" s="104">
        <f>SUM(F43)</f>
        <v>-793656.43</v>
      </c>
      <c r="G44" s="104">
        <f>SUM(G43)</f>
        <v>904267</v>
      </c>
      <c r="H44" s="55">
        <f>SUM(F44:G44)</f>
        <v>110610.57</v>
      </c>
    </row>
    <row r="45" spans="1:8" ht="11.25" customHeight="1" x14ac:dyDescent="0.3">
      <c r="A45" s="21"/>
      <c r="B45" s="17"/>
      <c r="C45" s="17" t="s">
        <v>0</v>
      </c>
      <c r="D45" s="17" t="s">
        <v>0</v>
      </c>
      <c r="E45" s="130" t="s">
        <v>0</v>
      </c>
      <c r="F45" s="105"/>
      <c r="G45" s="105"/>
      <c r="H45" s="53"/>
    </row>
    <row r="46" spans="1:8" ht="14" customHeight="1" x14ac:dyDescent="0.3">
      <c r="A46" s="21"/>
      <c r="B46" s="22" t="s">
        <v>9</v>
      </c>
      <c r="C46" s="23" t="s">
        <v>7</v>
      </c>
      <c r="D46" s="23"/>
      <c r="E46" s="130" t="s">
        <v>0</v>
      </c>
      <c r="F46" s="106">
        <f>SUM(F26,F34,F40,F44)</f>
        <v>28296510.57</v>
      </c>
      <c r="G46" s="106">
        <f>SUM(G26,G34,G40,G44)</f>
        <v>4931854.5</v>
      </c>
      <c r="H46" s="56">
        <f>SUM(F46:G46)</f>
        <v>33228365.07</v>
      </c>
    </row>
    <row r="47" spans="1:8" ht="9.65" customHeight="1" x14ac:dyDescent="0.3">
      <c r="A47" s="21"/>
      <c r="B47" s="22"/>
      <c r="C47" s="23"/>
      <c r="D47" s="23"/>
      <c r="E47" s="130" t="s">
        <v>0</v>
      </c>
      <c r="F47" s="114"/>
      <c r="G47" s="114"/>
      <c r="H47" s="51"/>
    </row>
    <row r="48" spans="1:8" ht="14.25" customHeight="1" x14ac:dyDescent="0.3">
      <c r="A48" s="24" t="s">
        <v>8</v>
      </c>
      <c r="B48" s="16" t="s">
        <v>284</v>
      </c>
      <c r="C48" s="17"/>
      <c r="D48" s="17"/>
      <c r="E48" s="130" t="s">
        <v>0</v>
      </c>
      <c r="F48" s="112"/>
      <c r="G48" s="112"/>
      <c r="H48" s="51"/>
    </row>
    <row r="49" spans="1:9" ht="14.25" customHeight="1" x14ac:dyDescent="0.3">
      <c r="A49" s="21"/>
      <c r="B49" s="19" t="s">
        <v>3</v>
      </c>
      <c r="C49" s="17" t="s">
        <v>62</v>
      </c>
      <c r="D49" s="17"/>
      <c r="E49" s="130" t="s">
        <v>0</v>
      </c>
      <c r="F49" s="112"/>
      <c r="G49" s="112"/>
      <c r="H49" s="51"/>
    </row>
    <row r="50" spans="1:9" ht="14.25" customHeight="1" x14ac:dyDescent="0.3">
      <c r="A50" s="21"/>
      <c r="B50" s="17"/>
      <c r="C50" s="17"/>
      <c r="D50" s="17" t="s">
        <v>199</v>
      </c>
      <c r="E50" s="134">
        <v>1100</v>
      </c>
      <c r="F50" s="113">
        <v>5677674.1200000001</v>
      </c>
      <c r="G50" s="113">
        <v>1557067.86</v>
      </c>
      <c r="H50" s="49">
        <f>SUM(F50:G50)</f>
        <v>7234741.9800000004</v>
      </c>
    </row>
    <row r="51" spans="1:9" ht="14.25" customHeight="1" x14ac:dyDescent="0.3">
      <c r="A51" s="21"/>
      <c r="B51" s="17"/>
      <c r="C51" s="17"/>
      <c r="D51" s="17" t="s">
        <v>55</v>
      </c>
      <c r="E51" s="134">
        <v>1200</v>
      </c>
      <c r="F51" s="101">
        <v>823356.11</v>
      </c>
      <c r="G51" s="101">
        <v>575491.74</v>
      </c>
      <c r="H51" s="49">
        <f>SUM(F51:G51)</f>
        <v>1398847.85</v>
      </c>
    </row>
    <row r="52" spans="1:9" ht="14.25" customHeight="1" x14ac:dyDescent="0.3">
      <c r="A52" s="21"/>
      <c r="B52" s="17"/>
      <c r="C52" s="17"/>
      <c r="D52" s="17" t="s">
        <v>56</v>
      </c>
      <c r="E52" s="134">
        <v>1300</v>
      </c>
      <c r="F52" s="101">
        <v>2831895.78</v>
      </c>
      <c r="G52" s="101">
        <v>273999.92</v>
      </c>
      <c r="H52" s="49">
        <f>SUM(F52:G52)</f>
        <v>3105895.7</v>
      </c>
    </row>
    <row r="53" spans="1:9" ht="14.25" customHeight="1" x14ac:dyDescent="0.3">
      <c r="A53" s="21"/>
      <c r="B53" s="17"/>
      <c r="C53" s="17"/>
      <c r="D53" s="17" t="s">
        <v>57</v>
      </c>
      <c r="E53" s="134">
        <v>1900</v>
      </c>
      <c r="F53" s="102">
        <v>1817585.35</v>
      </c>
      <c r="G53" s="103">
        <v>193487.9</v>
      </c>
      <c r="H53" s="54">
        <f>SUM(F53:G53)</f>
        <v>2011073.25</v>
      </c>
    </row>
    <row r="54" spans="1:9" ht="14.25" customHeight="1" x14ac:dyDescent="0.3">
      <c r="A54" s="21"/>
      <c r="B54" s="17"/>
      <c r="C54" s="17"/>
      <c r="D54" s="17" t="s">
        <v>66</v>
      </c>
      <c r="E54" s="130" t="s">
        <v>0</v>
      </c>
      <c r="F54" s="104">
        <f>SUM(F50:F53)</f>
        <v>11150511.359999999</v>
      </c>
      <c r="G54" s="104">
        <f>SUM(G50:G53)</f>
        <v>2600047.42</v>
      </c>
      <c r="H54" s="55">
        <f>SUM(F54:G54)</f>
        <v>13750558.779999999</v>
      </c>
    </row>
    <row r="55" spans="1:9" ht="11.25" customHeight="1" x14ac:dyDescent="0.3">
      <c r="A55" s="25"/>
      <c r="E55" s="130" t="s">
        <v>0</v>
      </c>
      <c r="F55" s="114"/>
      <c r="G55" s="114"/>
      <c r="H55" s="53"/>
    </row>
    <row r="56" spans="1:9" ht="14.25" customHeight="1" x14ac:dyDescent="0.3">
      <c r="A56" s="25"/>
      <c r="B56" s="26" t="s">
        <v>4</v>
      </c>
      <c r="C56" s="10" t="s">
        <v>201</v>
      </c>
      <c r="E56" s="130" t="s">
        <v>0</v>
      </c>
      <c r="F56" s="112"/>
      <c r="G56" s="112"/>
      <c r="H56" s="51"/>
    </row>
    <row r="57" spans="1:9" ht="14.25" customHeight="1" x14ac:dyDescent="0.3">
      <c r="A57" s="25"/>
      <c r="B57" s="26"/>
      <c r="D57" s="10" t="s">
        <v>202</v>
      </c>
      <c r="E57" s="134">
        <v>2100</v>
      </c>
      <c r="F57" s="113">
        <v>0</v>
      </c>
      <c r="G57" s="113">
        <v>114236.45</v>
      </c>
      <c r="H57" s="49">
        <f t="shared" ref="H57:H63" si="1">SUM(F57:G57)</f>
        <v>114236.45</v>
      </c>
    </row>
    <row r="58" spans="1:9" s="32" customFormat="1" ht="14.25" customHeight="1" x14ac:dyDescent="0.3">
      <c r="A58" s="21"/>
      <c r="B58" s="17"/>
      <c r="C58" s="17"/>
      <c r="D58" s="17" t="s">
        <v>203</v>
      </c>
      <c r="E58" s="134">
        <v>2200</v>
      </c>
      <c r="F58" s="101">
        <v>633687.92000000004</v>
      </c>
      <c r="G58" s="101">
        <v>76341.41</v>
      </c>
      <c r="H58" s="49">
        <f t="shared" si="1"/>
        <v>710029.33</v>
      </c>
      <c r="I58" s="8"/>
    </row>
    <row r="60" spans="1:9" ht="14.25" customHeight="1" x14ac:dyDescent="0.3">
      <c r="A60" s="21"/>
      <c r="B60" s="17"/>
      <c r="C60" s="17"/>
      <c r="D60" s="17" t="s">
        <v>204</v>
      </c>
      <c r="E60" s="134">
        <v>2300</v>
      </c>
      <c r="F60" s="101">
        <v>604051.38</v>
      </c>
      <c r="G60" s="101">
        <v>0</v>
      </c>
      <c r="H60" s="49">
        <f t="shared" si="1"/>
        <v>604051.38</v>
      </c>
    </row>
    <row r="61" spans="1:9" ht="14.25" customHeight="1" x14ac:dyDescent="0.3">
      <c r="A61" s="21"/>
      <c r="B61" s="17"/>
      <c r="C61" s="17"/>
      <c r="D61" s="17" t="s">
        <v>316</v>
      </c>
      <c r="E61" s="134">
        <v>2400</v>
      </c>
      <c r="F61" s="101">
        <v>233733.26</v>
      </c>
      <c r="G61" s="101">
        <v>0</v>
      </c>
      <c r="H61" s="49">
        <f t="shared" si="1"/>
        <v>233733.26</v>
      </c>
    </row>
    <row r="62" spans="1:9" ht="14.25" customHeight="1" x14ac:dyDescent="0.3">
      <c r="A62" s="21"/>
      <c r="B62" s="17"/>
      <c r="C62" s="17"/>
      <c r="D62" s="17" t="s">
        <v>205</v>
      </c>
      <c r="E62" s="134">
        <v>2900</v>
      </c>
      <c r="F62" s="102">
        <v>0</v>
      </c>
      <c r="G62" s="103">
        <v>0</v>
      </c>
      <c r="H62" s="54">
        <f t="shared" si="1"/>
        <v>0</v>
      </c>
    </row>
    <row r="63" spans="1:9" ht="14.25" customHeight="1" x14ac:dyDescent="0.3">
      <c r="A63" s="27"/>
      <c r="B63" s="28"/>
      <c r="C63" s="28"/>
      <c r="D63" s="28" t="s">
        <v>206</v>
      </c>
      <c r="E63" s="28" t="s">
        <v>0</v>
      </c>
      <c r="F63" s="104">
        <f>SUM(F57:F62)</f>
        <v>1471472.56</v>
      </c>
      <c r="G63" s="104">
        <f>SUM(G57:G62)</f>
        <v>190577.86</v>
      </c>
      <c r="H63" s="55">
        <f t="shared" si="1"/>
        <v>1662050.42</v>
      </c>
      <c r="I63" s="32"/>
    </row>
    <row r="64" spans="1:9" s="159" customFormat="1" ht="14.25" customHeight="1" x14ac:dyDescent="0.3">
      <c r="A64" s="11"/>
      <c r="B64" s="12"/>
      <c r="C64" s="12"/>
      <c r="D64" s="13" t="s">
        <v>145</v>
      </c>
      <c r="E64" s="137" t="s">
        <v>96</v>
      </c>
      <c r="F64" s="116" t="s">
        <v>37</v>
      </c>
      <c r="G64" s="116" t="s">
        <v>38</v>
      </c>
      <c r="H64" s="57" t="s">
        <v>39</v>
      </c>
    </row>
    <row r="65" spans="1:8" ht="14.25" customHeight="1" x14ac:dyDescent="0.3">
      <c r="A65" s="21"/>
      <c r="B65" s="19" t="s">
        <v>5</v>
      </c>
      <c r="C65" s="17" t="s">
        <v>41</v>
      </c>
      <c r="D65" s="17"/>
      <c r="E65" s="130" t="s">
        <v>0</v>
      </c>
      <c r="F65" s="112"/>
      <c r="G65" s="112"/>
      <c r="H65" s="51"/>
    </row>
    <row r="66" spans="1:8" ht="14.25" customHeight="1" x14ac:dyDescent="0.3">
      <c r="A66" s="21"/>
      <c r="B66" s="17"/>
      <c r="C66" s="17"/>
      <c r="D66" s="29" t="s">
        <v>42</v>
      </c>
      <c r="E66" s="135" t="s">
        <v>97</v>
      </c>
      <c r="F66" s="113">
        <v>1710387.22</v>
      </c>
      <c r="G66" s="113">
        <v>415088.69</v>
      </c>
      <c r="H66" s="49">
        <f>SUM(F66:G66)</f>
        <v>2125475.91</v>
      </c>
    </row>
    <row r="67" spans="1:8" ht="14.25" customHeight="1" x14ac:dyDescent="0.3">
      <c r="A67" s="21"/>
      <c r="B67" s="17"/>
      <c r="C67" s="17"/>
      <c r="D67" s="29" t="s">
        <v>43</v>
      </c>
      <c r="E67" s="135" t="s">
        <v>98</v>
      </c>
      <c r="F67" s="113">
        <v>0</v>
      </c>
      <c r="G67" s="113">
        <v>0</v>
      </c>
      <c r="H67" s="49">
        <f t="shared" ref="H67:H74" si="2">SUM(F67:G67)</f>
        <v>0</v>
      </c>
    </row>
    <row r="68" spans="1:8" ht="14.25" customHeight="1" x14ac:dyDescent="0.3">
      <c r="A68" s="21"/>
      <c r="B68" s="17"/>
      <c r="C68" s="17"/>
      <c r="D68" s="29" t="s">
        <v>65</v>
      </c>
      <c r="E68" s="135" t="s">
        <v>99</v>
      </c>
      <c r="F68" s="113">
        <v>258192.1</v>
      </c>
      <c r="G68" s="113">
        <v>50904.41</v>
      </c>
      <c r="H68" s="49">
        <f t="shared" si="2"/>
        <v>309096.51</v>
      </c>
    </row>
    <row r="69" spans="1:8" ht="14.25" customHeight="1" x14ac:dyDescent="0.3">
      <c r="A69" s="21"/>
      <c r="B69" s="17"/>
      <c r="C69" s="17"/>
      <c r="D69" s="17" t="s">
        <v>44</v>
      </c>
      <c r="E69" s="135" t="s">
        <v>100</v>
      </c>
      <c r="F69" s="113">
        <v>1262834.33</v>
      </c>
      <c r="G69" s="113">
        <v>279650.90000000002</v>
      </c>
      <c r="H69" s="49">
        <f t="shared" si="2"/>
        <v>1542485.23</v>
      </c>
    </row>
    <row r="70" spans="1:8" ht="14.25" customHeight="1" x14ac:dyDescent="0.3">
      <c r="A70" s="21"/>
      <c r="B70" s="17"/>
      <c r="C70" s="17"/>
      <c r="D70" s="17" t="s">
        <v>45</v>
      </c>
      <c r="E70" s="132" t="s">
        <v>101</v>
      </c>
      <c r="F70" s="113">
        <v>70904.820000000007</v>
      </c>
      <c r="G70" s="113">
        <v>20200.509999999998</v>
      </c>
      <c r="H70" s="49">
        <f t="shared" si="2"/>
        <v>91105.33</v>
      </c>
    </row>
    <row r="71" spans="1:8" ht="14.25" customHeight="1" x14ac:dyDescent="0.3">
      <c r="A71" s="21"/>
      <c r="B71" s="17"/>
      <c r="C71" s="17"/>
      <c r="D71" s="17" t="s">
        <v>109</v>
      </c>
      <c r="E71" s="135" t="s">
        <v>146</v>
      </c>
      <c r="F71" s="113">
        <v>81249.710000000006</v>
      </c>
      <c r="G71" s="113">
        <v>19239.060000000001</v>
      </c>
      <c r="H71" s="49">
        <f t="shared" si="2"/>
        <v>100488.77</v>
      </c>
    </row>
    <row r="72" spans="1:8" ht="14.25" customHeight="1" x14ac:dyDescent="0.3">
      <c r="A72" s="21"/>
      <c r="B72" s="17"/>
      <c r="C72" s="17"/>
      <c r="D72" s="17" t="s">
        <v>193</v>
      </c>
      <c r="E72" s="135" t="s">
        <v>102</v>
      </c>
      <c r="F72" s="113">
        <v>0</v>
      </c>
      <c r="G72" s="113">
        <v>0</v>
      </c>
      <c r="H72" s="49">
        <f t="shared" si="2"/>
        <v>0</v>
      </c>
    </row>
    <row r="73" spans="1:8" ht="14.25" customHeight="1" x14ac:dyDescent="0.3">
      <c r="A73" s="21"/>
      <c r="B73" s="17"/>
      <c r="C73" s="17"/>
      <c r="D73" s="17" t="s">
        <v>194</v>
      </c>
      <c r="E73" s="134" t="s">
        <v>195</v>
      </c>
      <c r="F73" s="113">
        <v>0</v>
      </c>
      <c r="G73" s="113">
        <v>0</v>
      </c>
      <c r="H73" s="49">
        <f>SUM(F73:G73)</f>
        <v>0</v>
      </c>
    </row>
    <row r="74" spans="1:8" ht="14.25" customHeight="1" x14ac:dyDescent="0.3">
      <c r="A74" s="21"/>
      <c r="B74" s="17"/>
      <c r="C74" s="17"/>
      <c r="D74" s="17" t="s">
        <v>46</v>
      </c>
      <c r="E74" s="135" t="s">
        <v>103</v>
      </c>
      <c r="F74" s="113">
        <v>228859.62</v>
      </c>
      <c r="G74" s="113">
        <v>0</v>
      </c>
      <c r="H74" s="54">
        <f t="shared" si="2"/>
        <v>228859.62</v>
      </c>
    </row>
    <row r="75" spans="1:8" ht="14.25" customHeight="1" x14ac:dyDescent="0.3">
      <c r="A75" s="21"/>
      <c r="B75" s="17"/>
      <c r="C75" s="17"/>
      <c r="D75" s="17" t="s">
        <v>67</v>
      </c>
      <c r="E75" s="130" t="s">
        <v>0</v>
      </c>
      <c r="F75" s="104">
        <f>SUM(F66:F74)</f>
        <v>3612427.8</v>
      </c>
      <c r="G75" s="104">
        <f>SUM(G66:G74)</f>
        <v>785083.57</v>
      </c>
      <c r="H75" s="55">
        <f>SUM(F75:G75)</f>
        <v>4397511.37</v>
      </c>
    </row>
    <row r="76" spans="1:8" ht="11.25" customHeight="1" x14ac:dyDescent="0.3">
      <c r="A76" s="21"/>
      <c r="B76" s="17"/>
      <c r="C76" s="17"/>
      <c r="D76" s="17"/>
      <c r="E76" s="130" t="s">
        <v>0</v>
      </c>
      <c r="F76" s="114"/>
      <c r="G76" s="114"/>
      <c r="H76" s="53"/>
    </row>
    <row r="77" spans="1:8" ht="14.25" customHeight="1" x14ac:dyDescent="0.3">
      <c r="A77" s="21"/>
      <c r="B77" s="30" t="s">
        <v>6</v>
      </c>
      <c r="C77" s="20" t="s">
        <v>47</v>
      </c>
      <c r="D77" s="20"/>
      <c r="E77" s="130" t="s">
        <v>0</v>
      </c>
      <c r="F77" s="112"/>
      <c r="G77" s="112"/>
      <c r="H77" s="51"/>
    </row>
    <row r="78" spans="1:8" ht="14.25" customHeight="1" x14ac:dyDescent="0.3">
      <c r="A78" s="21"/>
      <c r="B78" s="30"/>
      <c r="C78" s="20"/>
      <c r="D78" s="20" t="s">
        <v>68</v>
      </c>
      <c r="E78" s="134">
        <v>4100</v>
      </c>
      <c r="F78" s="113">
        <v>2880249.65</v>
      </c>
      <c r="G78" s="113">
        <v>465176.34</v>
      </c>
      <c r="H78" s="49">
        <f t="shared" ref="H78:H83" si="3">SUM(F78:G78)</f>
        <v>3345425.99</v>
      </c>
    </row>
    <row r="79" spans="1:8" ht="14.25" customHeight="1" x14ac:dyDescent="0.3">
      <c r="A79" s="21"/>
      <c r="B79" s="30"/>
      <c r="C79" s="20"/>
      <c r="D79" s="17" t="s">
        <v>69</v>
      </c>
      <c r="E79" s="130">
        <v>4200</v>
      </c>
      <c r="F79" s="96">
        <v>50482.559999999998</v>
      </c>
      <c r="G79" s="96">
        <v>0</v>
      </c>
      <c r="H79" s="49">
        <f t="shared" si="3"/>
        <v>50482.559999999998</v>
      </c>
    </row>
    <row r="80" spans="1:8" ht="14.25" customHeight="1" x14ac:dyDescent="0.3">
      <c r="A80" s="21"/>
      <c r="B80" s="30"/>
      <c r="C80" s="20"/>
      <c r="D80" s="20" t="s">
        <v>70</v>
      </c>
      <c r="E80" s="134">
        <v>4300</v>
      </c>
      <c r="F80" s="101">
        <v>1031627.66</v>
      </c>
      <c r="G80" s="101">
        <v>183709.37</v>
      </c>
      <c r="H80" s="49">
        <f t="shared" si="3"/>
        <v>1215337.03</v>
      </c>
    </row>
    <row r="81" spans="1:8" ht="14.25" customHeight="1" x14ac:dyDescent="0.3">
      <c r="A81" s="21"/>
      <c r="B81" s="30"/>
      <c r="C81" s="20"/>
      <c r="D81" s="20" t="s">
        <v>71</v>
      </c>
      <c r="E81" s="134">
        <v>4400</v>
      </c>
      <c r="F81" s="101">
        <v>192516.82</v>
      </c>
      <c r="G81" s="101">
        <v>217813.22</v>
      </c>
      <c r="H81" s="49">
        <f t="shared" si="3"/>
        <v>410330.04</v>
      </c>
    </row>
    <row r="82" spans="1:8" ht="14.25" customHeight="1" x14ac:dyDescent="0.3">
      <c r="A82" s="21"/>
      <c r="B82" s="30"/>
      <c r="C82" s="20"/>
      <c r="D82" s="20" t="s">
        <v>72</v>
      </c>
      <c r="E82" s="134">
        <v>4700</v>
      </c>
      <c r="F82" s="102">
        <v>0</v>
      </c>
      <c r="G82" s="103">
        <v>0</v>
      </c>
      <c r="H82" s="54">
        <f t="shared" si="3"/>
        <v>0</v>
      </c>
    </row>
    <row r="83" spans="1:8" ht="14.25" customHeight="1" x14ac:dyDescent="0.3">
      <c r="A83" s="21"/>
      <c r="B83" s="30"/>
      <c r="C83" s="20"/>
      <c r="D83" s="20" t="s">
        <v>73</v>
      </c>
      <c r="E83" s="130" t="s">
        <v>0</v>
      </c>
      <c r="F83" s="104">
        <f>SUM(F78:F82)</f>
        <v>4154876.69</v>
      </c>
      <c r="G83" s="104">
        <f>SUM(G78:G82)</f>
        <v>866698.93</v>
      </c>
      <c r="H83" s="55">
        <f t="shared" si="3"/>
        <v>5021575.62</v>
      </c>
    </row>
    <row r="84" spans="1:8" ht="9.75" customHeight="1" x14ac:dyDescent="0.3">
      <c r="A84" s="21"/>
      <c r="B84" s="19"/>
      <c r="C84" s="17"/>
      <c r="D84" s="17"/>
      <c r="E84" s="130" t="s">
        <v>0</v>
      </c>
      <c r="F84" s="114"/>
      <c r="G84" s="114"/>
      <c r="H84" s="53"/>
    </row>
    <row r="85" spans="1:8" ht="14.25" customHeight="1" x14ac:dyDescent="0.3">
      <c r="A85" s="21"/>
      <c r="B85" s="19" t="s">
        <v>9</v>
      </c>
      <c r="C85" s="17" t="s">
        <v>48</v>
      </c>
      <c r="D85" s="17"/>
      <c r="E85" s="130" t="s">
        <v>0</v>
      </c>
      <c r="F85" s="112"/>
      <c r="G85" s="112"/>
      <c r="H85" s="51"/>
    </row>
    <row r="86" spans="1:8" ht="14.25" customHeight="1" x14ac:dyDescent="0.3">
      <c r="A86" s="21"/>
      <c r="B86" s="19"/>
      <c r="C86" s="17"/>
      <c r="D86" s="17" t="s">
        <v>196</v>
      </c>
      <c r="E86" s="130">
        <v>5100</v>
      </c>
      <c r="F86" s="113">
        <v>0</v>
      </c>
      <c r="G86" s="113">
        <v>0</v>
      </c>
      <c r="H86" s="49">
        <f>SUM(F86:G86)</f>
        <v>0</v>
      </c>
    </row>
    <row r="87" spans="1:8" ht="14.25" customHeight="1" x14ac:dyDescent="0.3">
      <c r="A87" s="21"/>
      <c r="B87" s="19"/>
      <c r="C87" s="17"/>
      <c r="D87" s="17" t="s">
        <v>49</v>
      </c>
      <c r="E87" s="130">
        <v>5200</v>
      </c>
      <c r="F87" s="113">
        <v>45102.98</v>
      </c>
      <c r="G87" s="113">
        <v>0</v>
      </c>
      <c r="H87" s="49">
        <f>SUM(F87:G87)</f>
        <v>45102.98</v>
      </c>
    </row>
    <row r="88" spans="1:8" ht="14.25" customHeight="1" x14ac:dyDescent="0.3">
      <c r="A88" s="21"/>
      <c r="B88" s="19"/>
      <c r="C88" s="17"/>
      <c r="D88" s="17" t="s">
        <v>89</v>
      </c>
      <c r="E88" s="130">
        <v>5300</v>
      </c>
      <c r="F88" s="96">
        <v>27279</v>
      </c>
      <c r="G88" s="96">
        <v>0</v>
      </c>
      <c r="H88" s="49">
        <f t="shared" ref="H88:H95" si="4">SUM(F88:G88)</f>
        <v>27279</v>
      </c>
    </row>
    <row r="89" spans="1:8" ht="14.25" customHeight="1" x14ac:dyDescent="0.3">
      <c r="A89" s="21"/>
      <c r="B89" s="19"/>
      <c r="C89" s="17"/>
      <c r="D89" s="17" t="s">
        <v>74</v>
      </c>
      <c r="E89" s="135">
        <v>5400</v>
      </c>
      <c r="F89" s="101">
        <v>284104.27</v>
      </c>
      <c r="G89" s="101">
        <v>0</v>
      </c>
      <c r="H89" s="49">
        <f t="shared" si="4"/>
        <v>284104.27</v>
      </c>
    </row>
    <row r="90" spans="1:8" ht="14.25" customHeight="1" x14ac:dyDescent="0.3">
      <c r="A90" s="21"/>
      <c r="B90" s="19"/>
      <c r="C90" s="17"/>
      <c r="D90" s="17" t="s">
        <v>107</v>
      </c>
      <c r="E90" s="134">
        <v>5500</v>
      </c>
      <c r="F90" s="101">
        <v>2304</v>
      </c>
      <c r="G90" s="101">
        <v>0</v>
      </c>
      <c r="H90" s="49">
        <f t="shared" si="4"/>
        <v>2304</v>
      </c>
    </row>
    <row r="91" spans="1:8" ht="14.25" customHeight="1" x14ac:dyDescent="0.3">
      <c r="A91" s="21"/>
      <c r="B91" s="19"/>
      <c r="C91" s="17"/>
      <c r="D91" s="17" t="s">
        <v>94</v>
      </c>
      <c r="E91" s="134">
        <v>5600</v>
      </c>
      <c r="F91" s="101">
        <v>118629.58</v>
      </c>
      <c r="G91" s="101">
        <v>0</v>
      </c>
      <c r="H91" s="49">
        <f t="shared" si="4"/>
        <v>118629.58</v>
      </c>
    </row>
    <row r="92" spans="1:8" ht="14.25" customHeight="1" x14ac:dyDescent="0.3">
      <c r="A92" s="21"/>
      <c r="B92" s="19"/>
      <c r="C92" s="17"/>
      <c r="D92" s="17" t="s">
        <v>296</v>
      </c>
      <c r="E92" s="134" t="s">
        <v>297</v>
      </c>
      <c r="F92" s="101">
        <v>0</v>
      </c>
      <c r="G92" s="101">
        <v>0</v>
      </c>
      <c r="H92" s="49">
        <f t="shared" si="4"/>
        <v>0</v>
      </c>
    </row>
    <row r="93" spans="1:8" ht="14.25" customHeight="1" x14ac:dyDescent="0.3">
      <c r="A93" s="21"/>
      <c r="B93" s="17"/>
      <c r="C93" s="17"/>
      <c r="D93" s="17" t="s">
        <v>108</v>
      </c>
      <c r="E93" s="134">
        <v>5800</v>
      </c>
      <c r="F93" s="101">
        <v>7090427.6299999999</v>
      </c>
      <c r="G93" s="101">
        <v>408043</v>
      </c>
      <c r="H93" s="49">
        <f t="shared" si="4"/>
        <v>7498470.6299999999</v>
      </c>
    </row>
    <row r="94" spans="1:8" ht="14.25" customHeight="1" x14ac:dyDescent="0.3">
      <c r="A94" s="21"/>
      <c r="B94" s="17"/>
      <c r="C94" s="17"/>
      <c r="D94" s="17" t="s">
        <v>50</v>
      </c>
      <c r="E94" s="134">
        <v>5900</v>
      </c>
      <c r="F94" s="102">
        <v>178489.21</v>
      </c>
      <c r="G94" s="103">
        <v>0</v>
      </c>
      <c r="H94" s="54">
        <f t="shared" si="4"/>
        <v>178489.21</v>
      </c>
    </row>
    <row r="95" spans="1:8" ht="14.25" customHeight="1" x14ac:dyDescent="0.3">
      <c r="A95" s="21"/>
      <c r="B95" s="17"/>
      <c r="C95" s="17"/>
      <c r="D95" s="17" t="s">
        <v>75</v>
      </c>
      <c r="E95" s="130" t="s">
        <v>0</v>
      </c>
      <c r="F95" s="104">
        <f>SUM(F86:F94)</f>
        <v>7746336.6699999999</v>
      </c>
      <c r="G95" s="104">
        <f>SUM(G86:G94)</f>
        <v>408043</v>
      </c>
      <c r="H95" s="55">
        <f t="shared" si="4"/>
        <v>8154379.6699999999</v>
      </c>
    </row>
    <row r="96" spans="1:8" ht="11.25" customHeight="1" x14ac:dyDescent="0.3">
      <c r="A96" s="21"/>
      <c r="B96" s="17"/>
      <c r="C96" s="17" t="s">
        <v>0</v>
      </c>
      <c r="D96" s="17" t="s">
        <v>10</v>
      </c>
      <c r="E96" s="130" t="s">
        <v>0</v>
      </c>
      <c r="F96" s="150"/>
      <c r="G96" s="150"/>
      <c r="H96" s="53"/>
    </row>
    <row r="97" spans="1:8" ht="14.25" customHeight="1" x14ac:dyDescent="0.3">
      <c r="A97" s="21"/>
      <c r="B97" s="19" t="s">
        <v>11</v>
      </c>
      <c r="C97" s="17" t="s">
        <v>51</v>
      </c>
      <c r="D97" s="17"/>
      <c r="E97" s="130" t="s">
        <v>0</v>
      </c>
      <c r="F97" s="150"/>
      <c r="G97" s="150"/>
      <c r="H97" s="51"/>
    </row>
    <row r="98" spans="1:8" ht="14.25" customHeight="1" x14ac:dyDescent="0.3">
      <c r="A98" s="21"/>
      <c r="B98" s="19"/>
      <c r="C98" s="17"/>
      <c r="D98" s="118" t="s">
        <v>287</v>
      </c>
      <c r="E98" s="130"/>
      <c r="F98" s="150"/>
      <c r="G98" s="150"/>
      <c r="H98" s="51"/>
    </row>
    <row r="99" spans="1:8" ht="14.25" customHeight="1" x14ac:dyDescent="0.3">
      <c r="A99" s="21"/>
      <c r="B99" s="19"/>
      <c r="C99" s="17"/>
      <c r="D99" s="118" t="s">
        <v>178</v>
      </c>
      <c r="E99" s="134" t="s">
        <v>176</v>
      </c>
      <c r="F99" s="242"/>
      <c r="G99" s="242"/>
      <c r="H99" s="49">
        <f>SUM(F99:G99)</f>
        <v>0</v>
      </c>
    </row>
    <row r="100" spans="1:8" ht="14.25" customHeight="1" x14ac:dyDescent="0.3">
      <c r="A100" s="21"/>
      <c r="B100" s="19"/>
      <c r="C100" s="17"/>
      <c r="D100" s="17" t="s">
        <v>76</v>
      </c>
      <c r="E100" s="130">
        <v>6200</v>
      </c>
      <c r="F100" s="151"/>
      <c r="G100" s="151"/>
      <c r="H100" s="49">
        <f t="shared" ref="H100:H106" si="5">SUM(F100:G100)</f>
        <v>0</v>
      </c>
    </row>
    <row r="101" spans="1:8" ht="14.25" customHeight="1" x14ac:dyDescent="0.3">
      <c r="A101" s="21"/>
      <c r="B101" s="19"/>
      <c r="C101" s="17"/>
      <c r="D101" s="17" t="s">
        <v>52</v>
      </c>
      <c r="E101" s="130" t="s">
        <v>0</v>
      </c>
      <c r="F101" s="152"/>
      <c r="G101" s="152"/>
      <c r="H101" s="50"/>
    </row>
    <row r="102" spans="1:8" ht="14.25" customHeight="1" x14ac:dyDescent="0.3">
      <c r="A102" s="21"/>
      <c r="B102" s="19"/>
      <c r="C102" s="17"/>
      <c r="D102" s="118" t="s">
        <v>179</v>
      </c>
      <c r="E102" s="132">
        <v>6300</v>
      </c>
      <c r="F102" s="242"/>
      <c r="G102" s="242"/>
      <c r="H102" s="49">
        <f>SUM(F102:G102)</f>
        <v>0</v>
      </c>
    </row>
    <row r="103" spans="1:8" ht="14.25" customHeight="1" x14ac:dyDescent="0.3">
      <c r="A103" s="21"/>
      <c r="B103" s="19"/>
      <c r="C103" s="17"/>
      <c r="D103" s="118" t="s">
        <v>53</v>
      </c>
      <c r="E103" s="134">
        <v>6400</v>
      </c>
      <c r="F103" s="151"/>
      <c r="G103" s="151"/>
      <c r="H103" s="49">
        <f t="shared" si="5"/>
        <v>0</v>
      </c>
    </row>
    <row r="104" spans="1:8" ht="14.25" customHeight="1" x14ac:dyDescent="0.3">
      <c r="A104" s="21"/>
      <c r="B104" s="19"/>
      <c r="C104" s="17"/>
      <c r="D104" s="118" t="s">
        <v>180</v>
      </c>
      <c r="E104" s="134">
        <v>6500</v>
      </c>
      <c r="F104" s="151"/>
      <c r="G104" s="151"/>
      <c r="H104" s="49">
        <f t="shared" si="5"/>
        <v>0</v>
      </c>
    </row>
    <row r="105" spans="1:8" ht="14.25" customHeight="1" x14ac:dyDescent="0.3">
      <c r="A105" s="21"/>
      <c r="B105" s="19"/>
      <c r="C105" s="17"/>
      <c r="D105" s="118" t="s">
        <v>288</v>
      </c>
      <c r="E105" s="134">
        <v>6900</v>
      </c>
      <c r="F105" s="269">
        <v>1726.65</v>
      </c>
      <c r="G105" s="270"/>
      <c r="H105" s="54">
        <f t="shared" si="5"/>
        <v>1726.65</v>
      </c>
    </row>
    <row r="106" spans="1:8" ht="14.25" customHeight="1" x14ac:dyDescent="0.3">
      <c r="A106" s="21"/>
      <c r="B106" s="17"/>
      <c r="C106" s="17" t="s">
        <v>0</v>
      </c>
      <c r="D106" s="17" t="s">
        <v>77</v>
      </c>
      <c r="E106" s="130" t="s">
        <v>0</v>
      </c>
      <c r="F106" s="104">
        <f>SUM(F99,F100,F102,F103,F104,F105)</f>
        <v>1726.65</v>
      </c>
      <c r="G106" s="104">
        <f>SUM(G99,G100,G102,G103,G104,G105)</f>
        <v>0</v>
      </c>
      <c r="H106" s="55">
        <f t="shared" si="5"/>
        <v>1726.65</v>
      </c>
    </row>
    <row r="107" spans="1:8" ht="10.5" customHeight="1" x14ac:dyDescent="0.3">
      <c r="A107" s="21"/>
      <c r="B107" s="17"/>
      <c r="C107" s="17"/>
      <c r="D107" s="17"/>
      <c r="E107" s="130" t="s">
        <v>0</v>
      </c>
      <c r="F107" s="114"/>
      <c r="G107" s="114"/>
      <c r="H107" s="53"/>
    </row>
    <row r="108" spans="1:8" ht="14.25" customHeight="1" x14ac:dyDescent="0.3">
      <c r="A108" s="21"/>
      <c r="B108" s="19" t="s">
        <v>12</v>
      </c>
      <c r="C108" s="17" t="s">
        <v>163</v>
      </c>
      <c r="D108" s="17"/>
      <c r="E108" s="130" t="s">
        <v>0</v>
      </c>
      <c r="F108" s="112"/>
      <c r="G108" s="112"/>
      <c r="H108" s="51"/>
    </row>
    <row r="109" spans="1:8" ht="14.25" customHeight="1" x14ac:dyDescent="0.3">
      <c r="A109" s="21"/>
      <c r="B109" s="16" t="s">
        <v>0</v>
      </c>
      <c r="C109" s="17"/>
      <c r="D109" s="17" t="s">
        <v>54</v>
      </c>
      <c r="E109" s="135" t="s">
        <v>104</v>
      </c>
      <c r="F109" s="113"/>
      <c r="G109" s="113"/>
      <c r="H109" s="49">
        <f t="shared" ref="H109:H114" si="6">SUM(F109:G109)</f>
        <v>0</v>
      </c>
    </row>
    <row r="110" spans="1:8" ht="14.25" customHeight="1" x14ac:dyDescent="0.3">
      <c r="A110" s="21"/>
      <c r="B110" s="19"/>
      <c r="C110" s="17"/>
      <c r="D110" s="118" t="s">
        <v>187</v>
      </c>
      <c r="E110" s="132" t="s">
        <v>105</v>
      </c>
      <c r="F110" s="96"/>
      <c r="G110" s="96"/>
      <c r="H110" s="49">
        <f t="shared" si="6"/>
        <v>0</v>
      </c>
    </row>
    <row r="111" spans="1:8" ht="14.25" customHeight="1" x14ac:dyDescent="0.3">
      <c r="A111" s="21"/>
      <c r="B111" s="19"/>
      <c r="C111" s="17"/>
      <c r="D111" s="17" t="s">
        <v>171</v>
      </c>
      <c r="E111" s="132" t="s">
        <v>169</v>
      </c>
      <c r="F111" s="251"/>
      <c r="G111" s="95"/>
      <c r="H111" s="49">
        <f t="shared" si="6"/>
        <v>0</v>
      </c>
    </row>
    <row r="112" spans="1:8" ht="14.25" customHeight="1" x14ac:dyDescent="0.3">
      <c r="A112" s="21"/>
      <c r="B112" s="19"/>
      <c r="C112" s="17"/>
      <c r="D112" s="17" t="s">
        <v>172</v>
      </c>
      <c r="E112" s="132" t="s">
        <v>170</v>
      </c>
      <c r="F112" s="96"/>
      <c r="G112" s="96"/>
      <c r="H112" s="49">
        <f t="shared" si="6"/>
        <v>0</v>
      </c>
    </row>
    <row r="113" spans="1:10" ht="14.25" customHeight="1" x14ac:dyDescent="0.3">
      <c r="A113" s="21"/>
      <c r="B113" s="19"/>
      <c r="C113" s="17"/>
      <c r="D113" s="17" t="s">
        <v>90</v>
      </c>
      <c r="E113" s="132" t="s">
        <v>197</v>
      </c>
      <c r="F113" s="231"/>
      <c r="G113" s="231"/>
      <c r="H113" s="49">
        <f t="shared" si="6"/>
        <v>0</v>
      </c>
    </row>
    <row r="114" spans="1:10" ht="14.25" customHeight="1" x14ac:dyDescent="0.3">
      <c r="A114" s="21"/>
      <c r="B114" s="19"/>
      <c r="C114" s="17"/>
      <c r="D114" s="17" t="s">
        <v>298</v>
      </c>
      <c r="E114" s="132" t="s">
        <v>299</v>
      </c>
      <c r="F114" s="231"/>
      <c r="G114" s="231"/>
      <c r="H114" s="54">
        <f t="shared" si="6"/>
        <v>0</v>
      </c>
    </row>
    <row r="115" spans="1:10" ht="14.25" customHeight="1" x14ac:dyDescent="0.3">
      <c r="A115" s="21"/>
      <c r="B115" s="19"/>
      <c r="C115" s="17"/>
      <c r="D115" s="20" t="s">
        <v>91</v>
      </c>
      <c r="E115" s="130" t="s">
        <v>0</v>
      </c>
      <c r="F115" s="115"/>
      <c r="G115" s="115"/>
      <c r="H115" s="50"/>
    </row>
    <row r="116" spans="1:10" ht="14.25" customHeight="1" x14ac:dyDescent="0.3">
      <c r="A116" s="21"/>
      <c r="B116" s="19"/>
      <c r="C116" s="17"/>
      <c r="D116" s="118" t="s">
        <v>184</v>
      </c>
      <c r="E116" s="130">
        <v>7438</v>
      </c>
      <c r="F116" s="233">
        <v>20527.25</v>
      </c>
      <c r="G116" s="139"/>
      <c r="H116" s="49">
        <f>SUM(F116:G116)</f>
        <v>20527.25</v>
      </c>
    </row>
    <row r="117" spans="1:10" ht="14.25" customHeight="1" x14ac:dyDescent="0.3">
      <c r="A117" s="21"/>
      <c r="B117" s="19"/>
      <c r="C117" s="17"/>
      <c r="D117" s="118" t="s">
        <v>208</v>
      </c>
      <c r="E117" s="130">
        <v>7439</v>
      </c>
      <c r="F117" s="217"/>
      <c r="G117" s="217"/>
      <c r="H117" s="54">
        <f>SUM(F117:G117)</f>
        <v>0</v>
      </c>
    </row>
    <row r="118" spans="1:10" ht="14.25" customHeight="1" x14ac:dyDescent="0.3">
      <c r="A118" s="21"/>
      <c r="B118" s="19"/>
      <c r="C118" s="17"/>
      <c r="D118" s="127" t="s">
        <v>253</v>
      </c>
      <c r="E118" s="130"/>
      <c r="F118" s="163">
        <f>SUM(F116:F117)</f>
        <v>20527.25</v>
      </c>
      <c r="G118" s="163">
        <f>SUM(G116:G117)</f>
        <v>0</v>
      </c>
      <c r="H118" s="55">
        <f>SUM(F118:G118)</f>
        <v>20527.25</v>
      </c>
    </row>
    <row r="119" spans="1:10" ht="14.25" customHeight="1" x14ac:dyDescent="0.3">
      <c r="A119" s="21"/>
      <c r="B119" s="19"/>
      <c r="C119" s="17"/>
      <c r="D119" s="17" t="s">
        <v>238</v>
      </c>
      <c r="E119" s="130" t="s">
        <v>0</v>
      </c>
      <c r="F119" s="104">
        <f>SUM(F109,F110,F111,F112,F113,F114,F116,F117)</f>
        <v>20527.25</v>
      </c>
      <c r="G119" s="104">
        <f>SUM(G109,G110,G111,G112,G113,G114,G116,G117)</f>
        <v>0</v>
      </c>
      <c r="H119" s="55">
        <f>SUM(F119:G119)</f>
        <v>20527.25</v>
      </c>
    </row>
    <row r="120" spans="1:10" ht="10.5" customHeight="1" x14ac:dyDescent="0.3">
      <c r="A120" s="21"/>
      <c r="B120" s="19"/>
      <c r="C120" s="17"/>
      <c r="D120" s="17"/>
      <c r="E120" s="130" t="s">
        <v>0</v>
      </c>
      <c r="F120" s="107"/>
      <c r="G120" s="107"/>
      <c r="H120" s="51"/>
    </row>
    <row r="121" spans="1:10" ht="14.25" customHeight="1" x14ac:dyDescent="0.3">
      <c r="A121" s="27"/>
      <c r="B121" s="31" t="s">
        <v>13</v>
      </c>
      <c r="C121" s="28" t="s">
        <v>14</v>
      </c>
      <c r="D121" s="28"/>
      <c r="E121" s="218" t="s">
        <v>0</v>
      </c>
      <c r="F121" s="106">
        <f>SUM(F54,F63,F75,F83,F95,F106,F119)</f>
        <v>28157878.98</v>
      </c>
      <c r="G121" s="106">
        <f>SUM(G54,G63,G75,G83,G95,G106,G119)</f>
        <v>4850450.78</v>
      </c>
      <c r="H121" s="56">
        <f>SUM(F121:G121)</f>
        <v>33008329.760000002</v>
      </c>
      <c r="I121" s="32"/>
      <c r="J121" s="8" t="s">
        <v>0</v>
      </c>
    </row>
    <row r="122" spans="1:10" s="153" customFormat="1" ht="14.25" customHeight="1" x14ac:dyDescent="0.3">
      <c r="A122" s="219"/>
      <c r="B122" s="220"/>
      <c r="C122" s="220"/>
      <c r="D122" s="221" t="s">
        <v>145</v>
      </c>
      <c r="E122" s="221" t="s">
        <v>96</v>
      </c>
      <c r="F122" s="222" t="s">
        <v>37</v>
      </c>
      <c r="G122" s="222" t="s">
        <v>38</v>
      </c>
      <c r="H122" s="223" t="s">
        <v>39</v>
      </c>
    </row>
    <row r="123" spans="1:10" s="158" customFormat="1" ht="14.25" customHeight="1" x14ac:dyDescent="0.3">
      <c r="A123" s="154" t="s">
        <v>15</v>
      </c>
      <c r="B123" s="155" t="s">
        <v>207</v>
      </c>
      <c r="C123" s="156"/>
      <c r="D123" s="156"/>
      <c r="E123" s="157" t="s">
        <v>0</v>
      </c>
      <c r="F123" s="105"/>
      <c r="G123" s="105"/>
      <c r="H123" s="53"/>
    </row>
    <row r="124" spans="1:10" ht="14.25" customHeight="1" x14ac:dyDescent="0.3">
      <c r="A124" s="15"/>
      <c r="B124" s="16" t="s">
        <v>119</v>
      </c>
      <c r="C124" s="20"/>
      <c r="D124" s="17"/>
      <c r="E124" s="17" t="s">
        <v>0</v>
      </c>
      <c r="F124" s="108">
        <f>SUM(F46-F121)</f>
        <v>138631.59</v>
      </c>
      <c r="G124" s="106">
        <f>SUM(G46-G121)</f>
        <v>81403.72</v>
      </c>
      <c r="H124" s="54">
        <f>SUM(F124:G124)</f>
        <v>220035.31</v>
      </c>
    </row>
    <row r="125" spans="1:10" s="20" customFormat="1" ht="10.5" customHeight="1" x14ac:dyDescent="0.3">
      <c r="A125" s="15"/>
      <c r="B125" s="16"/>
      <c r="D125" s="17"/>
      <c r="E125" s="17"/>
      <c r="F125" s="121"/>
      <c r="G125" s="121"/>
      <c r="H125" s="53"/>
    </row>
    <row r="126" spans="1:10" customFormat="1" ht="14" x14ac:dyDescent="0.3">
      <c r="A126" s="15" t="s">
        <v>16</v>
      </c>
      <c r="B126" s="16" t="s">
        <v>147</v>
      </c>
      <c r="F126" s="112"/>
      <c r="G126" s="112"/>
      <c r="H126" s="51"/>
    </row>
    <row r="127" spans="1:10" ht="14.25" customHeight="1" x14ac:dyDescent="0.3">
      <c r="A127" s="15"/>
      <c r="B127" s="16" t="s">
        <v>3</v>
      </c>
      <c r="C127" s="17" t="s">
        <v>114</v>
      </c>
      <c r="D127" s="17"/>
      <c r="E127" s="130" t="s">
        <v>115</v>
      </c>
      <c r="F127" s="95"/>
      <c r="G127" s="95"/>
      <c r="H127" s="49">
        <f>SUM(F127:G127)</f>
        <v>0</v>
      </c>
    </row>
    <row r="128" spans="1:10" ht="14.25" customHeight="1" x14ac:dyDescent="0.3">
      <c r="A128" s="15"/>
      <c r="B128" s="16" t="s">
        <v>4</v>
      </c>
      <c r="C128" s="20" t="s">
        <v>162</v>
      </c>
      <c r="D128" s="20"/>
      <c r="E128" s="134" t="s">
        <v>116</v>
      </c>
      <c r="F128" s="96"/>
      <c r="G128" s="96"/>
      <c r="H128" s="49">
        <f>SUM(F128:G128)</f>
        <v>0</v>
      </c>
    </row>
    <row r="129" spans="1:8" ht="14.25" customHeight="1" x14ac:dyDescent="0.3">
      <c r="A129" s="15"/>
      <c r="B129" s="16" t="s">
        <v>5</v>
      </c>
      <c r="C129" s="20" t="s">
        <v>149</v>
      </c>
      <c r="D129" s="33"/>
      <c r="E129" s="130"/>
      <c r="F129" s="121"/>
      <c r="G129" s="121"/>
      <c r="H129" s="61" t="str">
        <f>IF(H130=0,"","(must be zero)")</f>
        <v/>
      </c>
    </row>
    <row r="130" spans="1:8" ht="14.25" customHeight="1" x14ac:dyDescent="0.3">
      <c r="A130" s="15"/>
      <c r="B130" s="16"/>
      <c r="C130" s="20" t="s">
        <v>165</v>
      </c>
      <c r="D130" s="33"/>
      <c r="E130" s="130" t="s">
        <v>106</v>
      </c>
      <c r="F130" s="120">
        <v>81403.72</v>
      </c>
      <c r="G130" s="120">
        <v>-81403.72</v>
      </c>
      <c r="H130" s="49">
        <f>SUM(F130:G130)</f>
        <v>0</v>
      </c>
    </row>
    <row r="131" spans="1:8" ht="11.25" customHeight="1" x14ac:dyDescent="0.3">
      <c r="A131" s="15"/>
      <c r="B131" s="16" t="s">
        <v>0</v>
      </c>
      <c r="C131" s="20"/>
      <c r="D131" s="20"/>
      <c r="E131" s="130" t="s">
        <v>0</v>
      </c>
      <c r="F131" s="105"/>
      <c r="G131" s="105"/>
      <c r="H131" s="53"/>
    </row>
    <row r="132" spans="1:8" ht="14.25" customHeight="1" x14ac:dyDescent="0.3">
      <c r="A132" s="21"/>
      <c r="B132" s="16" t="s">
        <v>6</v>
      </c>
      <c r="C132" s="20" t="s">
        <v>148</v>
      </c>
      <c r="D132" s="20"/>
      <c r="E132" s="130" t="s">
        <v>0</v>
      </c>
      <c r="F132" s="106">
        <f>SUM(+F127-F128+F130)</f>
        <v>81403.72</v>
      </c>
      <c r="G132" s="106">
        <f>SUM(+G127-G128+G130)</f>
        <v>-81403.72</v>
      </c>
      <c r="H132" s="56">
        <f>SUM(F132:G132)</f>
        <v>0</v>
      </c>
    </row>
    <row r="133" spans="1:8" ht="11.25" customHeight="1" x14ac:dyDescent="0.3">
      <c r="A133" s="21"/>
      <c r="B133" s="17"/>
      <c r="C133" s="17"/>
      <c r="D133" s="17"/>
      <c r="E133" s="130" t="s">
        <v>0</v>
      </c>
      <c r="F133" s="105"/>
      <c r="G133" s="105"/>
      <c r="H133" s="53"/>
    </row>
    <row r="134" spans="1:8" ht="14.25" customHeight="1" x14ac:dyDescent="0.3">
      <c r="A134" s="15" t="s">
        <v>17</v>
      </c>
      <c r="B134" s="16" t="s">
        <v>293</v>
      </c>
      <c r="C134" s="17"/>
      <c r="D134" s="17"/>
      <c r="E134" s="232"/>
      <c r="F134" s="108">
        <f>SUM(F124,F132)</f>
        <v>220035.31</v>
      </c>
      <c r="G134" s="108">
        <f>SUM(G124,G132)</f>
        <v>0</v>
      </c>
      <c r="H134" s="58">
        <f>SUM(H124,H132)</f>
        <v>220035.31</v>
      </c>
    </row>
    <row r="135" spans="1:8" ht="14.25" customHeight="1" x14ac:dyDescent="0.3">
      <c r="A135" s="21"/>
      <c r="B135" s="17" t="s">
        <v>0</v>
      </c>
      <c r="C135" s="17"/>
      <c r="D135" s="243"/>
      <c r="E135" s="130" t="s">
        <v>0</v>
      </c>
      <c r="F135" s="212"/>
      <c r="G135" s="212"/>
      <c r="H135" s="59"/>
    </row>
    <row r="136" spans="1:8" ht="14.25" customHeight="1" x14ac:dyDescent="0.3">
      <c r="A136" s="15" t="s">
        <v>18</v>
      </c>
      <c r="B136" s="16" t="s">
        <v>269</v>
      </c>
      <c r="C136" s="17"/>
      <c r="D136" s="17"/>
      <c r="E136" s="130" t="s">
        <v>0</v>
      </c>
      <c r="F136" s="112"/>
      <c r="G136" s="112"/>
      <c r="H136" s="60"/>
    </row>
    <row r="137" spans="1:8" ht="14.25" customHeight="1" x14ac:dyDescent="0.3">
      <c r="A137" s="15"/>
      <c r="B137" s="16" t="s">
        <v>3</v>
      </c>
      <c r="C137" s="17" t="s">
        <v>268</v>
      </c>
      <c r="D137" s="17"/>
      <c r="E137" s="130"/>
      <c r="F137" s="213"/>
      <c r="G137" s="213"/>
      <c r="H137" s="60"/>
    </row>
    <row r="138" spans="1:8" ht="14.25" customHeight="1" x14ac:dyDescent="0.3">
      <c r="A138" s="21"/>
      <c r="B138" s="16"/>
      <c r="C138" s="17" t="s">
        <v>19</v>
      </c>
      <c r="D138" s="17" t="s">
        <v>150</v>
      </c>
      <c r="E138" s="134">
        <v>9791</v>
      </c>
      <c r="F138" s="113">
        <v>1698363.07</v>
      </c>
      <c r="G138" s="113" t="s">
        <v>0</v>
      </c>
      <c r="H138" s="49">
        <f>SUM(F138:G138)</f>
        <v>1698363.07</v>
      </c>
    </row>
    <row r="139" spans="1:8" ht="14.25" customHeight="1" x14ac:dyDescent="0.3">
      <c r="A139" s="21" t="s">
        <v>0</v>
      </c>
      <c r="B139" s="17"/>
      <c r="C139" s="17" t="s">
        <v>20</v>
      </c>
      <c r="D139" s="118" t="s">
        <v>267</v>
      </c>
      <c r="E139" s="136" t="s">
        <v>158</v>
      </c>
      <c r="F139" s="109">
        <v>93700.58</v>
      </c>
      <c r="G139" s="110" t="s">
        <v>0</v>
      </c>
      <c r="H139" s="54">
        <f>SUM(F139:G139)</f>
        <v>93700.58</v>
      </c>
    </row>
    <row r="140" spans="1:8" ht="14.25" customHeight="1" x14ac:dyDescent="0.3">
      <c r="A140" s="25"/>
      <c r="C140" s="10" t="s">
        <v>58</v>
      </c>
      <c r="D140" s="10" t="s">
        <v>270</v>
      </c>
      <c r="E140" s="130" t="s">
        <v>0</v>
      </c>
      <c r="F140" s="104">
        <f>SUM(F138,F139)</f>
        <v>1792063.65</v>
      </c>
      <c r="G140" s="104">
        <f>SUM(G138,G139)</f>
        <v>0</v>
      </c>
      <c r="H140" s="55">
        <f>SUM(F140:G140)</f>
        <v>1792063.65</v>
      </c>
    </row>
    <row r="141" spans="1:8" ht="14.25" customHeight="1" x14ac:dyDescent="0.3">
      <c r="A141" s="25"/>
      <c r="B141" s="26" t="s">
        <v>4</v>
      </c>
      <c r="C141" s="10" t="s">
        <v>271</v>
      </c>
      <c r="E141" s="130" t="s">
        <v>0</v>
      </c>
      <c r="F141" s="124">
        <f>SUM(F134,F140)</f>
        <v>2012098.96</v>
      </c>
      <c r="G141" s="124">
        <f>SUM(G134,G140)</f>
        <v>0</v>
      </c>
      <c r="H141" s="145">
        <f>SUM(F141:G141)</f>
        <v>2012098.96</v>
      </c>
    </row>
    <row r="142" spans="1:8" ht="14.25" customHeight="1" x14ac:dyDescent="0.3">
      <c r="A142" s="25"/>
      <c r="C142" s="294" t="s">
        <v>300</v>
      </c>
      <c r="D142" s="295"/>
      <c r="E142" s="296"/>
      <c r="F142" s="149"/>
      <c r="G142" s="149"/>
      <c r="H142" s="146"/>
    </row>
    <row r="143" spans="1:8" ht="14.25" customHeight="1" x14ac:dyDescent="0.3">
      <c r="A143" s="25"/>
      <c r="C143" s="10" t="s">
        <v>19</v>
      </c>
      <c r="D143" s="142" t="s">
        <v>221</v>
      </c>
      <c r="E143" s="134"/>
      <c r="F143" s="150"/>
      <c r="G143" s="150"/>
      <c r="H143" s="54"/>
    </row>
    <row r="144" spans="1:8" ht="14.25" customHeight="1" x14ac:dyDescent="0.3">
      <c r="A144" s="25"/>
      <c r="D144" s="10" t="s">
        <v>215</v>
      </c>
      <c r="E144" s="134">
        <v>9711</v>
      </c>
      <c r="F144" s="215"/>
      <c r="G144" s="215"/>
      <c r="H144" s="147">
        <f t="shared" ref="H144:H161" si="7">SUM(F144:G144)</f>
        <v>0</v>
      </c>
    </row>
    <row r="145" spans="1:12" ht="14.25" customHeight="1" x14ac:dyDescent="0.3">
      <c r="A145" s="25"/>
      <c r="D145" s="10" t="s">
        <v>247</v>
      </c>
      <c r="E145" s="134">
        <v>9712</v>
      </c>
      <c r="F145" s="216"/>
      <c r="G145" s="216"/>
      <c r="H145" s="147">
        <f t="shared" si="7"/>
        <v>0</v>
      </c>
    </row>
    <row r="146" spans="1:12" ht="14.25" customHeight="1" x14ac:dyDescent="0.3">
      <c r="A146" s="25"/>
      <c r="D146" s="10" t="s">
        <v>216</v>
      </c>
      <c r="E146" s="134">
        <v>9713</v>
      </c>
      <c r="F146" s="216"/>
      <c r="G146" s="216"/>
      <c r="H146" s="147">
        <f t="shared" si="7"/>
        <v>0</v>
      </c>
    </row>
    <row r="147" spans="1:12" ht="14.25" customHeight="1" x14ac:dyDescent="0.3">
      <c r="A147" s="25"/>
      <c r="D147" s="10" t="s">
        <v>219</v>
      </c>
      <c r="E147" s="134">
        <v>9719</v>
      </c>
      <c r="F147" s="241"/>
      <c r="G147" s="241"/>
      <c r="H147" s="147">
        <f t="shared" si="7"/>
        <v>0</v>
      </c>
    </row>
    <row r="148" spans="1:12" ht="14.25" customHeight="1" x14ac:dyDescent="0.3">
      <c r="A148" s="25"/>
      <c r="C148" s="10" t="s">
        <v>20</v>
      </c>
      <c r="D148" s="143" t="s">
        <v>38</v>
      </c>
      <c r="E148" s="134">
        <v>9740</v>
      </c>
      <c r="F148" s="94" t="s">
        <v>0</v>
      </c>
      <c r="G148" s="151"/>
      <c r="H148" s="54">
        <f t="shared" si="7"/>
        <v>0</v>
      </c>
    </row>
    <row r="149" spans="1:12" ht="14.25" customHeight="1" x14ac:dyDescent="0.3">
      <c r="A149" s="25"/>
      <c r="C149" s="10" t="s">
        <v>212</v>
      </c>
      <c r="D149" s="10" t="s">
        <v>213</v>
      </c>
      <c r="E149" s="130"/>
      <c r="F149" s="94"/>
      <c r="G149" s="94"/>
      <c r="H149" s="61"/>
    </row>
    <row r="150" spans="1:12" ht="14.25" customHeight="1" x14ac:dyDescent="0.3">
      <c r="A150" s="25"/>
      <c r="D150" s="10" t="s">
        <v>217</v>
      </c>
      <c r="E150" s="130">
        <v>9750</v>
      </c>
      <c r="F150" s="242"/>
      <c r="G150" s="94" t="s">
        <v>0</v>
      </c>
      <c r="H150" s="49">
        <f t="shared" si="7"/>
        <v>0</v>
      </c>
    </row>
    <row r="151" spans="1:12" ht="14.25" customHeight="1" x14ac:dyDescent="0.3">
      <c r="A151" s="25"/>
      <c r="D151" s="10" t="s">
        <v>218</v>
      </c>
      <c r="E151" s="135">
        <v>9760</v>
      </c>
      <c r="F151" s="151"/>
      <c r="G151" s="144"/>
      <c r="H151" s="148">
        <f t="shared" si="7"/>
        <v>0</v>
      </c>
    </row>
    <row r="152" spans="1:12" ht="14.25" customHeight="1" x14ac:dyDescent="0.3">
      <c r="A152" s="25"/>
      <c r="C152" s="10" t="s">
        <v>59</v>
      </c>
      <c r="D152" s="10" t="s">
        <v>220</v>
      </c>
      <c r="E152" s="45">
        <v>9780</v>
      </c>
      <c r="F152" s="151"/>
      <c r="G152" s="144"/>
      <c r="H152" s="148">
        <f t="shared" si="7"/>
        <v>0</v>
      </c>
    </row>
    <row r="153" spans="1:12" ht="14.25" customHeight="1" x14ac:dyDescent="0.3">
      <c r="A153" s="25"/>
      <c r="C153" s="10" t="s">
        <v>214</v>
      </c>
      <c r="D153" s="10" t="s">
        <v>223</v>
      </c>
      <c r="E153" s="45"/>
      <c r="F153" s="152"/>
      <c r="G153" s="144"/>
      <c r="H153" s="150"/>
    </row>
    <row r="154" spans="1:12" ht="14.25" customHeight="1" x14ac:dyDescent="0.3">
      <c r="A154" s="25"/>
      <c r="D154" s="10" t="s">
        <v>222</v>
      </c>
      <c r="E154" s="45">
        <v>9789</v>
      </c>
      <c r="F154" s="150"/>
      <c r="G154" s="94"/>
      <c r="H154" s="54">
        <f t="shared" si="7"/>
        <v>0</v>
      </c>
    </row>
    <row r="155" spans="1:12" ht="14.25" customHeight="1" x14ac:dyDescent="0.3">
      <c r="A155" s="25"/>
      <c r="D155" s="10" t="s">
        <v>224</v>
      </c>
      <c r="E155" s="45" t="s">
        <v>239</v>
      </c>
      <c r="F155" s="216"/>
      <c r="G155" s="151"/>
      <c r="H155" s="148">
        <f t="shared" si="7"/>
        <v>0</v>
      </c>
    </row>
    <row r="156" spans="1:12" ht="14.25" customHeight="1" x14ac:dyDescent="0.3">
      <c r="A156" s="25"/>
      <c r="E156" s="45"/>
      <c r="F156" s="266"/>
      <c r="G156" s="266"/>
      <c r="H156" s="54"/>
    </row>
    <row r="157" spans="1:12" ht="14.25" customHeight="1" x14ac:dyDescent="0.3">
      <c r="A157" s="25"/>
      <c r="B157" s="26" t="s">
        <v>5</v>
      </c>
      <c r="C157" s="37" t="s">
        <v>301</v>
      </c>
      <c r="D157" s="244"/>
      <c r="E157" s="45"/>
      <c r="F157" s="267" t="str">
        <f>IF(AND(SUM(F177)&gt;0,LEN(TRIM(F2F1Unrestricted)) = 0),"Enter amount for F.3.a","" )</f>
        <v/>
      </c>
      <c r="G157" s="268" t="str">
        <f>IF(AND(SUM(G177)&gt;0,LEN(TRIM(F2F1Restricted)) = 0),"Enter amount for F.3.a","" )</f>
        <v/>
      </c>
      <c r="H157" s="54"/>
    </row>
    <row r="158" spans="1:12" ht="14.25" customHeight="1" x14ac:dyDescent="0.3">
      <c r="A158" s="25"/>
      <c r="D158" s="10" t="s">
        <v>302</v>
      </c>
      <c r="E158" s="45">
        <v>9796</v>
      </c>
      <c r="F158" s="265">
        <v>0</v>
      </c>
      <c r="G158" s="139"/>
      <c r="H158" s="147">
        <f t="shared" si="7"/>
        <v>0</v>
      </c>
      <c r="K158" s="245" t="s">
        <v>0</v>
      </c>
      <c r="L158" s="245" t="s">
        <v>0</v>
      </c>
    </row>
    <row r="159" spans="1:12" ht="14.25" customHeight="1" x14ac:dyDescent="0.3">
      <c r="A159" s="25"/>
      <c r="D159" s="10" t="s">
        <v>303</v>
      </c>
      <c r="E159" s="45">
        <v>9797</v>
      </c>
      <c r="F159" s="224"/>
      <c r="G159" s="265"/>
      <c r="H159" s="148">
        <f t="shared" si="7"/>
        <v>0</v>
      </c>
    </row>
    <row r="160" spans="1:12" ht="14.25" customHeight="1" x14ac:dyDescent="0.35">
      <c r="A160" s="25"/>
      <c r="D160" s="39"/>
      <c r="E160" s="45"/>
      <c r="F160" s="150"/>
      <c r="G160" s="235" t="str">
        <f>IF(F2F3RestrictedSum=0,"",IF(F2F3RestrictedSum&lt;0,"","(must be zero or negative)"))</f>
        <v/>
      </c>
      <c r="H160" s="54"/>
    </row>
    <row r="161" spans="1:9" s="32" customFormat="1" ht="18" customHeight="1" thickBot="1" x14ac:dyDescent="0.35">
      <c r="A161" s="226"/>
      <c r="B161" s="227"/>
      <c r="C161" s="227"/>
      <c r="D161" s="227" t="s">
        <v>304</v>
      </c>
      <c r="E161" s="228" t="s">
        <v>240</v>
      </c>
      <c r="F161" s="229">
        <f>F2Unrestricted-F2F1Unrestricted</f>
        <v>2012098.96</v>
      </c>
      <c r="G161" s="229">
        <f>F2Restricted - SUM(F2FRestricted)</f>
        <v>0</v>
      </c>
      <c r="H161" s="230">
        <f t="shared" si="7"/>
        <v>2012098.96</v>
      </c>
      <c r="I161" s="20"/>
    </row>
    <row r="162" spans="1:9" s="153" customFormat="1" ht="14.25" customHeight="1" x14ac:dyDescent="0.3">
      <c r="A162" s="219"/>
      <c r="B162" s="220"/>
      <c r="C162" s="220"/>
      <c r="D162" s="221" t="s">
        <v>145</v>
      </c>
      <c r="E162" s="221" t="s">
        <v>96</v>
      </c>
      <c r="F162" s="222" t="s">
        <v>37</v>
      </c>
      <c r="G162" s="222" t="s">
        <v>38</v>
      </c>
      <c r="H162" s="223" t="s">
        <v>39</v>
      </c>
      <c r="I162" s="225"/>
    </row>
    <row r="163" spans="1:9" ht="14.25" customHeight="1" x14ac:dyDescent="0.3">
      <c r="A163" s="36" t="s">
        <v>21</v>
      </c>
      <c r="B163" s="37" t="s">
        <v>22</v>
      </c>
      <c r="E163" s="130" t="s">
        <v>0</v>
      </c>
      <c r="F163" s="112"/>
      <c r="G163" s="112"/>
      <c r="H163" s="51"/>
    </row>
    <row r="164" spans="1:9" ht="14.25" customHeight="1" x14ac:dyDescent="0.3">
      <c r="A164" s="25"/>
      <c r="B164" s="26" t="s">
        <v>3</v>
      </c>
      <c r="C164" s="10" t="s">
        <v>23</v>
      </c>
      <c r="E164" s="130" t="s">
        <v>0</v>
      </c>
      <c r="F164" s="112"/>
      <c r="G164" s="112"/>
      <c r="H164" s="51"/>
    </row>
    <row r="165" spans="1:9" ht="14.25" customHeight="1" x14ac:dyDescent="0.3">
      <c r="A165" s="25"/>
      <c r="B165" s="26"/>
      <c r="D165" s="10" t="s">
        <v>24</v>
      </c>
      <c r="E165" s="130">
        <v>9110</v>
      </c>
      <c r="F165" s="113"/>
      <c r="G165" s="113"/>
      <c r="H165" s="49">
        <f>SUM(F165:G165)</f>
        <v>0</v>
      </c>
    </row>
    <row r="166" spans="1:9" ht="14.25" customHeight="1" x14ac:dyDescent="0.3">
      <c r="A166" s="25"/>
      <c r="B166" s="26"/>
      <c r="D166" s="10" t="s">
        <v>93</v>
      </c>
      <c r="E166" s="130">
        <v>9111</v>
      </c>
      <c r="F166" s="96"/>
      <c r="G166" s="96"/>
      <c r="H166" s="49">
        <f t="shared" ref="H166:H177" si="8">SUM(F166:G166)</f>
        <v>0</v>
      </c>
    </row>
    <row r="167" spans="1:9" ht="14.25" customHeight="1" x14ac:dyDescent="0.3">
      <c r="A167" s="25"/>
      <c r="B167" s="26"/>
      <c r="D167" s="10" t="s">
        <v>25</v>
      </c>
      <c r="E167" s="130">
        <v>9120</v>
      </c>
      <c r="F167" s="96">
        <v>8161862.46</v>
      </c>
      <c r="G167" s="96"/>
      <c r="H167" s="49">
        <f t="shared" si="8"/>
        <v>8161862.46</v>
      </c>
    </row>
    <row r="168" spans="1:9" ht="14.25" customHeight="1" x14ac:dyDescent="0.3">
      <c r="A168" s="25"/>
      <c r="B168" s="26"/>
      <c r="D168" s="10" t="s">
        <v>85</v>
      </c>
      <c r="E168" s="130">
        <v>9130</v>
      </c>
      <c r="F168" s="96"/>
      <c r="G168" s="96"/>
      <c r="H168" s="49">
        <f t="shared" si="8"/>
        <v>0</v>
      </c>
    </row>
    <row r="169" spans="1:9" ht="14.25" customHeight="1" x14ac:dyDescent="0.3">
      <c r="A169" s="25"/>
      <c r="D169" s="10" t="s">
        <v>209</v>
      </c>
      <c r="E169" s="134">
        <v>9135</v>
      </c>
      <c r="F169" s="103"/>
      <c r="G169" s="103"/>
      <c r="H169" s="54">
        <f t="shared" si="8"/>
        <v>0</v>
      </c>
    </row>
    <row r="170" spans="1:9" ht="14.25" customHeight="1" x14ac:dyDescent="0.3">
      <c r="A170" s="25"/>
      <c r="D170" s="10" t="s">
        <v>64</v>
      </c>
      <c r="E170" s="134">
        <v>9140</v>
      </c>
      <c r="F170" s="101"/>
      <c r="G170" s="101"/>
      <c r="H170" s="148">
        <f t="shared" si="8"/>
        <v>0</v>
      </c>
    </row>
    <row r="171" spans="1:9" ht="14.25" customHeight="1" x14ac:dyDescent="0.3">
      <c r="A171" s="25"/>
      <c r="B171" s="26" t="s">
        <v>4</v>
      </c>
      <c r="C171" s="10" t="s">
        <v>26</v>
      </c>
      <c r="E171" s="134">
        <v>9150</v>
      </c>
      <c r="F171" s="103"/>
      <c r="G171" s="103"/>
      <c r="H171" s="54">
        <f t="shared" si="8"/>
        <v>0</v>
      </c>
    </row>
    <row r="172" spans="1:9" ht="14.25" customHeight="1" x14ac:dyDescent="0.3">
      <c r="A172" s="25"/>
      <c r="B172" s="26" t="s">
        <v>5</v>
      </c>
      <c r="C172" s="10" t="s">
        <v>27</v>
      </c>
      <c r="E172" s="134">
        <v>9200</v>
      </c>
      <c r="F172" s="101">
        <v>2578685.48</v>
      </c>
      <c r="G172" s="101"/>
      <c r="H172" s="148">
        <f t="shared" si="8"/>
        <v>2578685.48</v>
      </c>
    </row>
    <row r="173" spans="1:9" ht="14.25" customHeight="1" x14ac:dyDescent="0.3">
      <c r="A173" s="25"/>
      <c r="B173" s="26" t="s">
        <v>6</v>
      </c>
      <c r="C173" s="10" t="s">
        <v>210</v>
      </c>
      <c r="E173" s="134">
        <v>9290</v>
      </c>
      <c r="F173" s="101">
        <v>11089576.449999999</v>
      </c>
      <c r="G173" s="101"/>
      <c r="H173" s="148">
        <f t="shared" si="8"/>
        <v>11089576.449999999</v>
      </c>
    </row>
    <row r="174" spans="1:9" ht="14.25" customHeight="1" x14ac:dyDescent="0.3">
      <c r="A174" s="25"/>
      <c r="B174" s="38" t="s">
        <v>9</v>
      </c>
      <c r="C174" s="10" t="s">
        <v>92</v>
      </c>
      <c r="E174" s="134">
        <v>9320</v>
      </c>
      <c r="F174" s="111"/>
      <c r="G174" s="111"/>
      <c r="H174" s="49">
        <f t="shared" si="8"/>
        <v>0</v>
      </c>
    </row>
    <row r="175" spans="1:9" ht="14.25" customHeight="1" x14ac:dyDescent="0.3">
      <c r="A175" s="25"/>
      <c r="B175" s="38" t="s">
        <v>11</v>
      </c>
      <c r="C175" s="119" t="s">
        <v>177</v>
      </c>
      <c r="E175" s="134">
        <v>9330</v>
      </c>
      <c r="F175" s="101">
        <f>27430.61+13257.97+26016.48</f>
        <v>66705.06</v>
      </c>
      <c r="G175" s="101"/>
      <c r="H175" s="49">
        <f t="shared" si="8"/>
        <v>66705.06</v>
      </c>
    </row>
    <row r="176" spans="1:9" ht="14.25" customHeight="1" x14ac:dyDescent="0.3">
      <c r="A176" s="25"/>
      <c r="B176" s="38" t="s">
        <v>12</v>
      </c>
      <c r="C176" s="10" t="s">
        <v>28</v>
      </c>
      <c r="E176" s="134">
        <v>9340</v>
      </c>
      <c r="F176" s="101">
        <f>19132.16</f>
        <v>19132.16</v>
      </c>
      <c r="G176" s="101"/>
      <c r="H176" s="49">
        <f t="shared" si="8"/>
        <v>19132.16</v>
      </c>
    </row>
    <row r="177" spans="1:8" ht="14.25" customHeight="1" x14ac:dyDescent="0.3">
      <c r="A177" s="25"/>
      <c r="B177" s="38" t="s">
        <v>13</v>
      </c>
      <c r="C177" s="119" t="s">
        <v>289</v>
      </c>
      <c r="E177" s="135" t="s">
        <v>278</v>
      </c>
      <c r="F177" s="271">
        <v>97970.45</v>
      </c>
      <c r="G177" s="271"/>
      <c r="H177" s="49">
        <f t="shared" si="8"/>
        <v>97970.45</v>
      </c>
    </row>
    <row r="178" spans="1:8" ht="11.25" customHeight="1" x14ac:dyDescent="0.35">
      <c r="A178" s="25"/>
      <c r="B178" s="38"/>
      <c r="C178" s="39"/>
      <c r="E178" s="134" t="s">
        <v>0</v>
      </c>
      <c r="F178" s="105" t="s">
        <v>0</v>
      </c>
      <c r="G178" s="105"/>
      <c r="H178" s="53"/>
    </row>
    <row r="179" spans="1:8" ht="14.25" customHeight="1" x14ac:dyDescent="0.3">
      <c r="A179" s="25"/>
      <c r="B179" s="38" t="s">
        <v>63</v>
      </c>
      <c r="C179" s="10" t="s">
        <v>29</v>
      </c>
      <c r="E179" s="130" t="s">
        <v>0</v>
      </c>
      <c r="F179" s="108">
        <f>SUM(F165:F178)</f>
        <v>22013932.059999999</v>
      </c>
      <c r="G179" s="108">
        <f>SUM(G165:G177)</f>
        <v>0</v>
      </c>
      <c r="H179" s="58">
        <f>SUM(F179:G179)</f>
        <v>22013932.059999999</v>
      </c>
    </row>
    <row r="180" spans="1:8" ht="14.25" customHeight="1" x14ac:dyDescent="0.3">
      <c r="A180" s="25"/>
      <c r="B180" s="38"/>
      <c r="E180" s="130"/>
      <c r="F180" s="112"/>
      <c r="G180" s="112"/>
      <c r="H180" s="51"/>
    </row>
    <row r="181" spans="1:8" ht="14.25" customHeight="1" x14ac:dyDescent="0.3">
      <c r="A181" s="40" t="s">
        <v>275</v>
      </c>
      <c r="B181" s="37" t="s">
        <v>258</v>
      </c>
      <c r="E181" s="130"/>
      <c r="F181" s="112"/>
      <c r="G181" s="112"/>
      <c r="H181" s="51"/>
    </row>
    <row r="182" spans="1:8" ht="14.25" customHeight="1" x14ac:dyDescent="0.3">
      <c r="A182" s="25"/>
      <c r="B182" s="38" t="s">
        <v>3</v>
      </c>
      <c r="C182" s="10" t="s">
        <v>259</v>
      </c>
      <c r="E182" s="130">
        <v>9490</v>
      </c>
      <c r="F182" s="141"/>
      <c r="G182" s="141"/>
      <c r="H182" s="49">
        <f>SUM(F182:G182)</f>
        <v>0</v>
      </c>
    </row>
    <row r="183" spans="1:8" ht="14.25" customHeight="1" x14ac:dyDescent="0.3">
      <c r="A183" s="25"/>
      <c r="B183" s="38"/>
      <c r="E183" s="130"/>
      <c r="F183" s="105"/>
      <c r="G183" s="105"/>
      <c r="H183" s="53"/>
    </row>
    <row r="184" spans="1:8" ht="14.25" customHeight="1" x14ac:dyDescent="0.3">
      <c r="A184" s="25"/>
      <c r="B184" s="38" t="s">
        <v>4</v>
      </c>
      <c r="C184" s="10" t="s">
        <v>292</v>
      </c>
      <c r="E184" s="130"/>
      <c r="F184" s="108">
        <f>SUM(F182)</f>
        <v>0</v>
      </c>
      <c r="G184" s="108">
        <f>SUM(G182)</f>
        <v>0</v>
      </c>
      <c r="H184" s="58">
        <f>SUM(F184:G184)</f>
        <v>0</v>
      </c>
    </row>
    <row r="185" spans="1:8" ht="14.25" customHeight="1" x14ac:dyDescent="0.3">
      <c r="A185" s="25"/>
      <c r="B185" s="38"/>
      <c r="E185" s="130"/>
      <c r="F185" s="112"/>
      <c r="G185" s="112"/>
      <c r="H185" s="51"/>
    </row>
    <row r="186" spans="1:8" ht="14.25" customHeight="1" x14ac:dyDescent="0.3">
      <c r="A186" s="40" t="s">
        <v>33</v>
      </c>
      <c r="B186" s="37" t="s">
        <v>30</v>
      </c>
      <c r="E186" s="130" t="s">
        <v>0</v>
      </c>
      <c r="F186" s="112"/>
      <c r="G186" s="112"/>
      <c r="H186" s="51"/>
    </row>
    <row r="187" spans="1:8" ht="14.25" customHeight="1" x14ac:dyDescent="0.3">
      <c r="A187" s="25"/>
      <c r="B187" s="26" t="s">
        <v>3</v>
      </c>
      <c r="C187" s="10" t="s">
        <v>31</v>
      </c>
      <c r="E187" s="131">
        <v>9500</v>
      </c>
      <c r="F187" s="113">
        <v>4258616.99</v>
      </c>
      <c r="G187" s="113"/>
      <c r="H187" s="49">
        <f>SUM(F187:G187)</f>
        <v>4258616.99</v>
      </c>
    </row>
    <row r="188" spans="1:8" ht="14.25" customHeight="1" x14ac:dyDescent="0.3">
      <c r="A188" s="25"/>
      <c r="B188" s="26" t="s">
        <v>4</v>
      </c>
      <c r="C188" s="10" t="s">
        <v>211</v>
      </c>
      <c r="E188" s="131">
        <v>9590</v>
      </c>
      <c r="F188" s="111"/>
      <c r="G188" s="111"/>
      <c r="H188" s="49">
        <f>SUM(F188:G188)</f>
        <v>0</v>
      </c>
    </row>
    <row r="189" spans="1:8" ht="14.25" customHeight="1" x14ac:dyDescent="0.3">
      <c r="A189" s="25"/>
      <c r="B189" s="26" t="s">
        <v>5</v>
      </c>
      <c r="C189" s="10" t="s">
        <v>175</v>
      </c>
      <c r="E189" s="131">
        <v>9640</v>
      </c>
      <c r="F189" s="101"/>
      <c r="G189" s="101"/>
      <c r="H189" s="49">
        <f>SUM(F189:G189)</f>
        <v>0</v>
      </c>
    </row>
    <row r="190" spans="1:8" ht="14.25" customHeight="1" x14ac:dyDescent="0.3">
      <c r="A190" s="25"/>
      <c r="B190" s="26" t="s">
        <v>6</v>
      </c>
      <c r="C190" s="10" t="s">
        <v>262</v>
      </c>
      <c r="E190" s="131">
        <v>9650</v>
      </c>
      <c r="F190" s="101">
        <v>1034122.71</v>
      </c>
      <c r="G190" s="101"/>
      <c r="H190" s="49">
        <f>SUM(F190:G190)</f>
        <v>1034122.71</v>
      </c>
    </row>
    <row r="191" spans="1:8" ht="14.25" customHeight="1" x14ac:dyDescent="0.3">
      <c r="A191" s="25"/>
      <c r="B191" s="26" t="s">
        <v>9</v>
      </c>
      <c r="C191" s="119" t="s">
        <v>290</v>
      </c>
      <c r="E191" s="131" t="s">
        <v>117</v>
      </c>
      <c r="F191" s="271">
        <v>14709093.4</v>
      </c>
      <c r="G191" s="271"/>
      <c r="H191" s="49">
        <f>SUM(F191:G191)</f>
        <v>14709093.4</v>
      </c>
    </row>
    <row r="192" spans="1:8" ht="11.25" customHeight="1" x14ac:dyDescent="0.35">
      <c r="A192" s="25"/>
      <c r="B192" s="26"/>
      <c r="C192" s="39"/>
      <c r="E192" s="131" t="s">
        <v>0</v>
      </c>
      <c r="F192" s="105"/>
      <c r="G192" s="105"/>
      <c r="H192" s="53"/>
    </row>
    <row r="193" spans="1:13" ht="14.25" customHeight="1" x14ac:dyDescent="0.3">
      <c r="A193" s="25"/>
      <c r="B193" s="26" t="s">
        <v>11</v>
      </c>
      <c r="C193" s="10" t="s">
        <v>32</v>
      </c>
      <c r="E193" s="130" t="s">
        <v>0</v>
      </c>
      <c r="F193" s="106">
        <f>SUM(F187:F191)</f>
        <v>20001833.100000001</v>
      </c>
      <c r="G193" s="106">
        <f>SUM(G187:G191)</f>
        <v>0</v>
      </c>
      <c r="H193" s="56">
        <f>SUM(F193:G193)</f>
        <v>20001833.100000001</v>
      </c>
    </row>
    <row r="194" spans="1:13" ht="14.25" customHeight="1" x14ac:dyDescent="0.3">
      <c r="A194" s="25"/>
      <c r="B194" s="26"/>
      <c r="E194" s="130"/>
      <c r="F194" s="234"/>
      <c r="G194" s="234"/>
      <c r="H194" s="54"/>
    </row>
    <row r="195" spans="1:13" ht="14.25" customHeight="1" x14ac:dyDescent="0.3">
      <c r="A195" s="40" t="s">
        <v>260</v>
      </c>
      <c r="B195" s="26" t="s">
        <v>261</v>
      </c>
      <c r="C195" s="40"/>
      <c r="D195" s="37"/>
      <c r="F195" s="112"/>
      <c r="G195" s="112"/>
      <c r="H195" s="54"/>
    </row>
    <row r="196" spans="1:13" ht="14.25" customHeight="1" x14ac:dyDescent="0.3">
      <c r="A196" s="25"/>
      <c r="B196" s="26" t="s">
        <v>3</v>
      </c>
      <c r="C196" s="10" t="s">
        <v>276</v>
      </c>
      <c r="E196" s="130">
        <v>9690</v>
      </c>
      <c r="F196" s="141"/>
      <c r="G196" s="141"/>
      <c r="H196" s="49">
        <f>SUM(F196:G196)</f>
        <v>0</v>
      </c>
    </row>
    <row r="197" spans="1:13" ht="14.25" customHeight="1" x14ac:dyDescent="0.3">
      <c r="A197" s="25"/>
      <c r="B197" s="26"/>
      <c r="E197" s="130"/>
      <c r="F197" s="105"/>
      <c r="G197" s="105"/>
      <c r="H197" s="53"/>
    </row>
    <row r="198" spans="1:13" ht="14.25" customHeight="1" x14ac:dyDescent="0.3">
      <c r="A198" s="25"/>
      <c r="B198" s="26" t="s">
        <v>4</v>
      </c>
      <c r="C198" s="10" t="s">
        <v>291</v>
      </c>
      <c r="E198" s="130"/>
      <c r="F198" s="106">
        <f>SUM(F196)</f>
        <v>0</v>
      </c>
      <c r="G198" s="106">
        <f>SUM(G196)</f>
        <v>0</v>
      </c>
      <c r="H198" s="56">
        <f>SUM(F198:G198)</f>
        <v>0</v>
      </c>
    </row>
    <row r="199" spans="1:13" ht="11.25" customHeight="1" x14ac:dyDescent="0.3">
      <c r="A199" s="25"/>
      <c r="E199" s="130" t="s">
        <v>0</v>
      </c>
      <c r="F199" s="105"/>
      <c r="G199" s="105"/>
      <c r="H199" s="53"/>
      <c r="K199" s="117">
        <f>ROUND(SUM(F202-F141),0)</f>
        <v>0</v>
      </c>
      <c r="L199" s="117">
        <f>ROUND(SUM(G202-G141),0)</f>
        <v>0</v>
      </c>
      <c r="M199" s="117" t="s">
        <v>0</v>
      </c>
    </row>
    <row r="200" spans="1:13" ht="14.25" customHeight="1" x14ac:dyDescent="0.3">
      <c r="A200" s="40" t="s">
        <v>257</v>
      </c>
      <c r="B200" s="37" t="s">
        <v>272</v>
      </c>
      <c r="E200" s="130" t="s">
        <v>0</v>
      </c>
      <c r="F200" s="107"/>
      <c r="G200" s="107"/>
      <c r="H200" s="51"/>
      <c r="K200" s="8">
        <f>IF(ABS(K199)&lt;10.01,0,K199)</f>
        <v>0</v>
      </c>
      <c r="L200" s="8">
        <f>IF(ABS(L199)&lt;10.01,0,L199)</f>
        <v>0</v>
      </c>
    </row>
    <row r="201" spans="1:13" ht="14.25" customHeight="1" x14ac:dyDescent="0.3">
      <c r="A201" s="40"/>
      <c r="B201" s="37"/>
      <c r="C201" s="10" t="s">
        <v>277</v>
      </c>
      <c r="E201" s="130"/>
      <c r="F201" s="107" t="str">
        <f>IF(K200=0,"","(must = Line F2)")</f>
        <v/>
      </c>
      <c r="G201" s="107" t="str">
        <f>IF(L200=0,"","(must = Line F2)")</f>
        <v/>
      </c>
      <c r="H201" s="51"/>
    </row>
    <row r="202" spans="1:13" ht="14.4" customHeight="1" x14ac:dyDescent="0.3">
      <c r="A202" s="34"/>
      <c r="B202" s="35"/>
      <c r="C202" s="35" t="s">
        <v>164</v>
      </c>
      <c r="D202" s="35"/>
      <c r="E202" s="35" t="s">
        <v>0</v>
      </c>
      <c r="F202" s="125">
        <f>SUM((F179+F184) - (F193+F198))</f>
        <v>2012098.96</v>
      </c>
      <c r="G202" s="125">
        <f>SUM((G179+G184) - (G193+G198))</f>
        <v>0</v>
      </c>
      <c r="H202" s="125">
        <f>SUM((H179+H184) - (H193+H198))</f>
        <v>2012098.96</v>
      </c>
    </row>
    <row r="203" spans="1:13" ht="14" x14ac:dyDescent="0.3">
      <c r="A203" s="37"/>
      <c r="F203" s="10"/>
      <c r="G203" s="10"/>
      <c r="H203" s="10"/>
    </row>
    <row r="204" spans="1:13" ht="15.75" customHeight="1" x14ac:dyDescent="0.3">
      <c r="A204" s="248" t="s">
        <v>309</v>
      </c>
      <c r="B204" s="249"/>
      <c r="D204" s="249"/>
      <c r="E204" s="249"/>
      <c r="F204" s="249"/>
      <c r="G204" s="249"/>
      <c r="H204" s="10"/>
    </row>
    <row r="205" spans="1:13" ht="14.25" customHeight="1" x14ac:dyDescent="0.3">
      <c r="A205" s="37"/>
      <c r="B205" s="179"/>
      <c r="C205" s="37"/>
      <c r="D205" s="37"/>
      <c r="E205" s="37"/>
      <c r="F205" s="177"/>
    </row>
    <row r="206" spans="1:13" ht="15.75" customHeight="1" x14ac:dyDescent="0.3">
      <c r="A206" s="248" t="s">
        <v>226</v>
      </c>
      <c r="B206" s="179"/>
      <c r="C206" s="37"/>
      <c r="D206" s="37"/>
      <c r="E206" s="37"/>
      <c r="F206" s="177"/>
      <c r="H206" s="250"/>
    </row>
    <row r="207" spans="1:13" ht="14.25" customHeight="1" x14ac:dyDescent="0.3">
      <c r="B207" s="180"/>
      <c r="D207" s="248" t="s">
        <v>227</v>
      </c>
      <c r="E207" s="249"/>
      <c r="F207" s="250"/>
      <c r="G207" s="250"/>
      <c r="H207" s="250"/>
    </row>
    <row r="208" spans="1:13" ht="14.25" customHeight="1" x14ac:dyDescent="0.3">
      <c r="B208" s="180"/>
      <c r="D208" s="37" t="s">
        <v>306</v>
      </c>
    </row>
    <row r="209" spans="2:8" ht="14.25" customHeight="1" x14ac:dyDescent="0.3"/>
    <row r="210" spans="2:8" ht="14.25" customHeight="1" x14ac:dyDescent="0.3">
      <c r="B210" s="26" t="s">
        <v>3</v>
      </c>
      <c r="C210" s="37" t="s">
        <v>250</v>
      </c>
      <c r="D210" s="37"/>
    </row>
    <row r="211" spans="2:8" ht="14.25" customHeight="1" x14ac:dyDescent="0.3">
      <c r="B211" s="10" t="s">
        <v>0</v>
      </c>
      <c r="C211" s="119" t="s">
        <v>228</v>
      </c>
    </row>
    <row r="212" spans="2:8" ht="14.25" customHeight="1" x14ac:dyDescent="0.3">
      <c r="C212" s="119" t="s">
        <v>181</v>
      </c>
      <c r="D212" s="181"/>
    </row>
    <row r="213" spans="2:8" ht="14.25" customHeight="1" x14ac:dyDescent="0.3"/>
    <row r="214" spans="2:8" ht="14.25" customHeight="1" thickBot="1" x14ac:dyDescent="0.35">
      <c r="D214" s="182" t="s">
        <v>225</v>
      </c>
      <c r="E214" s="43"/>
      <c r="F214" s="183" t="s">
        <v>86</v>
      </c>
      <c r="G214" s="183" t="s">
        <v>87</v>
      </c>
      <c r="H214" s="183" t="s">
        <v>88</v>
      </c>
    </row>
    <row r="215" spans="2:8" ht="14.25" customHeight="1" x14ac:dyDescent="0.3">
      <c r="F215" s="208"/>
      <c r="G215" s="196"/>
      <c r="H215" s="209"/>
    </row>
    <row r="216" spans="2:8" ht="14.25" customHeight="1" x14ac:dyDescent="0.3">
      <c r="C216" s="10" t="s">
        <v>19</v>
      </c>
      <c r="D216" s="190" t="s">
        <v>337</v>
      </c>
      <c r="E216" s="184" t="s">
        <v>95</v>
      </c>
      <c r="F216" s="201">
        <v>0</v>
      </c>
      <c r="G216" s="197">
        <v>0</v>
      </c>
      <c r="H216" s="202">
        <f>SUM(F216,G216)</f>
        <v>0</v>
      </c>
    </row>
    <row r="217" spans="2:8" ht="14.25" customHeight="1" x14ac:dyDescent="0.3">
      <c r="C217" s="10" t="s">
        <v>20</v>
      </c>
      <c r="D217" s="190"/>
      <c r="F217" s="203"/>
      <c r="G217" s="198"/>
      <c r="H217" s="204">
        <f>SUM(F217,G217)</f>
        <v>0</v>
      </c>
    </row>
    <row r="218" spans="2:8" ht="14.25" customHeight="1" x14ac:dyDescent="0.3">
      <c r="C218" s="10" t="s">
        <v>58</v>
      </c>
      <c r="D218" s="190"/>
      <c r="F218" s="203"/>
      <c r="G218" s="198"/>
      <c r="H218" s="204">
        <f t="shared" ref="H218:H224" si="9">SUM(F218,G218)</f>
        <v>0</v>
      </c>
    </row>
    <row r="219" spans="2:8" ht="14.25" customHeight="1" x14ac:dyDescent="0.3">
      <c r="C219" s="10" t="s">
        <v>59</v>
      </c>
      <c r="D219" s="190"/>
      <c r="F219" s="203"/>
      <c r="G219" s="198"/>
      <c r="H219" s="204">
        <f t="shared" si="9"/>
        <v>0</v>
      </c>
    </row>
    <row r="220" spans="2:8" ht="14.25" customHeight="1" x14ac:dyDescent="0.3">
      <c r="C220" s="10" t="s">
        <v>60</v>
      </c>
      <c r="D220" s="190"/>
      <c r="F220" s="203"/>
      <c r="G220" s="198"/>
      <c r="H220" s="204">
        <f t="shared" si="9"/>
        <v>0</v>
      </c>
    </row>
    <row r="221" spans="2:8" ht="14.25" customHeight="1" x14ac:dyDescent="0.3">
      <c r="C221" s="10" t="s">
        <v>151</v>
      </c>
      <c r="D221" s="190"/>
      <c r="F221" s="203"/>
      <c r="G221" s="198"/>
      <c r="H221" s="204">
        <f t="shared" si="9"/>
        <v>0</v>
      </c>
    </row>
    <row r="222" spans="2:8" ht="14.25" customHeight="1" x14ac:dyDescent="0.3">
      <c r="C222" s="10" t="s">
        <v>152</v>
      </c>
      <c r="D222" s="190"/>
      <c r="F222" s="203"/>
      <c r="G222" s="198"/>
      <c r="H222" s="204">
        <f t="shared" si="9"/>
        <v>0</v>
      </c>
    </row>
    <row r="223" spans="2:8" ht="14.25" customHeight="1" x14ac:dyDescent="0.3">
      <c r="C223" s="10" t="s">
        <v>153</v>
      </c>
      <c r="D223" s="190"/>
      <c r="F223" s="203"/>
      <c r="G223" s="198"/>
      <c r="H223" s="204">
        <f t="shared" si="9"/>
        <v>0</v>
      </c>
    </row>
    <row r="224" spans="2:8" ht="14.25" customHeight="1" x14ac:dyDescent="0.3">
      <c r="C224" s="10" t="s">
        <v>154</v>
      </c>
      <c r="D224" s="190"/>
      <c r="F224" s="203"/>
      <c r="G224" s="198"/>
      <c r="H224" s="204">
        <f t="shared" si="9"/>
        <v>0</v>
      </c>
    </row>
    <row r="225" spans="1:8" ht="14.25" customHeight="1" x14ac:dyDescent="0.3">
      <c r="A225" s="20"/>
      <c r="C225" s="10" t="s">
        <v>155</v>
      </c>
      <c r="D225" s="190"/>
      <c r="F225" s="203"/>
      <c r="G225" s="198"/>
      <c r="H225" s="204">
        <f>SUM(F225,G225)</f>
        <v>0</v>
      </c>
    </row>
    <row r="226" spans="1:8" ht="14.25" customHeight="1" x14ac:dyDescent="0.3">
      <c r="F226" s="205"/>
      <c r="G226" s="199"/>
      <c r="H226" s="206"/>
    </row>
    <row r="227" spans="1:8" ht="14.25" customHeight="1" x14ac:dyDescent="0.3">
      <c r="D227" s="214" t="s">
        <v>252</v>
      </c>
      <c r="F227" s="207">
        <f>SUM(F216:F225)</f>
        <v>0</v>
      </c>
      <c r="G227" s="200">
        <f>SUM(G216:G225)</f>
        <v>0</v>
      </c>
      <c r="H227" s="202">
        <f>SUM(F227:G227)</f>
        <v>0</v>
      </c>
    </row>
    <row r="228" spans="1:8" ht="14.25" customHeight="1" x14ac:dyDescent="0.3">
      <c r="F228" s="44"/>
      <c r="G228" s="44"/>
      <c r="H228" s="44"/>
    </row>
    <row r="229" spans="1:8" ht="14.25" customHeight="1" x14ac:dyDescent="0.3"/>
    <row r="230" spans="1:8" ht="14.25" customHeight="1" x14ac:dyDescent="0.3">
      <c r="B230" s="26" t="s">
        <v>4</v>
      </c>
      <c r="C230" s="37" t="s">
        <v>198</v>
      </c>
      <c r="D230" s="37"/>
    </row>
    <row r="231" spans="1:8" ht="14.25" customHeight="1" x14ac:dyDescent="0.3">
      <c r="B231" s="10" t="s">
        <v>0</v>
      </c>
      <c r="C231" s="10" t="s">
        <v>248</v>
      </c>
    </row>
    <row r="232" spans="1:8" ht="7.25" customHeight="1" x14ac:dyDescent="0.3">
      <c r="F232" s="164"/>
    </row>
    <row r="233" spans="1:8" ht="14.25" customHeight="1" x14ac:dyDescent="0.3">
      <c r="B233" s="142"/>
      <c r="F233" s="164"/>
      <c r="G233" s="183" t="s">
        <v>185</v>
      </c>
    </row>
    <row r="234" spans="1:8" ht="14.25" customHeight="1" x14ac:dyDescent="0.3">
      <c r="D234" s="45" t="s">
        <v>186</v>
      </c>
      <c r="E234" s="43"/>
      <c r="F234" s="164"/>
      <c r="G234" s="185" t="s">
        <v>189</v>
      </c>
    </row>
    <row r="235" spans="1:8" ht="14.25" customHeight="1" x14ac:dyDescent="0.3">
      <c r="D235" s="45"/>
      <c r="E235" s="43"/>
      <c r="F235" s="164"/>
      <c r="G235" s="211"/>
    </row>
    <row r="236" spans="1:8" ht="14.25" customHeight="1" x14ac:dyDescent="0.3">
      <c r="C236" s="10" t="s">
        <v>19</v>
      </c>
      <c r="D236" s="10" t="s">
        <v>62</v>
      </c>
      <c r="E236" s="184" t="s">
        <v>241</v>
      </c>
      <c r="F236" s="164"/>
      <c r="G236" s="210">
        <v>0</v>
      </c>
    </row>
    <row r="237" spans="1:8" ht="14.25" customHeight="1" x14ac:dyDescent="0.3">
      <c r="C237" s="10" t="s">
        <v>20</v>
      </c>
      <c r="D237" s="10" t="s">
        <v>201</v>
      </c>
      <c r="E237" s="184" t="s">
        <v>242</v>
      </c>
      <c r="F237" s="164"/>
      <c r="G237" s="210">
        <v>0</v>
      </c>
    </row>
    <row r="238" spans="1:8" ht="14.25" customHeight="1" x14ac:dyDescent="0.3">
      <c r="C238" s="10" t="s">
        <v>58</v>
      </c>
      <c r="D238" s="174" t="s">
        <v>265</v>
      </c>
      <c r="E238" s="186" t="s">
        <v>245</v>
      </c>
      <c r="F238" s="164"/>
      <c r="G238" s="210">
        <v>0</v>
      </c>
    </row>
    <row r="239" spans="1:8" ht="14.25" customHeight="1" x14ac:dyDescent="0.3">
      <c r="C239" s="10" t="s">
        <v>59</v>
      </c>
      <c r="D239" s="10" t="s">
        <v>47</v>
      </c>
      <c r="E239" s="184" t="s">
        <v>243</v>
      </c>
      <c r="F239" s="164"/>
      <c r="G239" s="210">
        <v>0</v>
      </c>
    </row>
    <row r="240" spans="1:8" ht="14.25" customHeight="1" x14ac:dyDescent="0.3">
      <c r="B240" s="20"/>
      <c r="C240" s="20" t="s">
        <v>60</v>
      </c>
      <c r="D240" s="20" t="s">
        <v>48</v>
      </c>
      <c r="E240" s="187" t="s">
        <v>244</v>
      </c>
      <c r="F240" s="164"/>
      <c r="G240" s="210">
        <v>0</v>
      </c>
    </row>
    <row r="241" spans="1:8" ht="14.25" customHeight="1" x14ac:dyDescent="0.3">
      <c r="F241" s="164"/>
      <c r="G241" s="194"/>
    </row>
    <row r="242" spans="1:8" ht="14.25" hidden="1" customHeight="1" thickTop="1" x14ac:dyDescent="0.3">
      <c r="A242" s="188" t="s">
        <v>173</v>
      </c>
    </row>
    <row r="243" spans="1:8" ht="14.25" customHeight="1" thickBot="1" x14ac:dyDescent="0.35">
      <c r="D243" s="10" t="s">
        <v>61</v>
      </c>
      <c r="G243" s="195">
        <f>SUM(G236:G240)</f>
        <v>0</v>
      </c>
    </row>
    <row r="244" spans="1:8" ht="14.25" customHeight="1" thickTop="1" x14ac:dyDescent="0.3"/>
    <row r="245" spans="1:8" ht="14.25" customHeight="1" x14ac:dyDescent="0.3"/>
    <row r="246" spans="1:8" s="41" customFormat="1" ht="14.25" customHeight="1" x14ac:dyDescent="0.3">
      <c r="A246" s="37"/>
      <c r="B246" s="26" t="s">
        <v>5</v>
      </c>
      <c r="C246" s="37" t="s">
        <v>307</v>
      </c>
      <c r="D246" s="37"/>
      <c r="E246" s="37"/>
      <c r="F246" s="177"/>
      <c r="G246" s="177"/>
      <c r="H246" s="177"/>
    </row>
    <row r="247" spans="1:8" ht="14.25" customHeight="1" x14ac:dyDescent="0.3">
      <c r="C247" s="10" t="s">
        <v>322</v>
      </c>
    </row>
    <row r="248" spans="1:8" ht="14.25" customHeight="1" x14ac:dyDescent="0.3">
      <c r="C248" s="10" t="s">
        <v>310</v>
      </c>
    </row>
    <row r="249" spans="1:8" ht="13.25" customHeight="1" x14ac:dyDescent="0.3">
      <c r="C249" s="10" t="s">
        <v>321</v>
      </c>
    </row>
    <row r="250" spans="1:8" ht="14.25" customHeight="1" x14ac:dyDescent="0.3"/>
    <row r="251" spans="1:8" ht="14.25" customHeight="1" x14ac:dyDescent="0.3">
      <c r="C251" s="10" t="s">
        <v>19</v>
      </c>
      <c r="D251" s="10" t="s">
        <v>236</v>
      </c>
      <c r="G251" s="191">
        <f>B8Total</f>
        <v>33008329.760000002</v>
      </c>
    </row>
    <row r="252" spans="1:8" ht="14.25" customHeight="1" x14ac:dyDescent="0.3">
      <c r="G252" s="192"/>
    </row>
    <row r="253" spans="1:8" ht="14.25" customHeight="1" x14ac:dyDescent="0.3">
      <c r="C253" s="10" t="s">
        <v>20</v>
      </c>
      <c r="D253" s="10" t="s">
        <v>235</v>
      </c>
      <c r="G253" s="162"/>
    </row>
    <row r="254" spans="1:8" ht="14.25" customHeight="1" x14ac:dyDescent="0.3">
      <c r="D254" s="10" t="s">
        <v>233</v>
      </c>
      <c r="G254" s="191">
        <f>FederalRevenue</f>
        <v>891017.98</v>
      </c>
    </row>
    <row r="255" spans="1:8" ht="14.25" customHeight="1" x14ac:dyDescent="0.3">
      <c r="D255" s="10" t="s">
        <v>234</v>
      </c>
      <c r="G255" s="192"/>
    </row>
    <row r="256" spans="1:8" ht="14.25" customHeight="1" x14ac:dyDescent="0.3">
      <c r="G256" s="162"/>
    </row>
    <row r="257" spans="1:256" ht="14.25" customHeight="1" x14ac:dyDescent="0.3">
      <c r="C257" s="10" t="s">
        <v>58</v>
      </c>
      <c r="D257" s="10" t="s">
        <v>229</v>
      </c>
      <c r="G257" s="162">
        <f>SUM(J3ATotalExpenditures - J3BLessFederal)</f>
        <v>32117311.780000001</v>
      </c>
    </row>
    <row r="258" spans="1:256" ht="14.25" customHeight="1" x14ac:dyDescent="0.3">
      <c r="D258" s="10" t="s">
        <v>237</v>
      </c>
      <c r="G258" s="192"/>
    </row>
    <row r="259" spans="1:256" ht="14.25" customHeight="1" x14ac:dyDescent="0.3">
      <c r="G259" s="162"/>
    </row>
    <row r="260" spans="1:256" ht="14.25" customHeight="1" x14ac:dyDescent="0.3">
      <c r="C260" s="10" t="s">
        <v>59</v>
      </c>
      <c r="D260" s="10" t="s">
        <v>230</v>
      </c>
      <c r="G260" s="162">
        <f>J2Total</f>
        <v>0</v>
      </c>
    </row>
    <row r="261" spans="1:256" ht="14.25" customHeight="1" x14ac:dyDescent="0.3">
      <c r="D261" s="10" t="s">
        <v>273</v>
      </c>
      <c r="G261" s="192"/>
    </row>
    <row r="262" spans="1:256" ht="14.25" customHeight="1" x14ac:dyDescent="0.3">
      <c r="G262" s="162"/>
    </row>
    <row r="263" spans="1:256" ht="14.25" customHeight="1" x14ac:dyDescent="0.3">
      <c r="C263" s="10" t="s">
        <v>60</v>
      </c>
      <c r="D263" s="10" t="s">
        <v>231</v>
      </c>
      <c r="G263" s="191">
        <f>SUM(B6Total + B7DebtServiceTotal)  - SUM(SectionA2Total)</f>
        <v>22253.9</v>
      </c>
    </row>
    <row r="264" spans="1:256" ht="14.25" customHeight="1" x14ac:dyDescent="0.3">
      <c r="D264" s="10" t="s">
        <v>274</v>
      </c>
      <c r="G264" s="162"/>
    </row>
    <row r="265" spans="1:256" ht="14.25" customHeight="1" x14ac:dyDescent="0.3">
      <c r="G265" s="162"/>
    </row>
    <row r="266" spans="1:256" ht="14.25" customHeight="1" thickBot="1" x14ac:dyDescent="0.35">
      <c r="D266" s="10" t="s">
        <v>246</v>
      </c>
      <c r="F266" s="178" t="s">
        <v>95</v>
      </c>
      <c r="G266" s="193">
        <f>SUM(J3CTotal -J3DTotal-J3ETotal)</f>
        <v>32095057.879999999</v>
      </c>
    </row>
    <row r="267" spans="1:256" s="161" customFormat="1" ht="14.25" customHeight="1" thickTop="1" x14ac:dyDescent="0.35">
      <c r="A267" s="39"/>
      <c r="B267" s="39"/>
      <c r="C267" s="39"/>
      <c r="D267" s="10" t="s">
        <v>232</v>
      </c>
      <c r="E267" s="39"/>
      <c r="F267" s="39"/>
      <c r="G267" s="39"/>
      <c r="H267" s="39"/>
      <c r="I267" s="160"/>
      <c r="J267" s="160"/>
      <c r="K267" s="160"/>
      <c r="L267" s="160"/>
      <c r="M267" s="160"/>
      <c r="N267" s="160"/>
      <c r="O267" s="160"/>
      <c r="P267" s="160"/>
      <c r="Q267" s="160"/>
      <c r="R267" s="160"/>
      <c r="S267" s="160"/>
      <c r="T267" s="160"/>
      <c r="U267" s="160"/>
      <c r="V267" s="160"/>
      <c r="W267" s="160"/>
      <c r="X267" s="160"/>
      <c r="Y267" s="160"/>
      <c r="Z267" s="160"/>
      <c r="AA267" s="160"/>
      <c r="AB267" s="160"/>
      <c r="AC267" s="160"/>
      <c r="AD267" s="160"/>
      <c r="AE267" s="160"/>
      <c r="AF267" s="160"/>
      <c r="AG267" s="160"/>
      <c r="AH267" s="160"/>
      <c r="AI267" s="160"/>
      <c r="AJ267" s="160"/>
      <c r="AK267" s="160"/>
      <c r="AL267" s="160"/>
      <c r="AM267" s="160"/>
      <c r="AN267" s="160"/>
      <c r="AO267" s="160"/>
      <c r="AP267" s="160"/>
      <c r="AQ267" s="160"/>
      <c r="AR267" s="160"/>
      <c r="AS267" s="160"/>
      <c r="AT267" s="160"/>
      <c r="AU267" s="160"/>
      <c r="AV267" s="160"/>
      <c r="AW267" s="160"/>
      <c r="AX267" s="160"/>
      <c r="AY267" s="160"/>
      <c r="AZ267" s="160"/>
      <c r="BA267" s="160"/>
      <c r="BB267" s="160"/>
      <c r="BC267" s="160"/>
      <c r="BD267" s="160"/>
      <c r="BE267" s="160"/>
      <c r="BF267" s="160"/>
      <c r="BG267" s="160"/>
      <c r="BH267" s="160"/>
      <c r="BI267" s="160"/>
      <c r="BJ267" s="160"/>
      <c r="BK267" s="160"/>
      <c r="BL267" s="160"/>
      <c r="BM267" s="160"/>
      <c r="BN267" s="160"/>
      <c r="BO267" s="160"/>
      <c r="BP267" s="160"/>
      <c r="BQ267" s="160"/>
      <c r="BR267" s="160"/>
      <c r="BS267" s="160"/>
      <c r="BT267" s="160"/>
      <c r="BU267" s="160"/>
      <c r="BV267" s="160"/>
      <c r="BW267" s="160"/>
      <c r="BX267" s="160"/>
      <c r="BY267" s="160"/>
      <c r="BZ267" s="160"/>
      <c r="CA267" s="160"/>
      <c r="CB267" s="160"/>
      <c r="CC267" s="160"/>
      <c r="CD267" s="160"/>
      <c r="CE267" s="160"/>
      <c r="CF267" s="160"/>
      <c r="CG267" s="160"/>
      <c r="CH267" s="160"/>
      <c r="CI267" s="160"/>
      <c r="CJ267" s="160"/>
      <c r="CK267" s="160"/>
      <c r="CL267" s="160"/>
      <c r="CM267" s="160"/>
      <c r="CN267" s="160"/>
      <c r="CO267" s="160"/>
      <c r="CP267" s="160"/>
      <c r="CQ267" s="160"/>
      <c r="CR267" s="160"/>
      <c r="CS267" s="160"/>
      <c r="CT267" s="160"/>
      <c r="CU267" s="160"/>
      <c r="CV267" s="160"/>
      <c r="CW267" s="160"/>
      <c r="CX267" s="160"/>
      <c r="CY267" s="160"/>
      <c r="CZ267" s="160"/>
      <c r="DA267" s="160"/>
      <c r="DB267" s="160"/>
      <c r="DC267" s="160"/>
      <c r="DD267" s="160"/>
      <c r="DE267" s="160"/>
      <c r="DF267" s="160"/>
      <c r="DG267" s="160"/>
      <c r="DH267" s="160"/>
      <c r="DI267" s="160"/>
      <c r="DJ267" s="160"/>
      <c r="DK267" s="160"/>
      <c r="DL267" s="160"/>
      <c r="DM267" s="160"/>
      <c r="DN267" s="160"/>
      <c r="DO267" s="160"/>
      <c r="DP267" s="160"/>
      <c r="DQ267" s="160"/>
      <c r="DR267" s="160"/>
      <c r="DS267" s="160"/>
      <c r="DT267" s="160"/>
      <c r="DU267" s="160"/>
      <c r="DV267" s="160"/>
      <c r="DW267" s="160"/>
      <c r="DX267" s="160"/>
      <c r="DY267" s="160"/>
      <c r="DZ267" s="160"/>
      <c r="EA267" s="160"/>
      <c r="EB267" s="160"/>
      <c r="EC267" s="160"/>
      <c r="ED267" s="160"/>
      <c r="EE267" s="160"/>
      <c r="EF267" s="160"/>
      <c r="EG267" s="160"/>
      <c r="EH267" s="160"/>
      <c r="EI267" s="160"/>
      <c r="EJ267" s="160"/>
      <c r="EK267" s="160"/>
      <c r="EL267" s="160"/>
      <c r="EM267" s="160"/>
      <c r="EN267" s="160"/>
      <c r="EO267" s="160"/>
      <c r="EP267" s="160"/>
      <c r="EQ267" s="160"/>
      <c r="ER267" s="160"/>
      <c r="ES267" s="160"/>
      <c r="ET267" s="160"/>
      <c r="EU267" s="160"/>
      <c r="EV267" s="160"/>
      <c r="EW267" s="160"/>
      <c r="EX267" s="160"/>
      <c r="EY267" s="160"/>
      <c r="EZ267" s="160"/>
      <c r="FA267" s="160"/>
      <c r="FB267" s="160"/>
      <c r="FC267" s="160"/>
      <c r="FD267" s="160"/>
      <c r="FE267" s="160"/>
      <c r="FF267" s="160"/>
      <c r="FG267" s="160"/>
      <c r="FH267" s="160"/>
      <c r="FI267" s="160"/>
      <c r="FJ267" s="160"/>
      <c r="FK267" s="160"/>
      <c r="FL267" s="160"/>
      <c r="FM267" s="160"/>
      <c r="FN267" s="160"/>
      <c r="FO267" s="160"/>
      <c r="FP267" s="160"/>
      <c r="FQ267" s="160"/>
      <c r="FR267" s="160"/>
      <c r="FS267" s="160"/>
      <c r="FT267" s="160"/>
      <c r="FU267" s="160"/>
      <c r="FV267" s="160"/>
      <c r="FW267" s="160"/>
      <c r="FX267" s="160"/>
      <c r="FY267" s="160"/>
      <c r="FZ267" s="160"/>
      <c r="GA267" s="160"/>
      <c r="GB267" s="160"/>
      <c r="GC267" s="160"/>
      <c r="GD267" s="160"/>
      <c r="GE267" s="160"/>
      <c r="GF267" s="160"/>
      <c r="GG267" s="160"/>
      <c r="GH267" s="160"/>
      <c r="GI267" s="160"/>
      <c r="GJ267" s="160"/>
      <c r="GK267" s="160"/>
      <c r="GL267" s="160"/>
      <c r="GM267" s="160"/>
      <c r="GN267" s="160"/>
      <c r="GO267" s="160"/>
      <c r="GP267" s="160"/>
      <c r="GQ267" s="160"/>
      <c r="GR267" s="160"/>
      <c r="GS267" s="160"/>
      <c r="GT267" s="160"/>
      <c r="GU267" s="160"/>
      <c r="GV267" s="160"/>
      <c r="GW267" s="160"/>
      <c r="GX267" s="160"/>
      <c r="GY267" s="160"/>
      <c r="GZ267" s="160"/>
      <c r="HA267" s="160"/>
      <c r="HB267" s="160"/>
      <c r="HC267" s="160"/>
      <c r="HD267" s="160"/>
      <c r="HE267" s="160"/>
      <c r="HF267" s="160"/>
      <c r="HG267" s="160"/>
      <c r="HH267" s="160"/>
      <c r="HI267" s="160"/>
      <c r="HJ267" s="160"/>
      <c r="HK267" s="160"/>
      <c r="HL267" s="160"/>
      <c r="HM267" s="160"/>
      <c r="HN267" s="160"/>
      <c r="HO267" s="160"/>
      <c r="HP267" s="160"/>
      <c r="HQ267" s="160"/>
      <c r="HR267" s="160"/>
      <c r="HS267" s="160"/>
      <c r="HT267" s="160"/>
      <c r="HU267" s="160"/>
      <c r="HV267" s="160"/>
      <c r="HW267" s="160"/>
      <c r="HX267" s="160"/>
      <c r="HY267" s="160"/>
      <c r="HZ267" s="160"/>
      <c r="IA267" s="160"/>
      <c r="IB267" s="160"/>
      <c r="IC267" s="160"/>
      <c r="ID267" s="160"/>
      <c r="IE267" s="160"/>
      <c r="IF267" s="160"/>
      <c r="IG267" s="160"/>
      <c r="IH267" s="160"/>
      <c r="II267" s="160"/>
      <c r="IJ267" s="160"/>
      <c r="IK267" s="160"/>
      <c r="IL267" s="160"/>
      <c r="IM267" s="160"/>
      <c r="IN267" s="160"/>
      <c r="IO267" s="160"/>
      <c r="IP267" s="160"/>
      <c r="IQ267" s="160"/>
      <c r="IR267" s="160"/>
      <c r="IS267" s="160"/>
      <c r="IT267" s="160"/>
      <c r="IU267" s="160"/>
      <c r="IV267" s="160"/>
    </row>
    <row r="268" spans="1:256" ht="14.25" hidden="1" customHeight="1" x14ac:dyDescent="0.3">
      <c r="A268" s="10" t="e">
        <f ca="1">CELL("filename")</f>
        <v>#N/A</v>
      </c>
      <c r="O268" s="8" t="s">
        <v>182</v>
      </c>
      <c r="P268" s="8">
        <v>2001.1</v>
      </c>
    </row>
    <row r="269" spans="1:256" ht="14.25" hidden="1" customHeight="1" x14ac:dyDescent="0.3"/>
  </sheetData>
  <sheetProtection algorithmName="SHA-512" hashValue="MqibeyCLdBOHfWjgxpG5sy072CTnYLvrE/KinEjC0Etn4NgMT7FX/fg/fHXxKiqTnN5uReoOBSxvhsOPLvcA3g==" saltValue="Ryx61BM2C76r2cO/8/Y/Rw==" spinCount="100000" sheet="1" objects="1" scenarios="1" selectLockedCells="1"/>
  <dataConsolidate/>
  <mergeCells count="14">
    <mergeCell ref="C142:E142"/>
    <mergeCell ref="A10:D10"/>
    <mergeCell ref="E8:H8"/>
    <mergeCell ref="E9:H9"/>
    <mergeCell ref="E10:H10"/>
    <mergeCell ref="A9:D9"/>
    <mergeCell ref="A8:D8"/>
    <mergeCell ref="A2:H2"/>
    <mergeCell ref="A4:H4"/>
    <mergeCell ref="A3:H3"/>
    <mergeCell ref="A7:D7"/>
    <mergeCell ref="A6:D6"/>
    <mergeCell ref="E7:H7"/>
    <mergeCell ref="E6:H6"/>
  </mergeCells>
  <phoneticPr fontId="0" type="noConversion"/>
  <conditionalFormatting sqref="F202">
    <cfRule type="expression" dxfId="14" priority="16" stopIfTrue="1">
      <formula>K200&lt;&gt;0</formula>
    </cfRule>
  </conditionalFormatting>
  <conditionalFormatting sqref="F201">
    <cfRule type="expression" dxfId="13" priority="10" stopIfTrue="1">
      <formula>$F$201="(must = Line F2)"</formula>
    </cfRule>
    <cfRule type="expression" dxfId="12" priority="11" stopIfTrue="1">
      <formula>$F$201&lt;&gt;"(must = Line F2)"</formula>
    </cfRule>
  </conditionalFormatting>
  <conditionalFormatting sqref="G201">
    <cfRule type="expression" dxfId="11" priority="12" stopIfTrue="1">
      <formula>$G$201="(must = Line F2)"</formula>
    </cfRule>
    <cfRule type="expression" dxfId="10" priority="13" stopIfTrue="1">
      <formula>$G$201&lt;&gt;"(must = Line F2)"</formula>
    </cfRule>
  </conditionalFormatting>
  <conditionalFormatting sqref="H201">
    <cfRule type="expression" dxfId="9" priority="15" stopIfTrue="1">
      <formula>$H$201="(must = Line F2)"</formula>
    </cfRule>
  </conditionalFormatting>
  <conditionalFormatting sqref="H130">
    <cfRule type="cellIs" dxfId="8" priority="8" stopIfTrue="1" operator="notEqual">
      <formula>0</formula>
    </cfRule>
  </conditionalFormatting>
  <conditionalFormatting sqref="H129">
    <cfRule type="expression" dxfId="7" priority="9" stopIfTrue="1">
      <formula>$H$130&lt;&gt;0</formula>
    </cfRule>
  </conditionalFormatting>
  <conditionalFormatting sqref="G161">
    <cfRule type="cellIs" dxfId="6" priority="31" stopIfTrue="1" operator="greaterThan">
      <formula>0</formula>
    </cfRule>
    <cfRule type="cellIs" dxfId="5" priority="32" stopIfTrue="1" operator="lessThanOrEqual">
      <formula>0</formula>
    </cfRule>
  </conditionalFormatting>
  <conditionalFormatting sqref="G202">
    <cfRule type="expression" dxfId="4" priority="7" stopIfTrue="1">
      <formula>L200&lt;&gt;0</formula>
    </cfRule>
  </conditionalFormatting>
  <conditionalFormatting sqref="H202">
    <cfRule type="expression" dxfId="3" priority="6" stopIfTrue="1">
      <formula>M200&lt;&gt;0</formula>
    </cfRule>
  </conditionalFormatting>
  <conditionalFormatting sqref="G160">
    <cfRule type="expression" dxfId="2" priority="4">
      <formula>$G$160&gt;""</formula>
    </cfRule>
  </conditionalFormatting>
  <conditionalFormatting sqref="F157">
    <cfRule type="expression" dxfId="1" priority="2">
      <formula>IF(AND(SUM(F177)&gt;0,LEN(TRIM(F2F1Unrestricted)) = 0), TRUE, FALSE)</formula>
    </cfRule>
  </conditionalFormatting>
  <conditionalFormatting sqref="G157">
    <cfRule type="expression" dxfId="0" priority="1">
      <formula>IF(AND(SUM(G177)&gt;0,LEN(TRIM(F2F1Restricted)) = 0), TRUE, FALSE)</formula>
    </cfRule>
  </conditionalFormatting>
  <dataValidations count="4">
    <dataValidation type="decimal" operator="greaterThanOrEqual" allowBlank="1" showInputMessage="1" showErrorMessage="1" errorTitle="Community Services" error="Enter dollar amount only!" sqref="F236">
      <formula1>0</formula1>
    </dataValidation>
    <dataValidation type="decimal" operator="greaterThanOrEqual" allowBlank="1" showInputMessage="1" showErrorMessage="1" errorTitle="Debt Service" error="Enter dollar amount only! Negative amount not applicable." sqref="G216:G225">
      <formula1>0</formula1>
    </dataValidation>
    <dataValidation type="decimal" operator="greaterThanOrEqual" allowBlank="1" showInputMessage="1" showErrorMessage="1" errorTitle="Capital Outlay" error="Enter dollar amount only! Negative amount not applicable." sqref="F216:F225">
      <formula1>0</formula1>
    </dataValidation>
    <dataValidation type="decimal" operator="greaterThanOrEqual" allowBlank="1" showInputMessage="1" showErrorMessage="1" errorTitle="Community Services" error="Enter dollar amount or enter 0.00! Negative amount not applicable." sqref="G236:G240">
      <formula1>0</formula1>
    </dataValidation>
  </dataValidations>
  <pageMargins left="0.17" right="0.36" top="0.18" bottom="0.22" header="0.17" footer="0.24"/>
  <pageSetup scale="78" fitToHeight="7" orientation="portrait" r:id="rId1"/>
  <headerFooter alignWithMargins="0">
    <oddFooter>&amp;L&amp;"Arial,Regular"&amp;8California Department of Education
Charter School Financial Report
Certification Form (Revised 03/15/20)&amp;C&amp;"Arial,Regular"&amp;8
Page &amp;P of &amp;N
&amp;R&amp;"Arial,Regular"&amp;8
&amp;D &amp;T</oddFooter>
  </headerFooter>
  <rowBreaks count="5" manualBreakCount="5">
    <brk id="63" max="16383" man="1"/>
    <brk id="121" max="7" man="1"/>
    <brk id="161" max="7" man="1"/>
    <brk id="202" max="16383" man="1"/>
    <brk id="2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zoomScale="104" zoomScaleNormal="104" workbookViewId="0">
      <selection activeCell="B5" sqref="B5"/>
    </sheetView>
  </sheetViews>
  <sheetFormatPr defaultRowHeight="14" x14ac:dyDescent="0.3"/>
  <cols>
    <col min="1" max="1" width="15.08984375" customWidth="1"/>
  </cols>
  <sheetData>
    <row r="1" spans="1:3" x14ac:dyDescent="0.3">
      <c r="A1" s="247" t="s">
        <v>308</v>
      </c>
      <c r="B1">
        <v>20000</v>
      </c>
      <c r="C1">
        <v>30000</v>
      </c>
    </row>
    <row r="2" spans="1:3" x14ac:dyDescent="0.3">
      <c r="A2" s="247" t="s">
        <v>308</v>
      </c>
      <c r="B2">
        <v>256445</v>
      </c>
      <c r="C2">
        <v>300</v>
      </c>
    </row>
    <row r="3" spans="1:3" x14ac:dyDescent="0.3">
      <c r="A3" s="247" t="s">
        <v>308</v>
      </c>
      <c r="B3">
        <v>25488</v>
      </c>
      <c r="C3">
        <v>1</v>
      </c>
    </row>
    <row r="4" spans="1:3" x14ac:dyDescent="0.3">
      <c r="A4" s="247" t="s">
        <v>308</v>
      </c>
      <c r="B4">
        <v>2500</v>
      </c>
      <c r="C4">
        <v>33665</v>
      </c>
    </row>
  </sheetData>
  <sheetProtection algorithmName="SHA-512" hashValue="M/zGpUIP5LymUxF17wEDuXRG/6f0JqmYNtEpYyxufUP0SEu+YuCG9eThVKGRFesFGrE1kpHLawGmE5N0mitPmQ==" saltValue="i29owgKrxuQdQrSoE5Ho1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B10"/>
  <sheetViews>
    <sheetView showGridLines="0" showRowColHeaders="0" zoomScale="104" zoomScaleNormal="104" workbookViewId="0">
      <selection activeCell="B4" sqref="B4"/>
    </sheetView>
  </sheetViews>
  <sheetFormatPr defaultRowHeight="14" x14ac:dyDescent="0.3"/>
  <cols>
    <col min="2" max="2" width="122.54296875" customWidth="1"/>
    <col min="3" max="3" width="8.90625" customWidth="1"/>
  </cols>
  <sheetData>
    <row r="4" spans="2:2" ht="26" x14ac:dyDescent="0.3">
      <c r="B4" s="239" t="s">
        <v>280</v>
      </c>
    </row>
    <row r="5" spans="2:2" ht="23.5" x14ac:dyDescent="0.3">
      <c r="B5" s="240" t="s">
        <v>281</v>
      </c>
    </row>
    <row r="6" spans="2:2" ht="15.5" x14ac:dyDescent="0.3">
      <c r="B6" s="237"/>
    </row>
    <row r="7" spans="2:2" ht="20.5" x14ac:dyDescent="0.45">
      <c r="B7" s="236" t="s">
        <v>279</v>
      </c>
    </row>
    <row r="8" spans="2:2" ht="18.5" x14ac:dyDescent="0.3">
      <c r="B8" s="238" t="s">
        <v>282</v>
      </c>
    </row>
    <row r="9" spans="2:2" ht="20.5" x14ac:dyDescent="0.45">
      <c r="B9" s="236" t="s">
        <v>0</v>
      </c>
    </row>
    <row r="10" spans="2:2" ht="20.5" x14ac:dyDescent="0.45">
      <c r="B10" s="236" t="s">
        <v>0</v>
      </c>
    </row>
  </sheetData>
  <sheetProtection algorithmName="SHA-512" hashValue="gvfYaPnBYY9JXfmte882GZi422axMN4Um6ZTn7eCEAWLYMtsB6+zECjC5FYSvTLakMNY81NV42f2cz+IUo127g==" saltValue="swS88a0XvCZoTiWWTC5P/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88</vt:i4>
      </vt:variant>
    </vt:vector>
  </HeadingPairs>
  <TitlesOfParts>
    <vt:vector size="92" baseType="lpstr">
      <vt:lpstr>Certification</vt:lpstr>
      <vt:lpstr>Alternative Form</vt:lpstr>
      <vt:lpstr>Data</vt:lpstr>
      <vt:lpstr>MACROS</vt:lpstr>
      <vt:lpstr>A1Education</vt:lpstr>
      <vt:lpstr>A1StateAid</vt:lpstr>
      <vt:lpstr>A1StateAidCurrent</vt:lpstr>
      <vt:lpstr>A1StateAidPrior</vt:lpstr>
      <vt:lpstr>A1Transfers</vt:lpstr>
      <vt:lpstr>AccrualBasis</vt:lpstr>
      <vt:lpstr>AccrualBasisCheck</vt:lpstr>
      <vt:lpstr>AccrualBasisEnable</vt:lpstr>
      <vt:lpstr>ALTHeading</vt:lpstr>
      <vt:lpstr>ApprovingEntity</vt:lpstr>
      <vt:lpstr>B6BookEnable</vt:lpstr>
      <vt:lpstr>B6BooksBlankEnable</vt:lpstr>
      <vt:lpstr>B6CapitalOutlayShading</vt:lpstr>
      <vt:lpstr>B6DepreciationEnable</vt:lpstr>
      <vt:lpstr>B6LandBuidingEnable</vt:lpstr>
      <vt:lpstr>B6Total</vt:lpstr>
      <vt:lpstr>B7DebtServiceTotal</vt:lpstr>
      <vt:lpstr>B7Total</vt:lpstr>
      <vt:lpstr>B8Total</vt:lpstr>
      <vt:lpstr>CharterSchool</vt:lpstr>
      <vt:lpstr>CommService</vt:lpstr>
      <vt:lpstr>CountyContact</vt:lpstr>
      <vt:lpstr>D3Total</vt:lpstr>
      <vt:lpstr>F2A1Restricted</vt:lpstr>
      <vt:lpstr>F2A1Unrestricted</vt:lpstr>
      <vt:lpstr>F2A2Restricted</vt:lpstr>
      <vt:lpstr>F2A2Unrestricted</vt:lpstr>
      <vt:lpstr>F2A3Restricted</vt:lpstr>
      <vt:lpstr>F2A3Unrestricted</vt:lpstr>
      <vt:lpstr>F2A4Enable</vt:lpstr>
      <vt:lpstr>F2A4Restricted</vt:lpstr>
      <vt:lpstr>F2A4Unrestricted</vt:lpstr>
      <vt:lpstr>F2ARestricted</vt:lpstr>
      <vt:lpstr>F2AUnrestricted</vt:lpstr>
      <vt:lpstr>F2BRestrictedSum</vt:lpstr>
      <vt:lpstr>F2CDEModifiedBasis</vt:lpstr>
      <vt:lpstr>F2CUnrestricted</vt:lpstr>
      <vt:lpstr>F2DUnrestricted</vt:lpstr>
      <vt:lpstr>F2E2RestrictedSum</vt:lpstr>
      <vt:lpstr>F2E2UnrestrictedSum</vt:lpstr>
      <vt:lpstr>F2EBlank</vt:lpstr>
      <vt:lpstr>F2EUnrestricted</vt:lpstr>
      <vt:lpstr>F2F1Restricted</vt:lpstr>
      <vt:lpstr>F2F1Unrestricted</vt:lpstr>
      <vt:lpstr>F2F2Restricted</vt:lpstr>
      <vt:lpstr>F2F3RestrictedSum</vt:lpstr>
      <vt:lpstr>F2F3UnrestrictedSum</vt:lpstr>
      <vt:lpstr>F2FAccrualEnable</vt:lpstr>
      <vt:lpstr>F2FEnable</vt:lpstr>
      <vt:lpstr>F2FRestricted</vt:lpstr>
      <vt:lpstr>F2Restricted</vt:lpstr>
      <vt:lpstr>F2Total</vt:lpstr>
      <vt:lpstr>F2Unrestricted</vt:lpstr>
      <vt:lpstr>F3CompoentsShading</vt:lpstr>
      <vt:lpstr>F3RestrictedMessage</vt:lpstr>
      <vt:lpstr>F3UnrestrictedMessage</vt:lpstr>
      <vt:lpstr>FederalRevenue</vt:lpstr>
      <vt:lpstr>FormualCheck3</vt:lpstr>
      <vt:lpstr>FormulaCheck1</vt:lpstr>
      <vt:lpstr>FormulaCheck2</vt:lpstr>
      <vt:lpstr>FormulaCheck4</vt:lpstr>
      <vt:lpstr>FormulaCheck5</vt:lpstr>
      <vt:lpstr>FormulaCheck6</vt:lpstr>
      <vt:lpstr>G8Restricted</vt:lpstr>
      <vt:lpstr>G8Unrestricted</vt:lpstr>
      <vt:lpstr>G9130Restricted</vt:lpstr>
      <vt:lpstr>G9130Unrestricted</vt:lpstr>
      <vt:lpstr>G9320Restricted</vt:lpstr>
      <vt:lpstr>G9320Unrestricted</vt:lpstr>
      <vt:lpstr>G9330Restricted</vt:lpstr>
      <vt:lpstr>G9330Unrestricted</vt:lpstr>
      <vt:lpstr>J2Total</vt:lpstr>
      <vt:lpstr>J3ATotalExpenditures</vt:lpstr>
      <vt:lpstr>J3BLessFederal</vt:lpstr>
      <vt:lpstr>J3CTotal</vt:lpstr>
      <vt:lpstr>J3DTotal</vt:lpstr>
      <vt:lpstr>J3ETotal</vt:lpstr>
      <vt:lpstr>Modified_Accrual_Basis__Applicable_Capital_Outlay_Debt_Service_Fund_Balance_objects_are_6100_6170__6200_6500__7438__7439</vt:lpstr>
      <vt:lpstr>ModifiedAccuralCheck</vt:lpstr>
      <vt:lpstr>ModifiedBasis</vt:lpstr>
      <vt:lpstr>ModifiedBasisEnable</vt:lpstr>
      <vt:lpstr>'Alternative Form'!Print_Area</vt:lpstr>
      <vt:lpstr>'Alternative Form'!Print_Titles</vt:lpstr>
      <vt:lpstr>Section2ACapitalDetail</vt:lpstr>
      <vt:lpstr>Section2ADebtDetail</vt:lpstr>
      <vt:lpstr>Section2ADetail</vt:lpstr>
      <vt:lpstr>SectionA2</vt:lpstr>
      <vt:lpstr>SectionA2Total</vt:lpstr>
    </vt:vector>
  </TitlesOfParts>
  <Manager>Peggy O'Guin</Manager>
  <Company>CDE</Company>
  <LinksUpToDate>false</LinksUpToDate>
  <SharedDoc>false</SharedDoc>
  <HyperlinkBase>http://www.cde.ca.gov/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Charter School Unaudited Actuals</dc:title>
  <dc:subject>Financial Report</dc:subject>
  <dc:creator>School Fiscal Services Division</dc:creator>
  <dc:description>Used for Charter Schools data reporting</dc:description>
  <cp:lastModifiedBy>LVUSD</cp:lastModifiedBy>
  <cp:lastPrinted>2019-02-19T18:58:22Z</cp:lastPrinted>
  <dcterms:created xsi:type="dcterms:W3CDTF">2003-03-11T21:05:07Z</dcterms:created>
  <dcterms:modified xsi:type="dcterms:W3CDTF">2021-09-08T17:47:58Z</dcterms:modified>
  <cp:category>Alterniave Form</cp:category>
</cp:coreProperties>
</file>
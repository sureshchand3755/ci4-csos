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defaultThemeVersion="124226"/>
  <mc:AlternateContent xmlns:mc="http://schemas.openxmlformats.org/markup-compatibility/2006">
    <mc:Choice Requires="x15">
      <x15ac:absPath xmlns:x15ac="http://schemas.microsoft.com/office/spreadsheetml/2010/11/ac" url="E:\2022 - 2023 BOARD MEETINGS\November 22\drafts\1st interim\"/>
    </mc:Choice>
  </mc:AlternateContent>
  <xr:revisionPtr revIDLastSave="0" documentId="13_ncr:1_{2CD8E517-0AD3-4BE3-9761-837725B4201A}" xr6:coauthVersionLast="47" xr6:coauthVersionMax="47" xr10:uidLastSave="{00000000-0000-0000-0000-000000000000}"/>
  <bookViews>
    <workbookView xWindow="28680" yWindow="-120" windowWidth="29040" windowHeight="15840" tabRatio="947" firstSheet="12" activeTab="13" xr2:uid="{00000000-000D-0000-FFFF-FFFF00000000}"/>
  </bookViews>
  <sheets>
    <sheet name="Instructions" sheetId="20" r:id="rId1"/>
    <sheet name="BUDGET-CHECKLIST" sheetId="47" r:id="rId2"/>
    <sheet name="BUDGET-CERTIFICATION" sheetId="48" r:id="rId3"/>
    <sheet name="Budget-ADA" sheetId="28" r:id="rId4"/>
    <sheet name="Budget-Assumptions" sheetId="29" r:id="rId5"/>
    <sheet name="Budget-Unrestricted MYP" sheetId="30" r:id="rId6"/>
    <sheet name="Budget-Restricted MYP" sheetId="31" r:id="rId7"/>
    <sheet name="Budget-Summary MYP" sheetId="32" r:id="rId8"/>
    <sheet name="Budget-DEBT" sheetId="36" r:id="rId9"/>
    <sheet name="Budget-Cash Flow Year 1" sheetId="34" r:id="rId10"/>
    <sheet name="Budget-Cash Flow Year 2" sheetId="35" r:id="rId11"/>
    <sheet name="Budget Data" sheetId="49" r:id="rId12"/>
    <sheet name="INTERIM-CHECKLIST" sheetId="9" r:id="rId13"/>
    <sheet name="INTERIM-CERTIFICATION" sheetId="10" r:id="rId14"/>
    <sheet name="1st Interim-ADA" sheetId="14" r:id="rId15"/>
    <sheet name="1st Interim-Assumptions" sheetId="21" r:id="rId16"/>
    <sheet name="1st Interim-Unrestricted MYP" sheetId="17" r:id="rId17"/>
    <sheet name="1st Interim-Restricted MYP" sheetId="16" r:id="rId18"/>
    <sheet name="1st Interim-Summary MYP" sheetId="2" r:id="rId19"/>
    <sheet name="1st Interim-DEBT" sheetId="15" r:id="rId20"/>
    <sheet name="1st Interim-Cash Flow Year 1" sheetId="37" r:id="rId21"/>
    <sheet name="1st Interim-Cash Flow Year 2" sheetId="38" r:id="rId22"/>
    <sheet name="1st Interim Data" sheetId="50" r:id="rId23"/>
    <sheet name="2nd Interim-ADA" sheetId="39" r:id="rId24"/>
    <sheet name="2nd Interim-Assumptions" sheetId="40" r:id="rId25"/>
    <sheet name="2nd Interim-Unrestricted MYP" sheetId="41" r:id="rId26"/>
    <sheet name="2nd Interim-Restricted MYP" sheetId="42" r:id="rId27"/>
    <sheet name="2nd Interim-Summary MYP" sheetId="43" r:id="rId28"/>
    <sheet name="2nd Interim-DEBT" sheetId="44" r:id="rId29"/>
    <sheet name="2nd Interim-Cash Flow Year 1" sheetId="45" r:id="rId30"/>
    <sheet name="2nd Interim-Cash Flow Year 2" sheetId="46" r:id="rId31"/>
    <sheet name="2nd Interim Data" sheetId="51" r:id="rId32"/>
  </sheets>
  <definedNames>
    <definedName name="_xlnm.Print_Area" localSheetId="14">'1st Interim-ADA'!$A$1:$V$78</definedName>
    <definedName name="_xlnm.Print_Area" localSheetId="15">'1st Interim-Assumptions'!$A$7:$K$94</definedName>
    <definedName name="_xlnm.Print_Area" localSheetId="17">'1st Interim-Restricted MYP'!$A$11:$L$155</definedName>
    <definedName name="_xlnm.Print_Area" localSheetId="18">'1st Interim-Summary MYP'!$A$11:$L$85</definedName>
    <definedName name="_xlnm.Print_Area" localSheetId="16">'1st Interim-Unrestricted MYP'!$A$1:$L$117</definedName>
    <definedName name="_xlnm.Print_Area" localSheetId="23">'2nd Interim-ADA'!$A$1:$V$79</definedName>
    <definedName name="_xlnm.Print_Area" localSheetId="24">'2nd Interim-Assumptions'!$A$7:$K$94</definedName>
    <definedName name="_xlnm.Print_Area" localSheetId="29">'2nd Interim-Cash Flow Year 1'!$A$1:$AF$63</definedName>
    <definedName name="_xlnm.Print_Area" localSheetId="30">'2nd Interim-Cash Flow Year 2'!$A$1:$AF$63</definedName>
    <definedName name="_xlnm.Print_Area" localSheetId="28">'2nd Interim-DEBT'!$A$1:$K$33</definedName>
    <definedName name="_xlnm.Print_Area" localSheetId="26">'2nd Interim-Restricted MYP'!$A$11:$M$155</definedName>
    <definedName name="_xlnm.Print_Area" localSheetId="27">'2nd Interim-Summary MYP'!$A$11:$M$85</definedName>
    <definedName name="_xlnm.Print_Area" localSheetId="25">'2nd Interim-Unrestricted MYP'!$A$11:$M$117</definedName>
    <definedName name="_xlnm.Print_Area" localSheetId="3">'Budget-ADA'!$A$7:$S$78</definedName>
    <definedName name="_xlnm.Print_Area" localSheetId="4">'Budget-Assumptions'!$A$7:$K$94</definedName>
    <definedName name="_xlnm.Print_Area" localSheetId="2">'BUDGET-CERTIFICATION'!$A$1:$M$57</definedName>
    <definedName name="_xlnm.Print_Area" localSheetId="1">'BUDGET-CHECKLIST'!$A$1:$B$29</definedName>
    <definedName name="_xlnm.Print_Area" localSheetId="6">'Budget-Restricted MYP'!$A$11:$K$155</definedName>
    <definedName name="_xlnm.Print_Area" localSheetId="7">'Budget-Summary MYP'!$A$11:$K$85</definedName>
    <definedName name="_xlnm.Print_Area" localSheetId="5">'Budget-Unrestricted MYP'!$A$11:$K$117</definedName>
    <definedName name="_xlnm.Print_Area" localSheetId="0">Instructions!$A$1:$J$88</definedName>
    <definedName name="_xlnm.Print_Area" localSheetId="12">'INTERIM-CHECKLIST'!$A$1:$B$29</definedName>
    <definedName name="_xlnm.Print_Titles" localSheetId="14">'1st Interim-ADA'!$1:$9</definedName>
    <definedName name="_xlnm.Print_Titles" localSheetId="15">'1st Interim-Assumptions'!$1:$6</definedName>
    <definedName name="_xlnm.Print_Titles" localSheetId="20">'1st Interim-Cash Flow Year 1'!$A:$C,'1st Interim-Cash Flow Year 1'!$1:$6</definedName>
    <definedName name="_xlnm.Print_Titles" localSheetId="21">'1st Interim-Cash Flow Year 2'!$A:$C</definedName>
    <definedName name="_xlnm.Print_Titles" localSheetId="17">'1st Interim-Restricted MYP'!$A:$D,'1st Interim-Restricted MYP'!$1:$10</definedName>
    <definedName name="_xlnm.Print_Titles" localSheetId="18">'1st Interim-Summary MYP'!$1:$10</definedName>
    <definedName name="_xlnm.Print_Titles" localSheetId="16">'1st Interim-Unrestricted MYP'!$1:$10</definedName>
    <definedName name="_xlnm.Print_Titles" localSheetId="23">'2nd Interim-ADA'!$1:$9</definedName>
    <definedName name="_xlnm.Print_Titles" localSheetId="24">'2nd Interim-Assumptions'!$1:$6</definedName>
    <definedName name="_xlnm.Print_Titles" localSheetId="29">'2nd Interim-Cash Flow Year 1'!$A:$C</definedName>
    <definedName name="_xlnm.Print_Titles" localSheetId="30">'2nd Interim-Cash Flow Year 2'!$A:$C</definedName>
    <definedName name="_xlnm.Print_Titles" localSheetId="26">'2nd Interim-Restricted MYP'!$1:$10</definedName>
    <definedName name="_xlnm.Print_Titles" localSheetId="27">'2nd Interim-Summary MYP'!$1:$10</definedName>
    <definedName name="_xlnm.Print_Titles" localSheetId="25">'2nd Interim-Unrestricted MYP'!$1:$10</definedName>
    <definedName name="_xlnm.Print_Titles" localSheetId="3">'Budget-ADA'!$1:$9</definedName>
    <definedName name="_xlnm.Print_Titles" localSheetId="4">'Budget-Assumptions'!$1:$6</definedName>
    <definedName name="_xlnm.Print_Titles" localSheetId="9">'Budget-Cash Flow Year 1'!$A:$C</definedName>
    <definedName name="_xlnm.Print_Titles" localSheetId="10">'Budget-Cash Flow Year 2'!$A:$C,'Budget-Cash Flow Year 2'!$1:$6</definedName>
    <definedName name="_xlnm.Print_Titles" localSheetId="6">'Budget-Restricted MYP'!$1:$10</definedName>
    <definedName name="_xlnm.Print_Titles" localSheetId="7">'Budget-Summary MYP'!$1:$10</definedName>
    <definedName name="_xlnm.Print_Titles" localSheetId="5">'Budget-Unrestricted MYP'!$1:$10</definedName>
    <definedName name="validbudgets">'Budget-Assumptions'!$B$67:$C$67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3" i="17" l="1"/>
  <c r="G70" i="21"/>
  <c r="G73" i="21" l="1"/>
  <c r="G69" i="21"/>
  <c r="G68" i="21"/>
  <c r="G67" i="21"/>
  <c r="G57" i="21"/>
  <c r="K155" i="16"/>
  <c r="I155" i="16"/>
  <c r="F155" i="16"/>
  <c r="C2" i="38"/>
  <c r="G33" i="16"/>
  <c r="K42" i="16" l="1"/>
  <c r="I42" i="16"/>
  <c r="K42" i="17"/>
  <c r="I42" i="17"/>
  <c r="G34" i="17"/>
  <c r="I33" i="38" l="1"/>
  <c r="K33" i="38" s="1"/>
  <c r="M33" i="38" s="1"/>
  <c r="O33" i="38" s="1"/>
  <c r="Q33" i="38" s="1"/>
  <c r="S33" i="38" s="1"/>
  <c r="U33" i="38" s="1"/>
  <c r="W33" i="38" s="1"/>
  <c r="Y33" i="38" s="1"/>
  <c r="AA33" i="38" s="1"/>
  <c r="I32" i="38"/>
  <c r="K32" i="38" s="1"/>
  <c r="M32" i="38" s="1"/>
  <c r="O32" i="38" s="1"/>
  <c r="Q32" i="38" s="1"/>
  <c r="S32" i="38" s="1"/>
  <c r="U32" i="38" s="1"/>
  <c r="W32" i="38" s="1"/>
  <c r="Y32" i="38" s="1"/>
  <c r="AA32" i="38" s="1"/>
  <c r="I31" i="38"/>
  <c r="K31" i="38" s="1"/>
  <c r="M31" i="38" s="1"/>
  <c r="O31" i="38" s="1"/>
  <c r="Q31" i="38" s="1"/>
  <c r="S31" i="38" s="1"/>
  <c r="U31" i="38" s="1"/>
  <c r="W31" i="38" s="1"/>
  <c r="Y31" i="38" s="1"/>
  <c r="AA31" i="38" s="1"/>
  <c r="I30" i="38"/>
  <c r="K30" i="38" s="1"/>
  <c r="M30" i="38" s="1"/>
  <c r="O30" i="38" s="1"/>
  <c r="Q30" i="38" s="1"/>
  <c r="S30" i="38" s="1"/>
  <c r="U30" i="38" s="1"/>
  <c r="W30" i="38" s="1"/>
  <c r="Y30" i="38" s="1"/>
  <c r="AA30" i="38" s="1"/>
  <c r="I29" i="38"/>
  <c r="K29" i="38" s="1"/>
  <c r="M29" i="38" s="1"/>
  <c r="O29" i="38" s="1"/>
  <c r="Q29" i="38" s="1"/>
  <c r="S29" i="38" s="1"/>
  <c r="U29" i="38" s="1"/>
  <c r="W29" i="38" s="1"/>
  <c r="Y29" i="38" s="1"/>
  <c r="AA29" i="38" s="1"/>
  <c r="I28" i="38"/>
  <c r="K28" i="38" s="1"/>
  <c r="M28" i="38" s="1"/>
  <c r="O28" i="38" s="1"/>
  <c r="Q28" i="38" s="1"/>
  <c r="S28" i="38" s="1"/>
  <c r="U28" i="38" s="1"/>
  <c r="W28" i="38" s="1"/>
  <c r="Y28" i="38" s="1"/>
  <c r="AA28" i="38" s="1"/>
  <c r="I27" i="38"/>
  <c r="K27" i="38" s="1"/>
  <c r="M27" i="38" s="1"/>
  <c r="O27" i="38" s="1"/>
  <c r="Q27" i="38" s="1"/>
  <c r="S27" i="38" s="1"/>
  <c r="U27" i="38" s="1"/>
  <c r="W27" i="38" s="1"/>
  <c r="Y27" i="38" s="1"/>
  <c r="AA27" i="38" s="1"/>
  <c r="I26" i="38"/>
  <c r="K26" i="38" s="1"/>
  <c r="M26" i="38" s="1"/>
  <c r="O26" i="38" s="1"/>
  <c r="Q26" i="38" s="1"/>
  <c r="S26" i="38" s="1"/>
  <c r="U26" i="38" s="1"/>
  <c r="W26" i="38" s="1"/>
  <c r="Y26" i="38" s="1"/>
  <c r="AA26" i="38" s="1"/>
  <c r="G33" i="38"/>
  <c r="G32" i="38"/>
  <c r="G31" i="38"/>
  <c r="G30" i="38"/>
  <c r="G29" i="38"/>
  <c r="G28" i="38"/>
  <c r="G27" i="38"/>
  <c r="G26" i="38"/>
  <c r="K22" i="38"/>
  <c r="M22" i="38" s="1"/>
  <c r="O22" i="38" s="1"/>
  <c r="Q22" i="38" s="1"/>
  <c r="S22" i="38" s="1"/>
  <c r="U22" i="38" s="1"/>
  <c r="W22" i="38" s="1"/>
  <c r="Y22" i="38" s="1"/>
  <c r="AA22" i="38" s="1"/>
  <c r="K21" i="38"/>
  <c r="M21" i="38" s="1"/>
  <c r="O21" i="38" s="1"/>
  <c r="Q21" i="38" s="1"/>
  <c r="S21" i="38" s="1"/>
  <c r="U21" i="38" s="1"/>
  <c r="W21" i="38" s="1"/>
  <c r="Y21" i="38" s="1"/>
  <c r="AA21" i="38" s="1"/>
  <c r="K20" i="38"/>
  <c r="M20" i="38" s="1"/>
  <c r="O20" i="38" s="1"/>
  <c r="Q20" i="38" s="1"/>
  <c r="S20" i="38" s="1"/>
  <c r="U20" i="38" s="1"/>
  <c r="W20" i="38" s="1"/>
  <c r="Y20" i="38" s="1"/>
  <c r="AA20" i="38" s="1"/>
  <c r="I22" i="38"/>
  <c r="I21" i="38"/>
  <c r="I20" i="38"/>
  <c r="G22" i="38"/>
  <c r="G21" i="38"/>
  <c r="G20" i="38"/>
  <c r="K18" i="38"/>
  <c r="M18" i="38" s="1"/>
  <c r="O18" i="38" s="1"/>
  <c r="Q18" i="38" s="1"/>
  <c r="S18" i="38" s="1"/>
  <c r="U18" i="38" s="1"/>
  <c r="W18" i="38" s="1"/>
  <c r="Y18" i="38" s="1"/>
  <c r="AA18" i="38" s="1"/>
  <c r="I18" i="38"/>
  <c r="G18" i="38"/>
  <c r="M14" i="38"/>
  <c r="O14" i="38" s="1"/>
  <c r="Q14" i="38" s="1"/>
  <c r="S14" i="38" s="1"/>
  <c r="U14" i="38" s="1"/>
  <c r="W14" i="38" s="1"/>
  <c r="Y14" i="38" s="1"/>
  <c r="AA14" i="38" s="1"/>
  <c r="M12" i="38"/>
  <c r="O12" i="38" s="1"/>
  <c r="Q12" i="38" s="1"/>
  <c r="S12" i="38" s="1"/>
  <c r="U12" i="38" s="1"/>
  <c r="W12" i="38" s="1"/>
  <c r="Y12" i="38" s="1"/>
  <c r="AA12" i="38" s="1"/>
  <c r="K14" i="38"/>
  <c r="K13" i="38"/>
  <c r="M13" i="38" s="1"/>
  <c r="O13" i="38" s="1"/>
  <c r="Q13" i="38" s="1"/>
  <c r="S13" i="38" s="1"/>
  <c r="U13" i="38" s="1"/>
  <c r="W13" i="38" s="1"/>
  <c r="Y13" i="38" s="1"/>
  <c r="AA13" i="38" s="1"/>
  <c r="K12" i="38"/>
  <c r="K11" i="38"/>
  <c r="M11" i="38" s="1"/>
  <c r="O11" i="38" s="1"/>
  <c r="Q11" i="38" s="1"/>
  <c r="S11" i="38" s="1"/>
  <c r="U11" i="38" s="1"/>
  <c r="W11" i="38" s="1"/>
  <c r="Y11" i="38" s="1"/>
  <c r="AA11" i="38" s="1"/>
  <c r="I14" i="38"/>
  <c r="I13" i="38"/>
  <c r="I12" i="38"/>
  <c r="I11" i="38"/>
  <c r="G14" i="38"/>
  <c r="G13" i="38"/>
  <c r="G12" i="38"/>
  <c r="G11" i="38"/>
  <c r="E33" i="38"/>
  <c r="E32" i="38"/>
  <c r="E31" i="38"/>
  <c r="E30" i="38"/>
  <c r="E29" i="38"/>
  <c r="E28" i="38"/>
  <c r="E27" i="38"/>
  <c r="E26" i="38"/>
  <c r="E22" i="38"/>
  <c r="E21" i="38"/>
  <c r="E20" i="38"/>
  <c r="E18" i="38"/>
  <c r="E14" i="38"/>
  <c r="E13" i="38"/>
  <c r="E12" i="38"/>
  <c r="E11" i="38"/>
  <c r="AA33" i="37"/>
  <c r="Y33" i="37"/>
  <c r="W33" i="37"/>
  <c r="U33" i="37"/>
  <c r="S33" i="37"/>
  <c r="Q33" i="37"/>
  <c r="O33" i="37"/>
  <c r="M33" i="37"/>
  <c r="K33" i="37"/>
  <c r="I33" i="37"/>
  <c r="AA22" i="37"/>
  <c r="AA20" i="37"/>
  <c r="Y22" i="37"/>
  <c r="Y20" i="37"/>
  <c r="W22" i="37"/>
  <c r="W20" i="37"/>
  <c r="U22" i="37"/>
  <c r="U20" i="37"/>
  <c r="S22" i="37"/>
  <c r="S20" i="37"/>
  <c r="Q22" i="37"/>
  <c r="Q20" i="37"/>
  <c r="O22" i="37"/>
  <c r="O20" i="37"/>
  <c r="M22" i="37"/>
  <c r="M20" i="37"/>
  <c r="K22" i="37"/>
  <c r="K20" i="37"/>
  <c r="I22" i="37"/>
  <c r="I20" i="37"/>
  <c r="AA18" i="37"/>
  <c r="Y18" i="37"/>
  <c r="W18" i="37"/>
  <c r="U18" i="37"/>
  <c r="S18" i="37"/>
  <c r="Q18" i="37"/>
  <c r="O18" i="37"/>
  <c r="M18" i="37"/>
  <c r="K18" i="37"/>
  <c r="I18" i="37"/>
  <c r="AA14" i="37"/>
  <c r="AA12" i="37"/>
  <c r="Y14" i="37"/>
  <c r="Y12" i="37"/>
  <c r="W14" i="37"/>
  <c r="W12" i="37"/>
  <c r="U14" i="37"/>
  <c r="U12" i="37"/>
  <c r="S14" i="37"/>
  <c r="S12" i="37"/>
  <c r="Q14" i="37"/>
  <c r="Q12" i="37"/>
  <c r="O14" i="37"/>
  <c r="O12" i="37"/>
  <c r="M14" i="37"/>
  <c r="M12" i="37"/>
  <c r="K14" i="37"/>
  <c r="K12" i="37"/>
  <c r="I14" i="37"/>
  <c r="I12" i="37"/>
  <c r="G33" i="37"/>
  <c r="G22" i="37"/>
  <c r="G20" i="37"/>
  <c r="G18" i="37"/>
  <c r="G14" i="37"/>
  <c r="G12" i="37"/>
  <c r="E33" i="37"/>
  <c r="E22" i="37"/>
  <c r="E20" i="37"/>
  <c r="E18" i="37"/>
  <c r="E14" i="37"/>
  <c r="E12" i="37"/>
  <c r="H37" i="21" l="1"/>
  <c r="J37" i="21" s="1"/>
  <c r="H36" i="21"/>
  <c r="J36" i="21" s="1"/>
  <c r="G94" i="16"/>
  <c r="G16" i="21" l="1"/>
  <c r="J27" i="21"/>
  <c r="H27" i="21"/>
  <c r="G27" i="21"/>
  <c r="K36" i="16"/>
  <c r="K35" i="16"/>
  <c r="K34" i="16"/>
  <c r="K33" i="16"/>
  <c r="K32" i="16"/>
  <c r="K31" i="16"/>
  <c r="K30" i="16"/>
  <c r="K29" i="16"/>
  <c r="I36" i="16"/>
  <c r="I35" i="16"/>
  <c r="I34" i="16"/>
  <c r="I33" i="16"/>
  <c r="I32" i="16"/>
  <c r="I31" i="16"/>
  <c r="I30" i="16"/>
  <c r="I29" i="16"/>
  <c r="K24" i="16"/>
  <c r="I24" i="16"/>
  <c r="K36" i="17"/>
  <c r="K35" i="17"/>
  <c r="K34" i="17"/>
  <c r="K33" i="17"/>
  <c r="K32" i="17"/>
  <c r="K31" i="17"/>
  <c r="K30" i="17"/>
  <c r="K29" i="17"/>
  <c r="I36" i="17"/>
  <c r="I35" i="17"/>
  <c r="I34" i="17"/>
  <c r="I33" i="17"/>
  <c r="I32" i="17"/>
  <c r="I31" i="17"/>
  <c r="I30" i="17"/>
  <c r="I29" i="17"/>
  <c r="K16" i="17"/>
  <c r="I16" i="17"/>
  <c r="K14" i="17"/>
  <c r="I14" i="17"/>
  <c r="J88" i="21"/>
  <c r="J87" i="21"/>
  <c r="H88" i="21"/>
  <c r="H87" i="21"/>
  <c r="J84" i="21"/>
  <c r="J83" i="21"/>
  <c r="H84" i="21"/>
  <c r="H83" i="21"/>
  <c r="B82" i="21"/>
  <c r="J76" i="21"/>
  <c r="J75" i="21"/>
  <c r="J74" i="21"/>
  <c r="J73" i="21"/>
  <c r="H76" i="21"/>
  <c r="H75" i="21"/>
  <c r="H74" i="21"/>
  <c r="H73" i="21"/>
  <c r="J70" i="21"/>
  <c r="J69" i="21"/>
  <c r="J68" i="21"/>
  <c r="J67" i="21"/>
  <c r="H70" i="21"/>
  <c r="H69" i="21"/>
  <c r="H68" i="21"/>
  <c r="H67" i="21"/>
  <c r="J51" i="21"/>
  <c r="J59" i="21"/>
  <c r="J57" i="21"/>
  <c r="J56" i="21"/>
  <c r="J55" i="21"/>
  <c r="J54" i="21"/>
  <c r="J53" i="21"/>
  <c r="J52" i="21"/>
  <c r="H59" i="21"/>
  <c r="H57" i="21"/>
  <c r="H56" i="21"/>
  <c r="H55" i="21"/>
  <c r="H54" i="21"/>
  <c r="H53" i="21"/>
  <c r="H52" i="21"/>
  <c r="H51" i="21"/>
  <c r="J43" i="21"/>
  <c r="J42" i="21"/>
  <c r="J41" i="21"/>
  <c r="J40" i="21"/>
  <c r="J39" i="21"/>
  <c r="J38" i="21"/>
  <c r="H43" i="21"/>
  <c r="H42" i="21"/>
  <c r="H41" i="21"/>
  <c r="H40" i="21"/>
  <c r="H39" i="21"/>
  <c r="H38" i="21"/>
  <c r="J33" i="21"/>
  <c r="J32" i="21"/>
  <c r="J31" i="21"/>
  <c r="H33" i="21"/>
  <c r="H32" i="21"/>
  <c r="H31" i="21"/>
  <c r="J16" i="21"/>
  <c r="H16" i="21"/>
  <c r="F28" i="21" l="1"/>
  <c r="F27" i="21"/>
  <c r="F24" i="21"/>
  <c r="H83" i="29" l="1"/>
  <c r="J83" i="29"/>
  <c r="G83" i="29"/>
  <c r="J58" i="29" l="1"/>
  <c r="J57" i="29"/>
  <c r="H58" i="29"/>
  <c r="H57" i="29"/>
  <c r="J42" i="29"/>
  <c r="J41" i="29"/>
  <c r="H42" i="29"/>
  <c r="H41" i="29"/>
  <c r="J53" i="29"/>
  <c r="H53" i="29"/>
  <c r="J40" i="29"/>
  <c r="H40" i="29"/>
  <c r="G40" i="29"/>
  <c r="J38" i="29"/>
  <c r="J37" i="29"/>
  <c r="J36" i="29"/>
  <c r="H38" i="29"/>
  <c r="H37" i="29"/>
  <c r="H36" i="29"/>
  <c r="M22" i="35"/>
  <c r="O22" i="35" s="1"/>
  <c r="Q22" i="35" s="1"/>
  <c r="S22" i="35" s="1"/>
  <c r="U22" i="35" s="1"/>
  <c r="W22" i="35" s="1"/>
  <c r="Y22" i="35" s="1"/>
  <c r="AA22" i="35" s="1"/>
  <c r="K22" i="35"/>
  <c r="I22" i="35"/>
  <c r="I21" i="35"/>
  <c r="K21" i="35" s="1"/>
  <c r="M21" i="35" s="1"/>
  <c r="O21" i="35" s="1"/>
  <c r="Q21" i="35" s="1"/>
  <c r="S21" i="35" s="1"/>
  <c r="U21" i="35" s="1"/>
  <c r="W21" i="35" s="1"/>
  <c r="Y21" i="35" s="1"/>
  <c r="AA21" i="35" s="1"/>
  <c r="I20" i="35"/>
  <c r="K20" i="35" s="1"/>
  <c r="M20" i="35" s="1"/>
  <c r="O20" i="35" s="1"/>
  <c r="Q20" i="35" s="1"/>
  <c r="S20" i="35" s="1"/>
  <c r="U20" i="35" s="1"/>
  <c r="W20" i="35" s="1"/>
  <c r="Y20" i="35" s="1"/>
  <c r="AA20" i="35" s="1"/>
  <c r="I18" i="35"/>
  <c r="K18" i="35" s="1"/>
  <c r="M18" i="35" s="1"/>
  <c r="O18" i="35" s="1"/>
  <c r="Q18" i="35" s="1"/>
  <c r="S18" i="35" s="1"/>
  <c r="U18" i="35" s="1"/>
  <c r="W18" i="35" s="1"/>
  <c r="Y18" i="35" s="1"/>
  <c r="AA18" i="35" s="1"/>
  <c r="I17" i="35"/>
  <c r="K17" i="35" s="1"/>
  <c r="M17" i="35" s="1"/>
  <c r="O17" i="35" s="1"/>
  <c r="Q17" i="35" s="1"/>
  <c r="S17" i="35" s="1"/>
  <c r="U17" i="35" s="1"/>
  <c r="W17" i="35" s="1"/>
  <c r="Y17" i="35" s="1"/>
  <c r="AA17" i="35" s="1"/>
  <c r="I16" i="35"/>
  <c r="K16" i="35" s="1"/>
  <c r="M16" i="35" s="1"/>
  <c r="O16" i="35" s="1"/>
  <c r="Q16" i="35" s="1"/>
  <c r="S16" i="35" s="1"/>
  <c r="U16" i="35" s="1"/>
  <c r="W16" i="35" s="1"/>
  <c r="Y16" i="35" s="1"/>
  <c r="AA16" i="35" s="1"/>
  <c r="I14" i="35"/>
  <c r="K14" i="35" s="1"/>
  <c r="M14" i="35" s="1"/>
  <c r="O14" i="35" s="1"/>
  <c r="Q14" i="35" s="1"/>
  <c r="S14" i="35" s="1"/>
  <c r="U14" i="35" s="1"/>
  <c r="W14" i="35" s="1"/>
  <c r="Y14" i="35" s="1"/>
  <c r="AA14" i="35" s="1"/>
  <c r="I13" i="35"/>
  <c r="K13" i="35" s="1"/>
  <c r="M13" i="35" s="1"/>
  <c r="O13" i="35" s="1"/>
  <c r="Q13" i="35" s="1"/>
  <c r="S13" i="35" s="1"/>
  <c r="U13" i="35" s="1"/>
  <c r="W13" i="35" s="1"/>
  <c r="Y13" i="35" s="1"/>
  <c r="AA13" i="35" s="1"/>
  <c r="I12" i="35"/>
  <c r="K12" i="35" s="1"/>
  <c r="M12" i="35" s="1"/>
  <c r="O12" i="35" s="1"/>
  <c r="Q12" i="35" s="1"/>
  <c r="S12" i="35" s="1"/>
  <c r="U12" i="35" s="1"/>
  <c r="W12" i="35" s="1"/>
  <c r="Y12" i="35" s="1"/>
  <c r="AA12" i="35" s="1"/>
  <c r="I11" i="35"/>
  <c r="K11" i="35" s="1"/>
  <c r="M11" i="35" s="1"/>
  <c r="O11" i="35" s="1"/>
  <c r="Q11" i="35" s="1"/>
  <c r="S11" i="35" s="1"/>
  <c r="U11" i="35" s="1"/>
  <c r="W11" i="35" s="1"/>
  <c r="Y11" i="35" s="1"/>
  <c r="AA11" i="35" s="1"/>
  <c r="M33" i="35"/>
  <c r="O33" i="35" s="1"/>
  <c r="Q33" i="35" s="1"/>
  <c r="S33" i="35" s="1"/>
  <c r="U33" i="35" s="1"/>
  <c r="W33" i="35" s="1"/>
  <c r="Y33" i="35" s="1"/>
  <c r="AA33" i="35" s="1"/>
  <c r="M32" i="35"/>
  <c r="O32" i="35" s="1"/>
  <c r="Q32" i="35" s="1"/>
  <c r="S32" i="35" s="1"/>
  <c r="U32" i="35" s="1"/>
  <c r="W32" i="35" s="1"/>
  <c r="Y32" i="35" s="1"/>
  <c r="AA32" i="35" s="1"/>
  <c r="M31" i="35"/>
  <c r="O31" i="35" s="1"/>
  <c r="Q31" i="35" s="1"/>
  <c r="S31" i="35" s="1"/>
  <c r="U31" i="35" s="1"/>
  <c r="W31" i="35" s="1"/>
  <c r="Y31" i="35" s="1"/>
  <c r="AA31" i="35" s="1"/>
  <c r="M30" i="35"/>
  <c r="O30" i="35" s="1"/>
  <c r="Q30" i="35" s="1"/>
  <c r="S30" i="35" s="1"/>
  <c r="U30" i="35" s="1"/>
  <c r="W30" i="35" s="1"/>
  <c r="Y30" i="35" s="1"/>
  <c r="AA30" i="35" s="1"/>
  <c r="M29" i="35"/>
  <c r="O29" i="35" s="1"/>
  <c r="Q29" i="35" s="1"/>
  <c r="S29" i="35" s="1"/>
  <c r="U29" i="35" s="1"/>
  <c r="W29" i="35" s="1"/>
  <c r="Y29" i="35" s="1"/>
  <c r="AA29" i="35" s="1"/>
  <c r="M26" i="35"/>
  <c r="O26" i="35" s="1"/>
  <c r="Q26" i="35" s="1"/>
  <c r="S26" i="35" s="1"/>
  <c r="U26" i="35" s="1"/>
  <c r="W26" i="35" s="1"/>
  <c r="Y26" i="35" s="1"/>
  <c r="AA26" i="35" s="1"/>
  <c r="K33" i="35"/>
  <c r="K32" i="35"/>
  <c r="K31" i="35"/>
  <c r="K30" i="35"/>
  <c r="K29" i="35"/>
  <c r="K26" i="35"/>
  <c r="I33" i="35"/>
  <c r="I32" i="35"/>
  <c r="I31" i="35"/>
  <c r="I30" i="35"/>
  <c r="I29" i="35"/>
  <c r="I26" i="35"/>
  <c r="G33" i="35"/>
  <c r="G32" i="35"/>
  <c r="G31" i="35"/>
  <c r="G30" i="35"/>
  <c r="G29" i="35"/>
  <c r="G26" i="35"/>
  <c r="G22" i="35"/>
  <c r="G21" i="35"/>
  <c r="G20" i="35"/>
  <c r="G18" i="35"/>
  <c r="G17" i="35"/>
  <c r="G16" i="35"/>
  <c r="G14" i="35"/>
  <c r="G13" i="35"/>
  <c r="G12" i="35"/>
  <c r="G11" i="35"/>
  <c r="E33" i="35"/>
  <c r="E32" i="35"/>
  <c r="E31" i="35"/>
  <c r="E30" i="35"/>
  <c r="E29" i="35"/>
  <c r="E26" i="35"/>
  <c r="E22" i="35"/>
  <c r="E21" i="35"/>
  <c r="E20" i="35"/>
  <c r="E18" i="35"/>
  <c r="E17" i="35"/>
  <c r="E16" i="35"/>
  <c r="E14" i="35"/>
  <c r="E13" i="35"/>
  <c r="E12" i="35"/>
  <c r="E11" i="35"/>
  <c r="C2" i="35"/>
  <c r="AA33" i="34"/>
  <c r="AA32" i="34"/>
  <c r="AA31" i="34"/>
  <c r="AA30" i="34"/>
  <c r="AA29" i="34"/>
  <c r="AA28" i="34"/>
  <c r="AA27" i="34"/>
  <c r="AA26" i="34"/>
  <c r="Y33" i="34"/>
  <c r="Y32" i="34"/>
  <c r="Y31" i="34"/>
  <c r="Y30" i="34"/>
  <c r="Y29" i="34"/>
  <c r="Y28" i="34"/>
  <c r="Y27" i="34"/>
  <c r="Y26" i="34"/>
  <c r="W33" i="34"/>
  <c r="W32" i="34"/>
  <c r="W31" i="34"/>
  <c r="W30" i="34"/>
  <c r="W29" i="34"/>
  <c r="W28" i="34"/>
  <c r="W27" i="34"/>
  <c r="W26" i="34"/>
  <c r="U33" i="34"/>
  <c r="U32" i="34"/>
  <c r="U31" i="34"/>
  <c r="U30" i="34"/>
  <c r="U29" i="34"/>
  <c r="U28" i="34"/>
  <c r="U27" i="34"/>
  <c r="U26" i="34"/>
  <c r="S33" i="34"/>
  <c r="S32" i="34"/>
  <c r="S31" i="34"/>
  <c r="S30" i="34"/>
  <c r="S29" i="34"/>
  <c r="S28" i="34"/>
  <c r="S27" i="34"/>
  <c r="S26" i="34"/>
  <c r="Q33" i="34"/>
  <c r="Q32" i="34"/>
  <c r="Q31" i="34"/>
  <c r="Q30" i="34"/>
  <c r="Q29" i="34"/>
  <c r="Q28" i="34"/>
  <c r="Q27" i="34"/>
  <c r="Q26" i="34"/>
  <c r="O33" i="34"/>
  <c r="O32" i="34"/>
  <c r="O31" i="34"/>
  <c r="O30" i="34"/>
  <c r="O29" i="34"/>
  <c r="O28" i="34"/>
  <c r="O27" i="34"/>
  <c r="O26" i="34"/>
  <c r="M33" i="34"/>
  <c r="M32" i="34"/>
  <c r="M31" i="34"/>
  <c r="M30" i="34"/>
  <c r="M29" i="34"/>
  <c r="M28" i="34"/>
  <c r="M27" i="34"/>
  <c r="M26" i="34"/>
  <c r="K33" i="34"/>
  <c r="K32" i="34"/>
  <c r="K31" i="34"/>
  <c r="K30" i="34"/>
  <c r="K29" i="34"/>
  <c r="K28" i="34"/>
  <c r="K27" i="34"/>
  <c r="K26" i="34"/>
  <c r="I33" i="34"/>
  <c r="I32" i="34"/>
  <c r="I31" i="34"/>
  <c r="I30" i="34"/>
  <c r="I29" i="34"/>
  <c r="I28" i="34"/>
  <c r="I27" i="34"/>
  <c r="I26" i="34"/>
  <c r="AA22" i="34"/>
  <c r="AA21" i="34"/>
  <c r="AA20" i="34"/>
  <c r="Y22" i="34"/>
  <c r="Y21" i="34"/>
  <c r="Y20" i="34"/>
  <c r="W22" i="34"/>
  <c r="W21" i="34"/>
  <c r="W20" i="34"/>
  <c r="U22" i="34"/>
  <c r="U21" i="34"/>
  <c r="U20" i="34"/>
  <c r="S22" i="34"/>
  <c r="S21" i="34"/>
  <c r="S20" i="34"/>
  <c r="Q22" i="34"/>
  <c r="Q21" i="34"/>
  <c r="Q20" i="34"/>
  <c r="O22" i="34"/>
  <c r="O21" i="34"/>
  <c r="O20" i="34"/>
  <c r="M22" i="34"/>
  <c r="M21" i="34"/>
  <c r="M20" i="34"/>
  <c r="K22" i="34"/>
  <c r="K21" i="34"/>
  <c r="K20" i="34"/>
  <c r="AA18" i="34"/>
  <c r="AA17" i="34"/>
  <c r="AA16" i="34"/>
  <c r="Y18" i="34"/>
  <c r="Y17" i="34"/>
  <c r="Y16" i="34"/>
  <c r="W18" i="34"/>
  <c r="W17" i="34"/>
  <c r="W16" i="34"/>
  <c r="U18" i="34"/>
  <c r="U17" i="34"/>
  <c r="U16" i="34"/>
  <c r="S18" i="34"/>
  <c r="S17" i="34"/>
  <c r="S16" i="34"/>
  <c r="Q18" i="34"/>
  <c r="Q17" i="34"/>
  <c r="Q16" i="34"/>
  <c r="O18" i="34"/>
  <c r="O17" i="34"/>
  <c r="O16" i="34"/>
  <c r="M18" i="34"/>
  <c r="M17" i="34"/>
  <c r="M16" i="34"/>
  <c r="K18" i="34"/>
  <c r="K17" i="34"/>
  <c r="K16" i="34"/>
  <c r="I22" i="34"/>
  <c r="I21" i="34"/>
  <c r="I20" i="34"/>
  <c r="I18" i="34"/>
  <c r="I17" i="34"/>
  <c r="I16" i="34"/>
  <c r="AA14" i="34"/>
  <c r="AA13" i="34"/>
  <c r="AA12" i="34"/>
  <c r="AA11" i="34"/>
  <c r="Y14" i="34"/>
  <c r="Y13" i="34"/>
  <c r="Y12" i="34"/>
  <c r="Y11" i="34"/>
  <c r="W14" i="34"/>
  <c r="W13" i="34"/>
  <c r="W12" i="34"/>
  <c r="W11" i="34"/>
  <c r="U14" i="34"/>
  <c r="U13" i="34"/>
  <c r="U12" i="34"/>
  <c r="U11" i="34"/>
  <c r="S14" i="34"/>
  <c r="S13" i="34"/>
  <c r="S12" i="34"/>
  <c r="S11" i="34"/>
  <c r="Q14" i="34"/>
  <c r="Q13" i="34"/>
  <c r="Q12" i="34"/>
  <c r="Q11" i="34"/>
  <c r="O14" i="34"/>
  <c r="O13" i="34"/>
  <c r="O12" i="34"/>
  <c r="O11" i="34"/>
  <c r="M14" i="34"/>
  <c r="M13" i="34"/>
  <c r="M12" i="34"/>
  <c r="M11" i="34"/>
  <c r="K14" i="34"/>
  <c r="K13" i="34"/>
  <c r="K12" i="34"/>
  <c r="K11" i="34"/>
  <c r="I14" i="34"/>
  <c r="I13" i="34"/>
  <c r="I12" i="34"/>
  <c r="I11" i="34"/>
  <c r="G33" i="34"/>
  <c r="G32" i="34"/>
  <c r="G31" i="34"/>
  <c r="G30" i="34"/>
  <c r="G29" i="34"/>
  <c r="G28" i="34"/>
  <c r="G27" i="34"/>
  <c r="G26" i="34"/>
  <c r="G22" i="34"/>
  <c r="G21" i="34"/>
  <c r="G20" i="34"/>
  <c r="G18" i="34"/>
  <c r="G17" i="34"/>
  <c r="G16" i="34"/>
  <c r="G14" i="34"/>
  <c r="G13" i="34"/>
  <c r="G12" i="34"/>
  <c r="G11" i="34"/>
  <c r="E33" i="34"/>
  <c r="E32" i="34"/>
  <c r="E31" i="34"/>
  <c r="E30" i="34"/>
  <c r="E29" i="34"/>
  <c r="E28" i="34"/>
  <c r="E27" i="34"/>
  <c r="E26" i="34"/>
  <c r="E22" i="34"/>
  <c r="E21" i="34"/>
  <c r="E20" i="34"/>
  <c r="E18" i="34"/>
  <c r="E17" i="34"/>
  <c r="E16" i="34"/>
  <c r="E14" i="34"/>
  <c r="E13" i="34"/>
  <c r="E12" i="34"/>
  <c r="E11" i="34"/>
  <c r="J31" i="31" l="1"/>
  <c r="H31" i="31"/>
  <c r="F31" i="31"/>
  <c r="J33" i="30"/>
  <c r="H33" i="30"/>
  <c r="F33" i="30"/>
  <c r="J31" i="30"/>
  <c r="H31" i="30"/>
  <c r="F31" i="30"/>
  <c r="E32" i="30"/>
  <c r="E33" i="30"/>
  <c r="E29" i="30"/>
  <c r="F94" i="31" l="1"/>
  <c r="A4" i="47" l="1"/>
  <c r="E35" i="51"/>
  <c r="D35" i="51"/>
  <c r="C35" i="51"/>
  <c r="E34" i="51"/>
  <c r="D34" i="51"/>
  <c r="C34" i="51"/>
  <c r="E34" i="49"/>
  <c r="D34" i="49"/>
  <c r="C34" i="49"/>
  <c r="E34" i="50"/>
  <c r="D34" i="50"/>
  <c r="C34" i="50"/>
  <c r="E27" i="51"/>
  <c r="D27" i="51"/>
  <c r="C27" i="51"/>
  <c r="E23" i="51"/>
  <c r="D23" i="51"/>
  <c r="C23" i="51"/>
  <c r="E35" i="49"/>
  <c r="D35" i="49"/>
  <c r="C35" i="49"/>
  <c r="E35" i="50"/>
  <c r="D35" i="50"/>
  <c r="C35" i="50"/>
  <c r="E27" i="50"/>
  <c r="D27" i="50"/>
  <c r="C27" i="50"/>
  <c r="E23" i="50"/>
  <c r="D23" i="50"/>
  <c r="C23" i="50"/>
  <c r="AC56" i="46"/>
  <c r="AA56" i="46"/>
  <c r="Y56" i="46"/>
  <c r="W56" i="46"/>
  <c r="U56" i="46"/>
  <c r="S56" i="46"/>
  <c r="Q56" i="46"/>
  <c r="O56" i="46"/>
  <c r="M56" i="46"/>
  <c r="K56" i="46"/>
  <c r="I56" i="46"/>
  <c r="G56" i="46"/>
  <c r="E56" i="46"/>
  <c r="D56" i="46"/>
  <c r="AD55" i="46"/>
  <c r="AB55" i="46"/>
  <c r="Z55" i="46"/>
  <c r="X55" i="46"/>
  <c r="V55" i="46"/>
  <c r="T55" i="46"/>
  <c r="R55" i="46"/>
  <c r="P55" i="46"/>
  <c r="N55" i="46"/>
  <c r="L55" i="46"/>
  <c r="J55" i="46"/>
  <c r="H55" i="46"/>
  <c r="F55" i="46"/>
  <c r="AD54" i="46"/>
  <c r="AB54" i="46"/>
  <c r="Z54" i="46"/>
  <c r="X54" i="46"/>
  <c r="V54" i="46"/>
  <c r="T54" i="46"/>
  <c r="R54" i="46"/>
  <c r="P54" i="46"/>
  <c r="N54" i="46"/>
  <c r="L54" i="46"/>
  <c r="J54" i="46"/>
  <c r="H54" i="46"/>
  <c r="F54" i="46"/>
  <c r="AD53" i="46"/>
  <c r="AB53" i="46"/>
  <c r="Z53" i="46"/>
  <c r="X53" i="46"/>
  <c r="V53" i="46"/>
  <c r="T53" i="46"/>
  <c r="R53" i="46"/>
  <c r="P53" i="46"/>
  <c r="N53" i="46"/>
  <c r="L53" i="46"/>
  <c r="J53" i="46"/>
  <c r="H53" i="46"/>
  <c r="F53" i="46"/>
  <c r="AD52" i="46"/>
  <c r="AB52" i="46"/>
  <c r="Z52" i="46"/>
  <c r="X52" i="46"/>
  <c r="V52" i="46"/>
  <c r="T52" i="46"/>
  <c r="R52" i="46"/>
  <c r="P52" i="46"/>
  <c r="N52" i="46"/>
  <c r="L52" i="46"/>
  <c r="J52" i="46"/>
  <c r="H52" i="46"/>
  <c r="F52" i="46"/>
  <c r="AD51" i="46"/>
  <c r="AB51" i="46"/>
  <c r="Z51" i="46"/>
  <c r="X51" i="46"/>
  <c r="V51" i="46"/>
  <c r="T51" i="46"/>
  <c r="R51" i="46"/>
  <c r="P51" i="46"/>
  <c r="N51" i="46"/>
  <c r="L51" i="46"/>
  <c r="J51" i="46"/>
  <c r="H51" i="46"/>
  <c r="F51" i="46"/>
  <c r="AC56" i="45"/>
  <c r="AA56" i="45"/>
  <c r="Y56" i="45"/>
  <c r="W56" i="45"/>
  <c r="U56" i="45"/>
  <c r="S56" i="45"/>
  <c r="Q56" i="45"/>
  <c r="O56" i="45"/>
  <c r="M56" i="45"/>
  <c r="K56" i="45"/>
  <c r="I56" i="45"/>
  <c r="G56" i="45"/>
  <c r="E56" i="45"/>
  <c r="D56" i="45"/>
  <c r="AD55" i="45"/>
  <c r="AB55" i="45"/>
  <c r="Z55" i="45"/>
  <c r="X55" i="45"/>
  <c r="V55" i="45"/>
  <c r="T55" i="45"/>
  <c r="R55" i="45"/>
  <c r="P55" i="45"/>
  <c r="N55" i="45"/>
  <c r="L55" i="45"/>
  <c r="J55" i="45"/>
  <c r="H55" i="45"/>
  <c r="F55" i="45"/>
  <c r="AD54" i="45"/>
  <c r="AB54" i="45"/>
  <c r="Z54" i="45"/>
  <c r="X54" i="45"/>
  <c r="V54" i="45"/>
  <c r="T54" i="45"/>
  <c r="R54" i="45"/>
  <c r="P54" i="45"/>
  <c r="N54" i="45"/>
  <c r="L54" i="45"/>
  <c r="J54" i="45"/>
  <c r="H54" i="45"/>
  <c r="F54" i="45"/>
  <c r="AD53" i="45"/>
  <c r="AB53" i="45"/>
  <c r="Z53" i="45"/>
  <c r="X53" i="45"/>
  <c r="V53" i="45"/>
  <c r="T53" i="45"/>
  <c r="R53" i="45"/>
  <c r="P53" i="45"/>
  <c r="N53" i="45"/>
  <c r="L53" i="45"/>
  <c r="J53" i="45"/>
  <c r="H53" i="45"/>
  <c r="F53" i="45"/>
  <c r="AD52" i="45"/>
  <c r="AB52" i="45"/>
  <c r="Z52" i="45"/>
  <c r="X52" i="45"/>
  <c r="V52" i="45"/>
  <c r="T52" i="45"/>
  <c r="R52" i="45"/>
  <c r="P52" i="45"/>
  <c r="N52" i="45"/>
  <c r="L52" i="45"/>
  <c r="J52" i="45"/>
  <c r="H52" i="45"/>
  <c r="F52" i="45"/>
  <c r="AD51" i="45"/>
  <c r="AB51" i="45"/>
  <c r="Z51" i="45"/>
  <c r="X51" i="45"/>
  <c r="V51" i="45"/>
  <c r="T51" i="45"/>
  <c r="R51" i="45"/>
  <c r="P51" i="45"/>
  <c r="N51" i="45"/>
  <c r="L51" i="45"/>
  <c r="J51" i="45"/>
  <c r="H51" i="45"/>
  <c r="F51" i="45"/>
  <c r="AC56" i="38"/>
  <c r="AA56" i="38"/>
  <c r="Y56" i="38"/>
  <c r="W56" i="38"/>
  <c r="U56" i="38"/>
  <c r="S56" i="38"/>
  <c r="Q56" i="38"/>
  <c r="O56" i="38"/>
  <c r="M56" i="38"/>
  <c r="K56" i="38"/>
  <c r="I56" i="38"/>
  <c r="G56" i="38"/>
  <c r="E56" i="38"/>
  <c r="D56" i="38"/>
  <c r="AD55" i="38"/>
  <c r="AB55" i="38"/>
  <c r="Z55" i="38"/>
  <c r="X55" i="38"/>
  <c r="V55" i="38"/>
  <c r="T55" i="38"/>
  <c r="R55" i="38"/>
  <c r="P55" i="38"/>
  <c r="N55" i="38"/>
  <c r="L55" i="38"/>
  <c r="J55" i="38"/>
  <c r="H55" i="38"/>
  <c r="F55" i="38"/>
  <c r="AD54" i="38"/>
  <c r="AB54" i="38"/>
  <c r="Z54" i="38"/>
  <c r="X54" i="38"/>
  <c r="V54" i="38"/>
  <c r="T54" i="38"/>
  <c r="R54" i="38"/>
  <c r="P54" i="38"/>
  <c r="N54" i="38"/>
  <c r="L54" i="38"/>
  <c r="J54" i="38"/>
  <c r="H54" i="38"/>
  <c r="F54" i="38"/>
  <c r="AD53" i="38"/>
  <c r="AB53" i="38"/>
  <c r="Z53" i="38"/>
  <c r="X53" i="38"/>
  <c r="V53" i="38"/>
  <c r="T53" i="38"/>
  <c r="R53" i="38"/>
  <c r="P53" i="38"/>
  <c r="N53" i="38"/>
  <c r="L53" i="38"/>
  <c r="J53" i="38"/>
  <c r="H53" i="38"/>
  <c r="F53" i="38"/>
  <c r="AD52" i="38"/>
  <c r="AB52" i="38"/>
  <c r="Z52" i="38"/>
  <c r="X52" i="38"/>
  <c r="V52" i="38"/>
  <c r="T52" i="38"/>
  <c r="R52" i="38"/>
  <c r="P52" i="38"/>
  <c r="N52" i="38"/>
  <c r="L52" i="38"/>
  <c r="J52" i="38"/>
  <c r="H52" i="38"/>
  <c r="F52" i="38"/>
  <c r="AD51" i="38"/>
  <c r="AB51" i="38"/>
  <c r="Z51" i="38"/>
  <c r="X51" i="38"/>
  <c r="V51" i="38"/>
  <c r="T51" i="38"/>
  <c r="R51" i="38"/>
  <c r="P51" i="38"/>
  <c r="N51" i="38"/>
  <c r="L51" i="38"/>
  <c r="J51" i="38"/>
  <c r="H51" i="38"/>
  <c r="F51" i="38"/>
  <c r="AC56" i="37"/>
  <c r="AA56" i="37"/>
  <c r="Y56" i="37"/>
  <c r="W56" i="37"/>
  <c r="U56" i="37"/>
  <c r="S56" i="37"/>
  <c r="Q56" i="37"/>
  <c r="O56" i="37"/>
  <c r="M56" i="37"/>
  <c r="K56" i="37"/>
  <c r="I56" i="37"/>
  <c r="G56" i="37"/>
  <c r="E56" i="37"/>
  <c r="D56" i="37"/>
  <c r="AD55" i="37"/>
  <c r="AB55" i="37"/>
  <c r="Z55" i="37"/>
  <c r="X55" i="37"/>
  <c r="V55" i="37"/>
  <c r="T55" i="37"/>
  <c r="R55" i="37"/>
  <c r="P55" i="37"/>
  <c r="N55" i="37"/>
  <c r="L55" i="37"/>
  <c r="J55" i="37"/>
  <c r="H55" i="37"/>
  <c r="F55" i="37"/>
  <c r="AD54" i="37"/>
  <c r="AB54" i="37"/>
  <c r="Z54" i="37"/>
  <c r="X54" i="37"/>
  <c r="V54" i="37"/>
  <c r="T54" i="37"/>
  <c r="R54" i="37"/>
  <c r="P54" i="37"/>
  <c r="N54" i="37"/>
  <c r="L54" i="37"/>
  <c r="J54" i="37"/>
  <c r="H54" i="37"/>
  <c r="F54" i="37"/>
  <c r="AD53" i="37"/>
  <c r="AB53" i="37"/>
  <c r="Z53" i="37"/>
  <c r="X53" i="37"/>
  <c r="V53" i="37"/>
  <c r="T53" i="37"/>
  <c r="R53" i="37"/>
  <c r="P53" i="37"/>
  <c r="N53" i="37"/>
  <c r="L53" i="37"/>
  <c r="J53" i="37"/>
  <c r="H53" i="37"/>
  <c r="F53" i="37"/>
  <c r="AD52" i="37"/>
  <c r="AB52" i="37"/>
  <c r="Z52" i="37"/>
  <c r="X52" i="37"/>
  <c r="V52" i="37"/>
  <c r="T52" i="37"/>
  <c r="R52" i="37"/>
  <c r="P52" i="37"/>
  <c r="N52" i="37"/>
  <c r="L52" i="37"/>
  <c r="J52" i="37"/>
  <c r="H52" i="37"/>
  <c r="F52" i="37"/>
  <c r="AD51" i="37"/>
  <c r="AB51" i="37"/>
  <c r="Z51" i="37"/>
  <c r="X51" i="37"/>
  <c r="V51" i="37"/>
  <c r="T51" i="37"/>
  <c r="R51" i="37"/>
  <c r="P51" i="37"/>
  <c r="N51" i="37"/>
  <c r="L51" i="37"/>
  <c r="J51" i="37"/>
  <c r="H51" i="37"/>
  <c r="F51" i="37"/>
  <c r="AC56" i="35"/>
  <c r="AA56" i="35"/>
  <c r="Y56" i="35"/>
  <c r="W56" i="35"/>
  <c r="U56" i="35"/>
  <c r="S56" i="35"/>
  <c r="Q56" i="35"/>
  <c r="O56" i="35"/>
  <c r="M56" i="35"/>
  <c r="K56" i="35"/>
  <c r="I56" i="35"/>
  <c r="G56" i="35"/>
  <c r="E56" i="35"/>
  <c r="D56" i="35"/>
  <c r="AD55" i="35"/>
  <c r="AB55" i="35"/>
  <c r="Z55" i="35"/>
  <c r="X55" i="35"/>
  <c r="V55" i="35"/>
  <c r="T55" i="35"/>
  <c r="R55" i="35"/>
  <c r="P55" i="35"/>
  <c r="N55" i="35"/>
  <c r="L55" i="35"/>
  <c r="J55" i="35"/>
  <c r="H55" i="35"/>
  <c r="F55" i="35"/>
  <c r="AD54" i="35"/>
  <c r="AB54" i="35"/>
  <c r="Z54" i="35"/>
  <c r="X54" i="35"/>
  <c r="V54" i="35"/>
  <c r="T54" i="35"/>
  <c r="R54" i="35"/>
  <c r="P54" i="35"/>
  <c r="N54" i="35"/>
  <c r="L54" i="35"/>
  <c r="J54" i="35"/>
  <c r="H54" i="35"/>
  <c r="F54" i="35"/>
  <c r="AD53" i="35"/>
  <c r="AB53" i="35"/>
  <c r="Z53" i="35"/>
  <c r="X53" i="35"/>
  <c r="V53" i="35"/>
  <c r="T53" i="35"/>
  <c r="R53" i="35"/>
  <c r="P53" i="35"/>
  <c r="N53" i="35"/>
  <c r="L53" i="35"/>
  <c r="J53" i="35"/>
  <c r="H53" i="35"/>
  <c r="F53" i="35"/>
  <c r="AD52" i="35"/>
  <c r="AD56" i="35" s="1"/>
  <c r="AB52" i="35"/>
  <c r="Z52" i="35"/>
  <c r="X52" i="35"/>
  <c r="V52" i="35"/>
  <c r="T52" i="35"/>
  <c r="R52" i="35"/>
  <c r="P52" i="35"/>
  <c r="N52" i="35"/>
  <c r="L52" i="35"/>
  <c r="J52" i="35"/>
  <c r="H52" i="35"/>
  <c r="F52" i="35"/>
  <c r="AD51" i="35"/>
  <c r="AB51" i="35"/>
  <c r="Z51" i="35"/>
  <c r="X51" i="35"/>
  <c r="V51" i="35"/>
  <c r="T51" i="35"/>
  <c r="R51" i="35"/>
  <c r="P51" i="35"/>
  <c r="N51" i="35"/>
  <c r="L51" i="35"/>
  <c r="J51" i="35"/>
  <c r="H51" i="35"/>
  <c r="F51" i="35"/>
  <c r="AC56" i="34"/>
  <c r="AD51" i="34"/>
  <c r="D56" i="34"/>
  <c r="C88" i="51"/>
  <c r="C88" i="49"/>
  <c r="C88" i="50"/>
  <c r="E27" i="49"/>
  <c r="D27" i="49"/>
  <c r="C27" i="49"/>
  <c r="E23" i="49"/>
  <c r="D23" i="49"/>
  <c r="C23" i="49"/>
  <c r="K56" i="40"/>
  <c r="I56" i="40"/>
  <c r="K40" i="40"/>
  <c r="I40" i="40"/>
  <c r="K56" i="21"/>
  <c r="I56" i="21"/>
  <c r="K40" i="21"/>
  <c r="I40" i="21"/>
  <c r="K56" i="29"/>
  <c r="I56" i="29"/>
  <c r="K40" i="29"/>
  <c r="I40" i="29"/>
  <c r="B26" i="48"/>
  <c r="E11" i="51"/>
  <c r="D11" i="51"/>
  <c r="C11" i="51"/>
  <c r="E75" i="16"/>
  <c r="E76" i="16"/>
  <c r="E77" i="16"/>
  <c r="E83" i="16"/>
  <c r="E84" i="16"/>
  <c r="E85" i="16"/>
  <c r="E86" i="16"/>
  <c r="E87" i="16"/>
  <c r="E88" i="16"/>
  <c r="E74" i="16"/>
  <c r="E75" i="42"/>
  <c r="F75" i="42"/>
  <c r="E76" i="42"/>
  <c r="F76" i="42"/>
  <c r="E82" i="42"/>
  <c r="F82" i="42"/>
  <c r="E83" i="42"/>
  <c r="F83" i="42"/>
  <c r="E84" i="42"/>
  <c r="F84" i="42"/>
  <c r="E85" i="42"/>
  <c r="F85" i="42"/>
  <c r="E86" i="42"/>
  <c r="F86" i="42"/>
  <c r="E87" i="42"/>
  <c r="F87" i="42"/>
  <c r="E88" i="42"/>
  <c r="F88" i="42"/>
  <c r="F74" i="42"/>
  <c r="E74" i="42"/>
  <c r="F94" i="42"/>
  <c r="F95" i="42"/>
  <c r="F96" i="42"/>
  <c r="F97" i="42"/>
  <c r="F98" i="42"/>
  <c r="F99" i="42"/>
  <c r="F100" i="42"/>
  <c r="F101" i="42"/>
  <c r="F102" i="42"/>
  <c r="F103" i="42"/>
  <c r="F104" i="42"/>
  <c r="F105" i="42"/>
  <c r="F106" i="42"/>
  <c r="F107" i="42"/>
  <c r="F108" i="42"/>
  <c r="F109" i="42"/>
  <c r="F110" i="42"/>
  <c r="F111" i="42"/>
  <c r="F112" i="42"/>
  <c r="E94" i="42"/>
  <c r="E95" i="42"/>
  <c r="E96" i="42"/>
  <c r="E97" i="42"/>
  <c r="E98" i="42"/>
  <c r="E99" i="42"/>
  <c r="E100" i="42"/>
  <c r="E101" i="42"/>
  <c r="E102" i="42"/>
  <c r="E103" i="42"/>
  <c r="E104" i="42"/>
  <c r="E105" i="42"/>
  <c r="E106" i="42"/>
  <c r="E107" i="42"/>
  <c r="E108" i="42"/>
  <c r="E109" i="42"/>
  <c r="E110" i="42"/>
  <c r="E111" i="42"/>
  <c r="E112" i="42"/>
  <c r="E94" i="16"/>
  <c r="E95" i="16"/>
  <c r="E96" i="16"/>
  <c r="E97" i="16"/>
  <c r="E98" i="16"/>
  <c r="E99" i="16"/>
  <c r="E100" i="16"/>
  <c r="E101" i="16"/>
  <c r="E102" i="16"/>
  <c r="E103" i="16"/>
  <c r="E104" i="16"/>
  <c r="E105" i="16"/>
  <c r="E106" i="16"/>
  <c r="E107" i="16"/>
  <c r="H107" i="16" s="1"/>
  <c r="E108" i="16"/>
  <c r="E109" i="16"/>
  <c r="E110" i="16"/>
  <c r="E111" i="16"/>
  <c r="E112" i="16"/>
  <c r="L113" i="42"/>
  <c r="J113" i="42"/>
  <c r="H113" i="42"/>
  <c r="G113" i="42"/>
  <c r="G17" i="42" s="1"/>
  <c r="M112" i="42"/>
  <c r="K112" i="42"/>
  <c r="M111" i="42"/>
  <c r="K111" i="42"/>
  <c r="M110" i="42"/>
  <c r="K110" i="42"/>
  <c r="M109" i="42"/>
  <c r="K109" i="42"/>
  <c r="M108" i="42"/>
  <c r="K108" i="42"/>
  <c r="M107" i="42"/>
  <c r="K107" i="42"/>
  <c r="M106" i="42"/>
  <c r="K106" i="42"/>
  <c r="M105" i="42"/>
  <c r="K105" i="42"/>
  <c r="M104" i="42"/>
  <c r="K104" i="42"/>
  <c r="M103" i="42"/>
  <c r="K103" i="42"/>
  <c r="M102" i="42"/>
  <c r="K102" i="42"/>
  <c r="AG46" i="46"/>
  <c r="AG44" i="46"/>
  <c r="AD47" i="46"/>
  <c r="AG47" i="46" s="1"/>
  <c r="AD46" i="46"/>
  <c r="AD45" i="46"/>
  <c r="AG45" i="46" s="1"/>
  <c r="AD44" i="46"/>
  <c r="AD43" i="46"/>
  <c r="AG47" i="45"/>
  <c r="AG46" i="45"/>
  <c r="AD47" i="45"/>
  <c r="AD46" i="45"/>
  <c r="AD45" i="45"/>
  <c r="AG45" i="45" s="1"/>
  <c r="AD44" i="45"/>
  <c r="AD43" i="45"/>
  <c r="AG43" i="45" s="1"/>
  <c r="AG44" i="38"/>
  <c r="AD47" i="38"/>
  <c r="AG47" i="38" s="1"/>
  <c r="AD46" i="38"/>
  <c r="AG46" i="38" s="1"/>
  <c r="AD45" i="38"/>
  <c r="AG45" i="38" s="1"/>
  <c r="AD44" i="38"/>
  <c r="AD43" i="38"/>
  <c r="AG43" i="38" s="1"/>
  <c r="AG47" i="37"/>
  <c r="AD47" i="37"/>
  <c r="AE47" i="37"/>
  <c r="AD46" i="37"/>
  <c r="AD45" i="37"/>
  <c r="AE45" i="37" s="1"/>
  <c r="AE48" i="37" s="1"/>
  <c r="AD44" i="37"/>
  <c r="AE44" i="37" s="1"/>
  <c r="AD43" i="37"/>
  <c r="AG43" i="37" s="1"/>
  <c r="AE43" i="37"/>
  <c r="AD43" i="34"/>
  <c r="AD44" i="34"/>
  <c r="AG44" i="34" s="1"/>
  <c r="AD45" i="34"/>
  <c r="AE45" i="34" s="1"/>
  <c r="AD46" i="34"/>
  <c r="AE46" i="34" s="1"/>
  <c r="AD47" i="34"/>
  <c r="AE47" i="34"/>
  <c r="AG47" i="34"/>
  <c r="AD52" i="34"/>
  <c r="AD53" i="34"/>
  <c r="AD54" i="34"/>
  <c r="AD55" i="34"/>
  <c r="AD47" i="35"/>
  <c r="AG47" i="35" s="1"/>
  <c r="AD46" i="35"/>
  <c r="AG46" i="35" s="1"/>
  <c r="AD45" i="35"/>
  <c r="AG45" i="35" s="1"/>
  <c r="AD44" i="35"/>
  <c r="AD43" i="35"/>
  <c r="A7" i="39"/>
  <c r="A7" i="14"/>
  <c r="F153" i="42"/>
  <c r="F152" i="42"/>
  <c r="F149" i="42"/>
  <c r="E155" i="42"/>
  <c r="I155" i="42" s="1"/>
  <c r="E153" i="42"/>
  <c r="I153" i="42" s="1"/>
  <c r="E152" i="42"/>
  <c r="I152" i="42" s="1"/>
  <c r="E149" i="42"/>
  <c r="I149" i="42" s="1"/>
  <c r="G151" i="42"/>
  <c r="G154" i="42"/>
  <c r="M155" i="42"/>
  <c r="M153" i="42"/>
  <c r="M152" i="42"/>
  <c r="M149" i="42"/>
  <c r="K155" i="42"/>
  <c r="K153" i="42"/>
  <c r="K152" i="42"/>
  <c r="K149" i="42"/>
  <c r="L151" i="42"/>
  <c r="L154" i="42" s="1"/>
  <c r="E92" i="51" s="1"/>
  <c r="E155" i="16"/>
  <c r="H155" i="16" s="1"/>
  <c r="E153" i="16"/>
  <c r="H153" i="16" s="1"/>
  <c r="E152" i="16"/>
  <c r="H152" i="16" s="1"/>
  <c r="E149" i="16"/>
  <c r="H149" i="16" s="1"/>
  <c r="L155" i="16"/>
  <c r="L153" i="16"/>
  <c r="L152" i="16"/>
  <c r="J153" i="16"/>
  <c r="J152" i="16"/>
  <c r="L149" i="16"/>
  <c r="J149" i="16"/>
  <c r="K151" i="16"/>
  <c r="E89" i="50" s="1"/>
  <c r="K154" i="16"/>
  <c r="E92" i="50" s="1"/>
  <c r="I151" i="16"/>
  <c r="L151" i="16" s="1"/>
  <c r="J26" i="44"/>
  <c r="I26" i="44"/>
  <c r="H26" i="44"/>
  <c r="G26" i="44"/>
  <c r="F26" i="44"/>
  <c r="E26" i="44"/>
  <c r="D26" i="44"/>
  <c r="J26" i="15"/>
  <c r="I26" i="15"/>
  <c r="H26" i="15"/>
  <c r="G26" i="15"/>
  <c r="F26" i="15"/>
  <c r="E26" i="15"/>
  <c r="D26" i="15"/>
  <c r="M74" i="42"/>
  <c r="C117" i="51"/>
  <c r="D117" i="51"/>
  <c r="E117" i="51"/>
  <c r="C118" i="51"/>
  <c r="C119" i="51"/>
  <c r="C120" i="51"/>
  <c r="D118" i="51"/>
  <c r="D119" i="51"/>
  <c r="D120" i="51"/>
  <c r="E118" i="51"/>
  <c r="E119" i="51"/>
  <c r="E120" i="51"/>
  <c r="E108" i="51"/>
  <c r="E109" i="51"/>
  <c r="E110" i="51"/>
  <c r="E111" i="51"/>
  <c r="E112" i="51"/>
  <c r="E113" i="51"/>
  <c r="E114" i="51"/>
  <c r="D108" i="51"/>
  <c r="D109" i="51"/>
  <c r="D110" i="51"/>
  <c r="D111" i="51"/>
  <c r="D112" i="51"/>
  <c r="D113" i="51"/>
  <c r="D114" i="51"/>
  <c r="C108" i="51"/>
  <c r="C109" i="51"/>
  <c r="C110" i="51"/>
  <c r="C111" i="51"/>
  <c r="C112" i="51"/>
  <c r="C113" i="51"/>
  <c r="C114" i="51"/>
  <c r="E107" i="51"/>
  <c r="D107" i="51"/>
  <c r="C107" i="51"/>
  <c r="E97" i="51"/>
  <c r="E98" i="51"/>
  <c r="E99" i="51"/>
  <c r="E100" i="51"/>
  <c r="E101" i="51"/>
  <c r="E102" i="51"/>
  <c r="E103" i="51"/>
  <c r="D97" i="51"/>
  <c r="D98" i="51"/>
  <c r="D99" i="51"/>
  <c r="D100" i="51"/>
  <c r="D101" i="51"/>
  <c r="D102" i="51"/>
  <c r="D103" i="51"/>
  <c r="C97" i="51"/>
  <c r="C98" i="51"/>
  <c r="C99" i="51"/>
  <c r="C100" i="51"/>
  <c r="C101" i="51"/>
  <c r="C102" i="51"/>
  <c r="C103" i="51"/>
  <c r="E96" i="51"/>
  <c r="D96" i="51"/>
  <c r="C96" i="51"/>
  <c r="E93" i="51"/>
  <c r="E91" i="51"/>
  <c r="E90" i="51"/>
  <c r="E87" i="51"/>
  <c r="D93" i="51"/>
  <c r="D91" i="51"/>
  <c r="D90" i="51"/>
  <c r="D87" i="51"/>
  <c r="C93" i="51"/>
  <c r="C91" i="51"/>
  <c r="C90" i="51"/>
  <c r="C87" i="51"/>
  <c r="E76" i="51"/>
  <c r="D76" i="51"/>
  <c r="C76" i="51"/>
  <c r="E73" i="51"/>
  <c r="E72" i="51"/>
  <c r="E71" i="51"/>
  <c r="D73" i="51"/>
  <c r="D72" i="51"/>
  <c r="D71" i="51"/>
  <c r="C73" i="51"/>
  <c r="C72" i="51"/>
  <c r="C71" i="51"/>
  <c r="E66" i="51"/>
  <c r="E65" i="51"/>
  <c r="E63" i="51"/>
  <c r="E62" i="51"/>
  <c r="D66" i="51"/>
  <c r="D65" i="51"/>
  <c r="D63" i="51"/>
  <c r="D62" i="51"/>
  <c r="C66" i="51"/>
  <c r="C65" i="51"/>
  <c r="E58" i="51"/>
  <c r="E57" i="51"/>
  <c r="E56" i="51"/>
  <c r="E55" i="51"/>
  <c r="E54" i="51"/>
  <c r="E53" i="51"/>
  <c r="E52" i="51"/>
  <c r="E51" i="51"/>
  <c r="D58" i="51"/>
  <c r="D57" i="51"/>
  <c r="D56" i="51"/>
  <c r="D55" i="51"/>
  <c r="D54" i="51"/>
  <c r="D53" i="51"/>
  <c r="D52" i="51"/>
  <c r="D51" i="51"/>
  <c r="C58" i="51"/>
  <c r="C57" i="51"/>
  <c r="C56" i="51"/>
  <c r="C55" i="51"/>
  <c r="C54" i="51"/>
  <c r="C53" i="51"/>
  <c r="C52" i="51"/>
  <c r="C51" i="51"/>
  <c r="E44" i="51"/>
  <c r="E45" i="51"/>
  <c r="E46" i="51"/>
  <c r="E47" i="51"/>
  <c r="E43" i="51"/>
  <c r="D47" i="51"/>
  <c r="D46" i="51"/>
  <c r="D45" i="51"/>
  <c r="D44" i="51"/>
  <c r="D43" i="51"/>
  <c r="C140" i="51"/>
  <c r="A138" i="51"/>
  <c r="E137" i="51"/>
  <c r="D137" i="51"/>
  <c r="C137" i="51"/>
  <c r="A137" i="51"/>
  <c r="E136" i="51"/>
  <c r="D136" i="51"/>
  <c r="C136" i="51"/>
  <c r="A136" i="51"/>
  <c r="E135" i="51"/>
  <c r="D135" i="51"/>
  <c r="C135" i="51"/>
  <c r="A135" i="51"/>
  <c r="E134" i="51"/>
  <c r="D134" i="51"/>
  <c r="C134" i="51"/>
  <c r="A134" i="51"/>
  <c r="E133" i="51"/>
  <c r="D133" i="51"/>
  <c r="C133" i="51"/>
  <c r="A133" i="51"/>
  <c r="E132" i="51"/>
  <c r="D132" i="51"/>
  <c r="C132" i="51"/>
  <c r="A132" i="51"/>
  <c r="E131" i="51"/>
  <c r="D131" i="51"/>
  <c r="C131" i="51"/>
  <c r="A131" i="51"/>
  <c r="E130" i="51"/>
  <c r="D130" i="51"/>
  <c r="C130" i="51"/>
  <c r="A130" i="51"/>
  <c r="E129" i="51"/>
  <c r="D129" i="51"/>
  <c r="C129" i="51"/>
  <c r="A129" i="51"/>
  <c r="E128" i="51"/>
  <c r="D128" i="51"/>
  <c r="C128" i="51"/>
  <c r="A128" i="51"/>
  <c r="E127" i="51"/>
  <c r="D127" i="51"/>
  <c r="C127" i="51"/>
  <c r="A127" i="51"/>
  <c r="E124" i="51"/>
  <c r="D124" i="51"/>
  <c r="C124" i="51"/>
  <c r="E123" i="51"/>
  <c r="D123" i="51"/>
  <c r="C123" i="51"/>
  <c r="B67" i="51"/>
  <c r="B66" i="51"/>
  <c r="B65" i="51"/>
  <c r="B63" i="51"/>
  <c r="B48" i="51"/>
  <c r="B47" i="51"/>
  <c r="B46" i="51"/>
  <c r="B45" i="51"/>
  <c r="B44" i="51"/>
  <c r="E40" i="51"/>
  <c r="D40" i="51"/>
  <c r="C40" i="51"/>
  <c r="E39" i="51"/>
  <c r="D39" i="51"/>
  <c r="C39" i="51"/>
  <c r="E38" i="51"/>
  <c r="D38" i="51"/>
  <c r="C38" i="51"/>
  <c r="E37" i="51"/>
  <c r="D37" i="51"/>
  <c r="C37" i="51"/>
  <c r="E33" i="51"/>
  <c r="D33" i="51"/>
  <c r="C33" i="51"/>
  <c r="E32" i="51"/>
  <c r="D32" i="51"/>
  <c r="C32" i="51"/>
  <c r="E30" i="51"/>
  <c r="D30" i="51"/>
  <c r="C30" i="51"/>
  <c r="E29" i="51"/>
  <c r="D29" i="51"/>
  <c r="C29" i="51"/>
  <c r="E26" i="51"/>
  <c r="D26" i="51"/>
  <c r="C26" i="51"/>
  <c r="E25" i="51"/>
  <c r="D25" i="51"/>
  <c r="C25" i="51"/>
  <c r="E22" i="51"/>
  <c r="D22" i="51"/>
  <c r="C22" i="51"/>
  <c r="E21" i="51"/>
  <c r="D21" i="51"/>
  <c r="C21" i="51"/>
  <c r="E20" i="51"/>
  <c r="D20" i="51"/>
  <c r="C20" i="51"/>
  <c r="E18" i="51"/>
  <c r="D18" i="51"/>
  <c r="C18" i="51"/>
  <c r="E17" i="51"/>
  <c r="D17" i="51"/>
  <c r="C17" i="51"/>
  <c r="E15" i="51"/>
  <c r="D15" i="51"/>
  <c r="C15" i="51"/>
  <c r="E14" i="51"/>
  <c r="D14" i="51"/>
  <c r="C14" i="51"/>
  <c r="E13" i="51"/>
  <c r="D13" i="51"/>
  <c r="C13" i="51"/>
  <c r="E9" i="51"/>
  <c r="D9" i="51"/>
  <c r="C9" i="51"/>
  <c r="B9" i="51"/>
  <c r="E8" i="51"/>
  <c r="D8" i="51"/>
  <c r="C8" i="51"/>
  <c r="B8" i="51"/>
  <c r="E7" i="51"/>
  <c r="D7" i="51"/>
  <c r="C7" i="51"/>
  <c r="B7" i="51"/>
  <c r="A4" i="51"/>
  <c r="A3" i="51"/>
  <c r="A1" i="51"/>
  <c r="A5" i="47"/>
  <c r="K149" i="31"/>
  <c r="I149" i="31"/>
  <c r="G149" i="31"/>
  <c r="E65" i="50"/>
  <c r="D65" i="50"/>
  <c r="B65" i="50"/>
  <c r="C46" i="50"/>
  <c r="C65" i="50"/>
  <c r="D114" i="50"/>
  <c r="D113" i="50"/>
  <c r="D112" i="50"/>
  <c r="D111" i="50"/>
  <c r="D110" i="50"/>
  <c r="D109" i="50"/>
  <c r="D108" i="50"/>
  <c r="D107" i="50"/>
  <c r="C114" i="50"/>
  <c r="C113" i="50"/>
  <c r="C112" i="50"/>
  <c r="C111" i="50"/>
  <c r="C110" i="50"/>
  <c r="C109" i="50"/>
  <c r="C108" i="50"/>
  <c r="C107" i="50"/>
  <c r="C103" i="50"/>
  <c r="C102" i="50"/>
  <c r="D103" i="50"/>
  <c r="D102" i="50"/>
  <c r="E93" i="50"/>
  <c r="E91" i="50"/>
  <c r="E90" i="50"/>
  <c r="D93" i="50"/>
  <c r="D91" i="50"/>
  <c r="D90" i="50"/>
  <c r="C90" i="50"/>
  <c r="C91" i="50"/>
  <c r="E87" i="50"/>
  <c r="D87" i="50"/>
  <c r="C87" i="50"/>
  <c r="J151" i="42"/>
  <c r="H151" i="42"/>
  <c r="F151" i="16"/>
  <c r="A138" i="50"/>
  <c r="A137" i="50"/>
  <c r="A136" i="50"/>
  <c r="A135" i="50"/>
  <c r="A134" i="50"/>
  <c r="A133" i="50"/>
  <c r="A132" i="50"/>
  <c r="A131" i="50"/>
  <c r="A130" i="50"/>
  <c r="A129" i="50"/>
  <c r="A128" i="50"/>
  <c r="A127" i="50"/>
  <c r="C140" i="50"/>
  <c r="E137" i="50"/>
  <c r="D137" i="50"/>
  <c r="C137" i="50"/>
  <c r="E136" i="50"/>
  <c r="D136" i="50"/>
  <c r="C136" i="50"/>
  <c r="E135" i="50"/>
  <c r="D135" i="50"/>
  <c r="C135" i="50"/>
  <c r="E134" i="50"/>
  <c r="D134" i="50"/>
  <c r="C134" i="50"/>
  <c r="E133" i="50"/>
  <c r="D133" i="50"/>
  <c r="C133" i="50"/>
  <c r="E132" i="50"/>
  <c r="D132" i="50"/>
  <c r="C132" i="50"/>
  <c r="E131" i="50"/>
  <c r="D131" i="50"/>
  <c r="C131" i="50"/>
  <c r="E130" i="50"/>
  <c r="D130" i="50"/>
  <c r="C130" i="50"/>
  <c r="E129" i="50"/>
  <c r="D129" i="50"/>
  <c r="C129" i="50"/>
  <c r="E128" i="50"/>
  <c r="D128" i="50"/>
  <c r="C128" i="50"/>
  <c r="E127" i="50"/>
  <c r="D127" i="50"/>
  <c r="C127" i="50"/>
  <c r="E114" i="50"/>
  <c r="E113" i="50"/>
  <c r="E112" i="50"/>
  <c r="E111" i="50"/>
  <c r="E110" i="50"/>
  <c r="E109" i="50"/>
  <c r="E108" i="50"/>
  <c r="E107" i="50"/>
  <c r="E124" i="50"/>
  <c r="D124" i="50"/>
  <c r="C124" i="50"/>
  <c r="E123" i="50"/>
  <c r="D123" i="50"/>
  <c r="C123" i="50"/>
  <c r="E120" i="50"/>
  <c r="D120" i="50"/>
  <c r="C120" i="50"/>
  <c r="E119" i="50"/>
  <c r="D119" i="50"/>
  <c r="C119" i="50"/>
  <c r="E118" i="50"/>
  <c r="D118" i="50"/>
  <c r="C118" i="50"/>
  <c r="E117" i="50"/>
  <c r="D117" i="50"/>
  <c r="C117" i="50"/>
  <c r="E103" i="50"/>
  <c r="E102" i="50"/>
  <c r="E101" i="50"/>
  <c r="D101" i="50"/>
  <c r="C101" i="50"/>
  <c r="E100" i="50"/>
  <c r="D100" i="50"/>
  <c r="C100" i="50"/>
  <c r="E99" i="50"/>
  <c r="D99" i="50"/>
  <c r="C99" i="50"/>
  <c r="E98" i="50"/>
  <c r="D98" i="50"/>
  <c r="C98" i="50"/>
  <c r="E97" i="50"/>
  <c r="D97" i="50"/>
  <c r="C97" i="50"/>
  <c r="E96" i="50"/>
  <c r="D96" i="50"/>
  <c r="C96" i="50"/>
  <c r="E76" i="50"/>
  <c r="D76" i="50"/>
  <c r="C76" i="50"/>
  <c r="E73" i="50"/>
  <c r="E72" i="50"/>
  <c r="E71" i="50"/>
  <c r="D73" i="50"/>
  <c r="D72" i="50"/>
  <c r="C73" i="50"/>
  <c r="C72" i="50"/>
  <c r="D71" i="50"/>
  <c r="C71" i="50"/>
  <c r="C66" i="50"/>
  <c r="E66" i="50"/>
  <c r="E63" i="50"/>
  <c r="E62" i="50"/>
  <c r="D66" i="50"/>
  <c r="D63" i="50"/>
  <c r="D62" i="50"/>
  <c r="B67" i="50"/>
  <c r="C63" i="50"/>
  <c r="B63" i="50"/>
  <c r="E58" i="50"/>
  <c r="E57" i="50"/>
  <c r="E56" i="50"/>
  <c r="E55" i="50"/>
  <c r="E54" i="50"/>
  <c r="E53" i="50"/>
  <c r="E52" i="50"/>
  <c r="E51" i="50"/>
  <c r="D58" i="50"/>
  <c r="D57" i="50"/>
  <c r="D56" i="50"/>
  <c r="D55" i="50"/>
  <c r="D54" i="50"/>
  <c r="D53" i="50"/>
  <c r="D52" i="50"/>
  <c r="D51" i="50"/>
  <c r="C58" i="50"/>
  <c r="C57" i="50"/>
  <c r="C56" i="50"/>
  <c r="C55" i="50"/>
  <c r="C54" i="50"/>
  <c r="C53" i="50"/>
  <c r="C52" i="50"/>
  <c r="C51" i="50"/>
  <c r="E44" i="50"/>
  <c r="E45" i="50"/>
  <c r="E46" i="50"/>
  <c r="E47" i="50"/>
  <c r="D44" i="50"/>
  <c r="D45" i="50"/>
  <c r="D46" i="50"/>
  <c r="D47" i="50"/>
  <c r="C44" i="50"/>
  <c r="C47" i="50"/>
  <c r="B44" i="50"/>
  <c r="B45" i="50"/>
  <c r="B46" i="50"/>
  <c r="B47" i="50"/>
  <c r="B48" i="50"/>
  <c r="E43" i="50"/>
  <c r="D43" i="50"/>
  <c r="E40" i="50"/>
  <c r="D40" i="50"/>
  <c r="C40" i="50"/>
  <c r="E39" i="50"/>
  <c r="D39" i="50"/>
  <c r="C39" i="50"/>
  <c r="E38" i="50"/>
  <c r="D38" i="50"/>
  <c r="C38" i="50"/>
  <c r="E37" i="50"/>
  <c r="D37" i="50"/>
  <c r="C37" i="50"/>
  <c r="E33" i="50"/>
  <c r="D33" i="50"/>
  <c r="C33" i="50"/>
  <c r="E32" i="50"/>
  <c r="D32" i="50"/>
  <c r="C32" i="50"/>
  <c r="E30" i="50"/>
  <c r="D30" i="50"/>
  <c r="C30" i="50"/>
  <c r="E29" i="50"/>
  <c r="D29" i="50"/>
  <c r="C29" i="50"/>
  <c r="E26" i="50"/>
  <c r="D26" i="50"/>
  <c r="C26" i="50"/>
  <c r="E25" i="50"/>
  <c r="D25" i="50"/>
  <c r="C25" i="50"/>
  <c r="E22" i="50"/>
  <c r="D22" i="50"/>
  <c r="C22" i="50"/>
  <c r="E21" i="50"/>
  <c r="D21" i="50"/>
  <c r="C21" i="50"/>
  <c r="E20" i="50"/>
  <c r="D20" i="50"/>
  <c r="C20" i="50"/>
  <c r="E18" i="50"/>
  <c r="D18" i="50"/>
  <c r="C18" i="50"/>
  <c r="E17" i="50"/>
  <c r="D17" i="50"/>
  <c r="C17" i="50"/>
  <c r="E15" i="50"/>
  <c r="D15" i="50"/>
  <c r="C15" i="50"/>
  <c r="E14" i="50"/>
  <c r="D14" i="50"/>
  <c r="C14" i="50"/>
  <c r="E13" i="50"/>
  <c r="D13" i="50"/>
  <c r="C13" i="50"/>
  <c r="E11" i="50"/>
  <c r="D11" i="50"/>
  <c r="C11" i="50"/>
  <c r="E9" i="50"/>
  <c r="D9" i="50"/>
  <c r="C9" i="50"/>
  <c r="B9" i="50"/>
  <c r="E8" i="50"/>
  <c r="D8" i="50"/>
  <c r="C8" i="50"/>
  <c r="B8" i="50"/>
  <c r="E7" i="50"/>
  <c r="D7" i="50"/>
  <c r="C7" i="50"/>
  <c r="B7" i="50"/>
  <c r="A4" i="50"/>
  <c r="A3" i="50"/>
  <c r="A1" i="50"/>
  <c r="A3" i="47"/>
  <c r="A10" i="47"/>
  <c r="M6" i="48"/>
  <c r="B9" i="48"/>
  <c r="B40" i="48"/>
  <c r="I1" i="28"/>
  <c r="A2" i="28"/>
  <c r="I2" i="28"/>
  <c r="I4" i="28"/>
  <c r="A4" i="29" s="1"/>
  <c r="A7" i="28"/>
  <c r="M12" i="28"/>
  <c r="M12" i="14" s="1"/>
  <c r="P12" i="28"/>
  <c r="S12" i="28"/>
  <c r="M13" i="28"/>
  <c r="M13" i="39" s="1"/>
  <c r="P13" i="28"/>
  <c r="S13" i="28"/>
  <c r="M14" i="28"/>
  <c r="P14" i="28"/>
  <c r="S14" i="28"/>
  <c r="M15" i="28"/>
  <c r="P15" i="28"/>
  <c r="S15" i="28"/>
  <c r="M16" i="28"/>
  <c r="P16" i="28"/>
  <c r="S16" i="28"/>
  <c r="M17" i="28"/>
  <c r="P17" i="28"/>
  <c r="S17" i="28"/>
  <c r="M18" i="28"/>
  <c r="M18" i="14" s="1"/>
  <c r="P18" i="28"/>
  <c r="S18" i="28"/>
  <c r="M19" i="28"/>
  <c r="P19" i="28"/>
  <c r="S19" i="28"/>
  <c r="I20" i="28"/>
  <c r="K20" i="28"/>
  <c r="K20" i="14" s="1"/>
  <c r="N20" i="28"/>
  <c r="Q20" i="28"/>
  <c r="I21" i="28"/>
  <c r="M21" i="28" s="1"/>
  <c r="K21" i="28"/>
  <c r="L21" i="28" s="1"/>
  <c r="N21" i="28"/>
  <c r="S21" i="28" s="1"/>
  <c r="Q21" i="28"/>
  <c r="R21" i="28" s="1"/>
  <c r="M23" i="28"/>
  <c r="P23" i="28"/>
  <c r="S23" i="28"/>
  <c r="M26" i="28"/>
  <c r="M26" i="14" s="1"/>
  <c r="P26" i="28"/>
  <c r="S26" i="28"/>
  <c r="M27" i="28"/>
  <c r="P27" i="28"/>
  <c r="S27" i="28"/>
  <c r="M28" i="28"/>
  <c r="P28" i="28"/>
  <c r="S28" i="28"/>
  <c r="M29" i="28"/>
  <c r="P29" i="28"/>
  <c r="S29" i="28"/>
  <c r="M30" i="28"/>
  <c r="P30" i="28"/>
  <c r="S30" i="28"/>
  <c r="M31" i="28"/>
  <c r="P31" i="28"/>
  <c r="S31" i="28"/>
  <c r="M32" i="28"/>
  <c r="P32" i="28"/>
  <c r="S32" i="28"/>
  <c r="M33" i="28"/>
  <c r="M33" i="14" s="1"/>
  <c r="P33" i="28"/>
  <c r="S33" i="28"/>
  <c r="I34" i="28"/>
  <c r="K34" i="28"/>
  <c r="N34" i="28"/>
  <c r="Q34" i="28"/>
  <c r="Q36" i="28" s="1"/>
  <c r="R36" i="28" s="1"/>
  <c r="I35" i="28"/>
  <c r="M35" i="28" s="1"/>
  <c r="K35" i="28"/>
  <c r="L35" i="28" s="1"/>
  <c r="N35" i="28"/>
  <c r="P35" i="28"/>
  <c r="Q35" i="28"/>
  <c r="R35" i="28" s="1"/>
  <c r="M39" i="28"/>
  <c r="M39" i="14" s="1"/>
  <c r="P39" i="28"/>
  <c r="S39" i="28"/>
  <c r="M40" i="28"/>
  <c r="P40" i="28"/>
  <c r="S40" i="28"/>
  <c r="M41" i="28"/>
  <c r="M41" i="14" s="1"/>
  <c r="P41" i="28"/>
  <c r="S41" i="28"/>
  <c r="M42" i="28"/>
  <c r="P42" i="28"/>
  <c r="S42" i="28"/>
  <c r="M43" i="28"/>
  <c r="M43" i="39" s="1"/>
  <c r="P43" i="28"/>
  <c r="S43" i="28"/>
  <c r="M44" i="28"/>
  <c r="P44" i="28"/>
  <c r="S44" i="28"/>
  <c r="M45" i="28"/>
  <c r="P45" i="28"/>
  <c r="S45" i="28"/>
  <c r="M46" i="28"/>
  <c r="P46" i="28"/>
  <c r="S46" i="28"/>
  <c r="I47" i="28"/>
  <c r="K47" i="28"/>
  <c r="N47" i="28"/>
  <c r="Q47" i="28"/>
  <c r="Q49" i="28" s="1"/>
  <c r="R49" i="28" s="1"/>
  <c r="I48" i="28"/>
  <c r="I48" i="39" s="1"/>
  <c r="K48" i="28"/>
  <c r="P48" i="28" s="1"/>
  <c r="N48" i="28"/>
  <c r="S48" i="28" s="1"/>
  <c r="Q48" i="28"/>
  <c r="R48" i="28" s="1"/>
  <c r="M52" i="28"/>
  <c r="P52" i="28"/>
  <c r="S52" i="28"/>
  <c r="M53" i="28"/>
  <c r="P53" i="28"/>
  <c r="S53" i="28"/>
  <c r="M54" i="28"/>
  <c r="P54" i="28"/>
  <c r="S54" i="28"/>
  <c r="M55" i="28"/>
  <c r="P55" i="28"/>
  <c r="S55" i="28"/>
  <c r="M56" i="28"/>
  <c r="P56" i="28"/>
  <c r="S56" i="28"/>
  <c r="M57" i="28"/>
  <c r="M57" i="14" s="1"/>
  <c r="P57" i="28"/>
  <c r="S57" i="28"/>
  <c r="M58" i="28"/>
  <c r="P58" i="28"/>
  <c r="S58" i="28"/>
  <c r="M59" i="28"/>
  <c r="M59" i="14" s="1"/>
  <c r="P59" i="28"/>
  <c r="S59" i="28"/>
  <c r="I60" i="28"/>
  <c r="K60" i="28"/>
  <c r="N60" i="28"/>
  <c r="Q60" i="28"/>
  <c r="Q62" i="28" s="1"/>
  <c r="R62" i="28" s="1"/>
  <c r="I61" i="28"/>
  <c r="M61" i="28" s="1"/>
  <c r="M61" i="14" s="1"/>
  <c r="K61" i="28"/>
  <c r="P61" i="28" s="1"/>
  <c r="N61" i="28"/>
  <c r="Q61" i="28"/>
  <c r="R61" i="28" s="1"/>
  <c r="I65" i="28"/>
  <c r="I65" i="14" s="1"/>
  <c r="K65" i="28"/>
  <c r="N65" i="28"/>
  <c r="Q65" i="28"/>
  <c r="I66" i="28"/>
  <c r="I66" i="39" s="1"/>
  <c r="K66" i="28"/>
  <c r="P66" i="28" s="1"/>
  <c r="N66" i="28"/>
  <c r="S66" i="28" s="1"/>
  <c r="Q66" i="28"/>
  <c r="I67" i="28"/>
  <c r="M67" i="28" s="1"/>
  <c r="M67" i="39" s="1"/>
  <c r="K67" i="28"/>
  <c r="N67" i="28"/>
  <c r="S67" i="28" s="1"/>
  <c r="Q67" i="28"/>
  <c r="I68" i="28"/>
  <c r="M68" i="28" s="1"/>
  <c r="K68" i="28"/>
  <c r="N68" i="28"/>
  <c r="S68" i="28" s="1"/>
  <c r="Q68" i="28"/>
  <c r="I69" i="28"/>
  <c r="I69" i="14" s="1"/>
  <c r="K69" i="28"/>
  <c r="N69" i="28"/>
  <c r="Q69" i="28"/>
  <c r="I70" i="28"/>
  <c r="M70" i="28" s="1"/>
  <c r="M70" i="14" s="1"/>
  <c r="K70" i="28"/>
  <c r="N70" i="28"/>
  <c r="Q70" i="28"/>
  <c r="I71" i="28"/>
  <c r="K71" i="28"/>
  <c r="M71" i="28"/>
  <c r="M71" i="14" s="1"/>
  <c r="N71" i="28"/>
  <c r="P71" i="28"/>
  <c r="Q71" i="28"/>
  <c r="S71" i="28"/>
  <c r="I72" i="28"/>
  <c r="K72" i="28"/>
  <c r="P72" i="28" s="1"/>
  <c r="M72" i="28"/>
  <c r="N72" i="28"/>
  <c r="S72" i="28" s="1"/>
  <c r="Q72" i="28"/>
  <c r="A2" i="29"/>
  <c r="A3" i="29"/>
  <c r="A5" i="29"/>
  <c r="G6" i="29"/>
  <c r="H6" i="29"/>
  <c r="H6" i="21" s="1"/>
  <c r="G12" i="15" s="1"/>
  <c r="J6" i="29"/>
  <c r="J10" i="30"/>
  <c r="I9" i="29"/>
  <c r="K9" i="29"/>
  <c r="I10" i="29"/>
  <c r="K10" i="29"/>
  <c r="I11" i="29"/>
  <c r="K11" i="29"/>
  <c r="I16" i="29"/>
  <c r="K16" i="29"/>
  <c r="I17" i="29"/>
  <c r="K17" i="29"/>
  <c r="I24" i="29"/>
  <c r="K24" i="29"/>
  <c r="G25" i="29"/>
  <c r="H25" i="29"/>
  <c r="J25" i="29"/>
  <c r="E26" i="29"/>
  <c r="E28" i="29" s="1"/>
  <c r="I27" i="29"/>
  <c r="K27" i="29"/>
  <c r="I31" i="29"/>
  <c r="K31" i="29"/>
  <c r="I32" i="29"/>
  <c r="K32" i="29"/>
  <c r="I33" i="29"/>
  <c r="K33" i="29"/>
  <c r="G34" i="29"/>
  <c r="H34" i="29"/>
  <c r="J34" i="29"/>
  <c r="I35" i="29"/>
  <c r="K35" i="29"/>
  <c r="I36" i="29"/>
  <c r="K36" i="29"/>
  <c r="I37" i="29"/>
  <c r="K37" i="29"/>
  <c r="I38" i="29"/>
  <c r="K38" i="29"/>
  <c r="I39" i="29"/>
  <c r="K39" i="29"/>
  <c r="I41" i="29"/>
  <c r="K41" i="29"/>
  <c r="I42" i="29"/>
  <c r="K42" i="29"/>
  <c r="I43" i="29"/>
  <c r="K43" i="29"/>
  <c r="I51" i="29"/>
  <c r="K51" i="29"/>
  <c r="I52" i="29"/>
  <c r="K52" i="29"/>
  <c r="I53" i="29"/>
  <c r="K53" i="29"/>
  <c r="I54" i="29"/>
  <c r="K54" i="29"/>
  <c r="I55" i="29"/>
  <c r="K55" i="29"/>
  <c r="I57" i="29"/>
  <c r="K57" i="29"/>
  <c r="I58" i="29"/>
  <c r="K58" i="29"/>
  <c r="I59" i="29"/>
  <c r="K59" i="29"/>
  <c r="I67" i="29"/>
  <c r="K67" i="29"/>
  <c r="I68" i="29"/>
  <c r="K68" i="29"/>
  <c r="I69" i="29"/>
  <c r="K69" i="29"/>
  <c r="I70" i="29"/>
  <c r="K70" i="29"/>
  <c r="I73" i="29"/>
  <c r="K73" i="29"/>
  <c r="I74" i="29"/>
  <c r="K74" i="29"/>
  <c r="I75" i="29"/>
  <c r="K75" i="29"/>
  <c r="I76" i="29"/>
  <c r="K76" i="29"/>
  <c r="I83" i="29"/>
  <c r="K83" i="29"/>
  <c r="I84" i="29"/>
  <c r="K84" i="29"/>
  <c r="I87" i="29"/>
  <c r="K87" i="29"/>
  <c r="I88" i="29"/>
  <c r="K88" i="29"/>
  <c r="I89" i="29"/>
  <c r="K89" i="29"/>
  <c r="I90" i="29"/>
  <c r="K90" i="29"/>
  <c r="I91" i="29"/>
  <c r="K91" i="29"/>
  <c r="I92" i="29"/>
  <c r="K92" i="29"/>
  <c r="I93" i="29"/>
  <c r="K93" i="29"/>
  <c r="I94" i="29"/>
  <c r="K94" i="29"/>
  <c r="A1" i="30"/>
  <c r="A2" i="30"/>
  <c r="A3" i="30"/>
  <c r="D4" i="30"/>
  <c r="A6" i="30"/>
  <c r="E10" i="30"/>
  <c r="E10" i="31" s="1"/>
  <c r="E10" i="32" s="1"/>
  <c r="F10" i="30"/>
  <c r="F13" i="30"/>
  <c r="E13" i="41" s="1"/>
  <c r="H13" i="30"/>
  <c r="J13" i="30"/>
  <c r="G14" i="30"/>
  <c r="I14" i="30"/>
  <c r="K14" i="30"/>
  <c r="G16" i="30"/>
  <c r="I16" i="30"/>
  <c r="K16" i="30"/>
  <c r="F17" i="30"/>
  <c r="G23" i="30"/>
  <c r="I23" i="30"/>
  <c r="K23" i="30"/>
  <c r="F25" i="30"/>
  <c r="I25" i="30" s="1"/>
  <c r="G29" i="30"/>
  <c r="I29" i="30"/>
  <c r="K29" i="30"/>
  <c r="G30" i="30"/>
  <c r="I30" i="30"/>
  <c r="K30" i="30"/>
  <c r="G31" i="30"/>
  <c r="I31" i="30"/>
  <c r="K31" i="30"/>
  <c r="G32" i="30"/>
  <c r="I32" i="30"/>
  <c r="K32" i="30"/>
  <c r="G33" i="30"/>
  <c r="I33" i="30"/>
  <c r="K33" i="30"/>
  <c r="G34" i="30"/>
  <c r="I34" i="30"/>
  <c r="K34" i="30"/>
  <c r="G35" i="30"/>
  <c r="I35" i="30"/>
  <c r="K35" i="30"/>
  <c r="G36" i="30"/>
  <c r="I36" i="30"/>
  <c r="K36" i="30"/>
  <c r="E37" i="30"/>
  <c r="B82" i="49" s="1"/>
  <c r="F37" i="30"/>
  <c r="E37" i="17" s="1"/>
  <c r="H37" i="30"/>
  <c r="D82" i="49" s="1"/>
  <c r="J37" i="30"/>
  <c r="E104" i="49" s="1"/>
  <c r="G42" i="30"/>
  <c r="I42" i="30"/>
  <c r="K42" i="30"/>
  <c r="G43" i="30"/>
  <c r="I43" i="30"/>
  <c r="K43" i="30"/>
  <c r="E44" i="30"/>
  <c r="F44" i="30"/>
  <c r="E44" i="41" s="1"/>
  <c r="H44" i="30"/>
  <c r="J44" i="30"/>
  <c r="G50" i="30"/>
  <c r="G52" i="30"/>
  <c r="E54" i="30"/>
  <c r="G59" i="30"/>
  <c r="I59" i="30"/>
  <c r="K59" i="30"/>
  <c r="G60" i="30"/>
  <c r="I60" i="30"/>
  <c r="K60" i="30"/>
  <c r="G61" i="30"/>
  <c r="I61" i="30"/>
  <c r="K61" i="30"/>
  <c r="G62" i="30"/>
  <c r="I62" i="30"/>
  <c r="K62" i="30"/>
  <c r="G66" i="30"/>
  <c r="I66" i="30"/>
  <c r="K66" i="30"/>
  <c r="G67" i="30"/>
  <c r="I67" i="30"/>
  <c r="K67" i="30"/>
  <c r="G69" i="30"/>
  <c r="I69" i="30"/>
  <c r="K69" i="30"/>
  <c r="G75" i="30"/>
  <c r="I75" i="30"/>
  <c r="K75" i="30"/>
  <c r="G76" i="30"/>
  <c r="I76" i="30"/>
  <c r="K76" i="30"/>
  <c r="G77" i="30"/>
  <c r="I77" i="30"/>
  <c r="K77" i="30"/>
  <c r="G78" i="30"/>
  <c r="I78" i="30"/>
  <c r="K78" i="30"/>
  <c r="G79" i="30"/>
  <c r="I79" i="30"/>
  <c r="K79" i="30"/>
  <c r="G80" i="30"/>
  <c r="I80" i="30"/>
  <c r="K80" i="30"/>
  <c r="G81" i="30"/>
  <c r="I81" i="30"/>
  <c r="K81" i="30"/>
  <c r="G82" i="30"/>
  <c r="I82" i="30"/>
  <c r="K82" i="30"/>
  <c r="G83" i="30"/>
  <c r="I83" i="30"/>
  <c r="K83" i="30"/>
  <c r="E84" i="30"/>
  <c r="E17" i="30" s="1"/>
  <c r="G17" i="30" s="1"/>
  <c r="F84" i="30"/>
  <c r="I84" i="30" s="1"/>
  <c r="H84" i="30"/>
  <c r="J84" i="30"/>
  <c r="J17" i="30" s="1"/>
  <c r="F86" i="30"/>
  <c r="G86" i="30"/>
  <c r="H86" i="30"/>
  <c r="J86" i="30"/>
  <c r="G90" i="30"/>
  <c r="I90" i="30"/>
  <c r="K90" i="30"/>
  <c r="G91" i="30"/>
  <c r="I91" i="30"/>
  <c r="K91" i="30"/>
  <c r="G92" i="30"/>
  <c r="I92" i="30"/>
  <c r="K92" i="30"/>
  <c r="G93" i="30"/>
  <c r="I93" i="30"/>
  <c r="K93" i="30"/>
  <c r="G94" i="30"/>
  <c r="I94" i="30"/>
  <c r="K94" i="30"/>
  <c r="G95" i="30"/>
  <c r="I95" i="30"/>
  <c r="K95" i="30"/>
  <c r="G96" i="30"/>
  <c r="I96" i="30"/>
  <c r="K96" i="30"/>
  <c r="G97" i="30"/>
  <c r="I97" i="30"/>
  <c r="K97" i="30"/>
  <c r="G98" i="30"/>
  <c r="I98" i="30"/>
  <c r="K98" i="30"/>
  <c r="G99" i="30"/>
  <c r="I99" i="30"/>
  <c r="K99" i="30"/>
  <c r="G100" i="30"/>
  <c r="I100" i="30"/>
  <c r="K100" i="30"/>
  <c r="G101" i="30"/>
  <c r="I101" i="30"/>
  <c r="K101" i="30"/>
  <c r="G102" i="30"/>
  <c r="I102" i="30"/>
  <c r="K102" i="30"/>
  <c r="G103" i="30"/>
  <c r="I103" i="30"/>
  <c r="K103" i="30"/>
  <c r="G104" i="30"/>
  <c r="I104" i="30"/>
  <c r="K104" i="30"/>
  <c r="G105" i="30"/>
  <c r="I105" i="30"/>
  <c r="K105" i="30"/>
  <c r="G106" i="30"/>
  <c r="I106" i="30"/>
  <c r="K106" i="30"/>
  <c r="G107" i="30"/>
  <c r="I107" i="30"/>
  <c r="K107" i="30"/>
  <c r="E108" i="30"/>
  <c r="E21" i="30" s="1"/>
  <c r="F108" i="30"/>
  <c r="H108" i="30"/>
  <c r="H21" i="30"/>
  <c r="K21" i="30" s="1"/>
  <c r="J108" i="30"/>
  <c r="J21" i="30"/>
  <c r="G111" i="30"/>
  <c r="I111" i="30"/>
  <c r="K111" i="30"/>
  <c r="G112" i="30"/>
  <c r="I112" i="30"/>
  <c r="K112" i="30"/>
  <c r="G113" i="30"/>
  <c r="I113" i="30"/>
  <c r="K113" i="30"/>
  <c r="G114" i="30"/>
  <c r="I114" i="30"/>
  <c r="K114" i="30"/>
  <c r="G115" i="30"/>
  <c r="I115" i="30"/>
  <c r="K115" i="30"/>
  <c r="G116" i="30"/>
  <c r="I116" i="30"/>
  <c r="K116" i="30"/>
  <c r="E117" i="30"/>
  <c r="E25" i="30"/>
  <c r="F117" i="30"/>
  <c r="H117" i="30"/>
  <c r="I117" i="30"/>
  <c r="J117" i="30"/>
  <c r="J25" i="30" s="1"/>
  <c r="A1" i="31"/>
  <c r="A2" i="31"/>
  <c r="A3" i="31"/>
  <c r="D4" i="31"/>
  <c r="A6" i="31"/>
  <c r="F10" i="31"/>
  <c r="F10" i="32" s="1"/>
  <c r="G13" i="31"/>
  <c r="I13" i="31"/>
  <c r="K13" i="31"/>
  <c r="G14" i="31"/>
  <c r="I14" i="31"/>
  <c r="K14" i="31"/>
  <c r="G15" i="31"/>
  <c r="I15" i="31"/>
  <c r="K15" i="31"/>
  <c r="G16" i="31"/>
  <c r="I16" i="31"/>
  <c r="K16" i="31"/>
  <c r="G19" i="31"/>
  <c r="I19" i="31"/>
  <c r="K19" i="31"/>
  <c r="G23" i="31"/>
  <c r="I23" i="31"/>
  <c r="K23" i="31"/>
  <c r="G29" i="31"/>
  <c r="I29" i="31"/>
  <c r="K29" i="31"/>
  <c r="G30" i="31"/>
  <c r="I30" i="31"/>
  <c r="K30" i="31"/>
  <c r="G31" i="31"/>
  <c r="I31" i="31"/>
  <c r="K31" i="31"/>
  <c r="G32" i="31"/>
  <c r="I32" i="31"/>
  <c r="K32" i="31"/>
  <c r="G33" i="31"/>
  <c r="I33" i="31"/>
  <c r="K33" i="31"/>
  <c r="G34" i="31"/>
  <c r="I34" i="31"/>
  <c r="K34" i="31"/>
  <c r="G35" i="31"/>
  <c r="I35" i="31"/>
  <c r="K35" i="31"/>
  <c r="G36" i="31"/>
  <c r="I36" i="31"/>
  <c r="K36" i="31"/>
  <c r="E37" i="31"/>
  <c r="B115" i="49" s="1"/>
  <c r="F37" i="31"/>
  <c r="H37" i="31"/>
  <c r="D115" i="49" s="1"/>
  <c r="J37" i="31"/>
  <c r="E85" i="49" s="1"/>
  <c r="G42" i="31"/>
  <c r="I42" i="31"/>
  <c r="K42" i="31"/>
  <c r="G43" i="31"/>
  <c r="I43" i="31"/>
  <c r="K43" i="31"/>
  <c r="E44" i="31"/>
  <c r="G44" i="31" s="1"/>
  <c r="F44" i="31"/>
  <c r="I44" i="31" s="1"/>
  <c r="H44" i="31"/>
  <c r="J44" i="31"/>
  <c r="K44" i="31" s="1"/>
  <c r="G49" i="31"/>
  <c r="G50" i="31"/>
  <c r="G52" i="31"/>
  <c r="E54" i="31"/>
  <c r="B67" i="49" s="1"/>
  <c r="G74" i="31"/>
  <c r="I74" i="31"/>
  <c r="K74" i="31"/>
  <c r="G78" i="31"/>
  <c r="I78" i="31"/>
  <c r="K78" i="31"/>
  <c r="G84" i="31"/>
  <c r="I84" i="31"/>
  <c r="K84" i="31"/>
  <c r="G85" i="31"/>
  <c r="I85" i="31"/>
  <c r="K85" i="31"/>
  <c r="G87" i="31"/>
  <c r="I87" i="31"/>
  <c r="K87" i="31"/>
  <c r="G88" i="31"/>
  <c r="I88" i="31"/>
  <c r="K88" i="31"/>
  <c r="G93" i="31"/>
  <c r="I93" i="31"/>
  <c r="K93" i="31"/>
  <c r="G94" i="31"/>
  <c r="I94" i="31"/>
  <c r="K94" i="31"/>
  <c r="G95" i="31"/>
  <c r="I95" i="31"/>
  <c r="K95" i="31"/>
  <c r="G107" i="31"/>
  <c r="I107" i="31"/>
  <c r="K107" i="31"/>
  <c r="G108" i="31"/>
  <c r="I108" i="31"/>
  <c r="K108" i="31"/>
  <c r="G109" i="31"/>
  <c r="I109" i="31"/>
  <c r="K109" i="31"/>
  <c r="G110" i="31"/>
  <c r="I110" i="31"/>
  <c r="K110" i="31"/>
  <c r="G111" i="31"/>
  <c r="I111" i="31"/>
  <c r="K111" i="31"/>
  <c r="G112" i="31"/>
  <c r="I112" i="31"/>
  <c r="K112" i="31"/>
  <c r="E113" i="31"/>
  <c r="G113" i="31" s="1"/>
  <c r="F113" i="31"/>
  <c r="H113" i="31"/>
  <c r="K113" i="31" s="1"/>
  <c r="J113" i="31"/>
  <c r="J17" i="31"/>
  <c r="F115" i="31"/>
  <c r="E115" i="42" s="1"/>
  <c r="H115" i="31"/>
  <c r="J115" i="31"/>
  <c r="G116" i="31"/>
  <c r="G119" i="31"/>
  <c r="I119" i="31"/>
  <c r="K119" i="31"/>
  <c r="G120" i="31"/>
  <c r="I120" i="31"/>
  <c r="K120" i="31"/>
  <c r="G121" i="31"/>
  <c r="I121" i="31"/>
  <c r="K121" i="31"/>
  <c r="G122" i="31"/>
  <c r="I122" i="31"/>
  <c r="K122" i="31"/>
  <c r="G123" i="31"/>
  <c r="I123" i="31"/>
  <c r="K123" i="31"/>
  <c r="G124" i="31"/>
  <c r="I124" i="31"/>
  <c r="K124" i="31"/>
  <c r="G125" i="31"/>
  <c r="I125" i="31"/>
  <c r="K125" i="31"/>
  <c r="G126" i="31"/>
  <c r="I126" i="31"/>
  <c r="K126" i="31"/>
  <c r="G127" i="31"/>
  <c r="I127" i="31"/>
  <c r="K127" i="31"/>
  <c r="G128" i="31"/>
  <c r="I128" i="31"/>
  <c r="K128" i="31"/>
  <c r="G129" i="31"/>
  <c r="I129" i="31"/>
  <c r="K129" i="31"/>
  <c r="G130" i="31"/>
  <c r="I130" i="31"/>
  <c r="K130" i="31"/>
  <c r="G131" i="31"/>
  <c r="I131" i="31"/>
  <c r="K131" i="31"/>
  <c r="G132" i="31"/>
  <c r="I132" i="31"/>
  <c r="K132" i="31"/>
  <c r="G133" i="31"/>
  <c r="I133" i="31"/>
  <c r="K133" i="31"/>
  <c r="G134" i="31"/>
  <c r="I134" i="31"/>
  <c r="K134" i="31"/>
  <c r="G135" i="31"/>
  <c r="I135" i="31"/>
  <c r="K135" i="31"/>
  <c r="G136" i="31"/>
  <c r="I136" i="31"/>
  <c r="K136" i="31"/>
  <c r="E137" i="31"/>
  <c r="G137" i="31" s="1"/>
  <c r="F137" i="31"/>
  <c r="I137" i="31" s="1"/>
  <c r="H137" i="31"/>
  <c r="H21" i="31"/>
  <c r="J137" i="31"/>
  <c r="J21" i="31" s="1"/>
  <c r="J21" i="32" s="1"/>
  <c r="G140" i="31"/>
  <c r="I140" i="31"/>
  <c r="K140" i="31"/>
  <c r="G141" i="31"/>
  <c r="I141" i="31"/>
  <c r="K141" i="31"/>
  <c r="G142" i="31"/>
  <c r="I142" i="31"/>
  <c r="K142" i="31"/>
  <c r="G143" i="31"/>
  <c r="I143" i="31"/>
  <c r="K143" i="31"/>
  <c r="G144" i="31"/>
  <c r="I144" i="31"/>
  <c r="K144" i="31"/>
  <c r="G145" i="31"/>
  <c r="I145" i="31"/>
  <c r="K145" i="31"/>
  <c r="E146" i="31"/>
  <c r="G146" i="31" s="1"/>
  <c r="F146" i="31"/>
  <c r="I146" i="31" s="1"/>
  <c r="H146" i="31"/>
  <c r="K146" i="31"/>
  <c r="J146" i="31"/>
  <c r="J25" i="31" s="1"/>
  <c r="J25" i="32" s="1"/>
  <c r="E151" i="31"/>
  <c r="E151" i="16" s="1"/>
  <c r="G152" i="31"/>
  <c r="I152" i="31"/>
  <c r="K152" i="31"/>
  <c r="G153" i="31"/>
  <c r="I153" i="31"/>
  <c r="K153" i="31"/>
  <c r="G155" i="31"/>
  <c r="I155" i="31"/>
  <c r="K155" i="31"/>
  <c r="A1" i="32"/>
  <c r="A2" i="32"/>
  <c r="A3" i="32"/>
  <c r="D4" i="32"/>
  <c r="A6" i="32"/>
  <c r="E13" i="32"/>
  <c r="E14" i="32"/>
  <c r="G14" i="32" s="1"/>
  <c r="F14" i="32"/>
  <c r="H14" i="32"/>
  <c r="AE11" i="35" s="1"/>
  <c r="J14" i="32"/>
  <c r="E15" i="32"/>
  <c r="G15" i="32" s="1"/>
  <c r="F15" i="32"/>
  <c r="AE12" i="34" s="1"/>
  <c r="H15" i="32"/>
  <c r="AE12" i="35" s="1"/>
  <c r="J15" i="32"/>
  <c r="E16" i="32"/>
  <c r="F16" i="32"/>
  <c r="AE13" i="34" s="1"/>
  <c r="H16" i="32"/>
  <c r="J16" i="32"/>
  <c r="E19" i="32"/>
  <c r="E20" i="32"/>
  <c r="E23" i="32"/>
  <c r="F23" i="32"/>
  <c r="AE20" i="34" s="1"/>
  <c r="H23" i="32"/>
  <c r="AE20" i="35" s="1"/>
  <c r="J23" i="32"/>
  <c r="E24" i="32"/>
  <c r="E29" i="32"/>
  <c r="F29" i="32"/>
  <c r="AE26" i="34" s="1"/>
  <c r="H29" i="32"/>
  <c r="AE26" i="35"/>
  <c r="AB26" i="35" s="1"/>
  <c r="J29" i="32"/>
  <c r="E30" i="32"/>
  <c r="G30" i="32" s="1"/>
  <c r="F30" i="32"/>
  <c r="AE27" i="34" s="1"/>
  <c r="H30" i="32"/>
  <c r="E27" i="35" s="1"/>
  <c r="G27" i="35" s="1"/>
  <c r="I27" i="35" s="1"/>
  <c r="K27" i="35" s="1"/>
  <c r="M27" i="35" s="1"/>
  <c r="O27" i="35" s="1"/>
  <c r="Q27" i="35" s="1"/>
  <c r="S27" i="35" s="1"/>
  <c r="U27" i="35" s="1"/>
  <c r="W27" i="35" s="1"/>
  <c r="Y27" i="35" s="1"/>
  <c r="AA27" i="35" s="1"/>
  <c r="J30" i="32"/>
  <c r="E31" i="32"/>
  <c r="F31" i="32"/>
  <c r="AE28" i="34" s="1"/>
  <c r="H31" i="32"/>
  <c r="E28" i="35" s="1"/>
  <c r="G28" i="35" s="1"/>
  <c r="I28" i="35" s="1"/>
  <c r="K28" i="35" s="1"/>
  <c r="M28" i="35" s="1"/>
  <c r="O28" i="35" s="1"/>
  <c r="Q28" i="35" s="1"/>
  <c r="S28" i="35" s="1"/>
  <c r="U28" i="35" s="1"/>
  <c r="W28" i="35" s="1"/>
  <c r="Y28" i="35" s="1"/>
  <c r="AA28" i="35" s="1"/>
  <c r="AA34" i="35" s="1"/>
  <c r="J31" i="32"/>
  <c r="E32" i="32"/>
  <c r="G32" i="32" s="1"/>
  <c r="F32" i="32"/>
  <c r="AE29" i="34" s="1"/>
  <c r="H32" i="32"/>
  <c r="AE29" i="35" s="1"/>
  <c r="J32" i="32"/>
  <c r="K32" i="32" s="1"/>
  <c r="E33" i="32"/>
  <c r="F33" i="32"/>
  <c r="AE30" i="34" s="1"/>
  <c r="H33" i="32"/>
  <c r="J33" i="32"/>
  <c r="E34" i="32"/>
  <c r="F34" i="32"/>
  <c r="AE31" i="34" s="1"/>
  <c r="H34" i="32"/>
  <c r="AE31" i="35"/>
  <c r="P31" i="35" s="1"/>
  <c r="J34" i="32"/>
  <c r="E35" i="32"/>
  <c r="F35" i="32"/>
  <c r="H35" i="32"/>
  <c r="J35" i="32"/>
  <c r="E36" i="32"/>
  <c r="G36" i="32"/>
  <c r="F36" i="32"/>
  <c r="AE33" i="34" s="1"/>
  <c r="H36" i="32"/>
  <c r="AE33" i="35" s="1"/>
  <c r="J36" i="32"/>
  <c r="E42" i="32"/>
  <c r="G42" i="32" s="1"/>
  <c r="F42" i="32"/>
  <c r="AE37" i="34" s="1"/>
  <c r="H42" i="32"/>
  <c r="AE37" i="35" s="1"/>
  <c r="J42" i="32"/>
  <c r="E43" i="32"/>
  <c r="G43" i="32" s="1"/>
  <c r="F43" i="32"/>
  <c r="I43" i="32" s="1"/>
  <c r="H43" i="32"/>
  <c r="K43" i="32" s="1"/>
  <c r="J43" i="32"/>
  <c r="E49" i="32"/>
  <c r="E50" i="32"/>
  <c r="G50" i="32"/>
  <c r="F50" i="32"/>
  <c r="I50" i="32" s="1"/>
  <c r="H50" i="32"/>
  <c r="K50" i="32"/>
  <c r="J50" i="32"/>
  <c r="B51" i="32"/>
  <c r="E51" i="32"/>
  <c r="G51" i="32" s="1"/>
  <c r="F51" i="32"/>
  <c r="I51" i="32" s="1"/>
  <c r="H51" i="32"/>
  <c r="K51" i="32"/>
  <c r="J51" i="32"/>
  <c r="E52" i="32"/>
  <c r="G52" i="32" s="1"/>
  <c r="F52" i="32"/>
  <c r="I52" i="32" s="1"/>
  <c r="H52" i="32"/>
  <c r="K52" i="32" s="1"/>
  <c r="J52" i="32"/>
  <c r="E53" i="32"/>
  <c r="G53" i="32"/>
  <c r="F53" i="32"/>
  <c r="I53" i="32" s="1"/>
  <c r="H53" i="32"/>
  <c r="K53" i="32" s="1"/>
  <c r="J53" i="32"/>
  <c r="B54" i="32"/>
  <c r="E54" i="32"/>
  <c r="G54" i="32" s="1"/>
  <c r="F54" i="32"/>
  <c r="I54" i="32"/>
  <c r="H54" i="32"/>
  <c r="K54" i="32" s="1"/>
  <c r="J54" i="32"/>
  <c r="E59" i="32"/>
  <c r="G59" i="32" s="1"/>
  <c r="F59" i="32"/>
  <c r="I59" i="32" s="1"/>
  <c r="H59" i="32"/>
  <c r="K59" i="32" s="1"/>
  <c r="J59" i="32"/>
  <c r="E60" i="32"/>
  <c r="G60" i="32"/>
  <c r="F60" i="32"/>
  <c r="I60" i="32"/>
  <c r="H60" i="32"/>
  <c r="K60" i="32" s="1"/>
  <c r="J60" i="32"/>
  <c r="E61" i="32"/>
  <c r="G61" i="32"/>
  <c r="F61" i="32"/>
  <c r="I61" i="32" s="1"/>
  <c r="H61" i="32"/>
  <c r="K61" i="32" s="1"/>
  <c r="J61" i="32"/>
  <c r="E62" i="32"/>
  <c r="G62" i="32" s="1"/>
  <c r="F62" i="32"/>
  <c r="I62" i="32"/>
  <c r="H62" i="32"/>
  <c r="K62" i="32"/>
  <c r="J62" i="32"/>
  <c r="E65" i="32"/>
  <c r="G65" i="32" s="1"/>
  <c r="F65" i="32"/>
  <c r="I65" i="32" s="1"/>
  <c r="H65" i="32"/>
  <c r="K65" i="32" s="1"/>
  <c r="J65" i="32"/>
  <c r="E66" i="32"/>
  <c r="G66" i="32"/>
  <c r="F66" i="32"/>
  <c r="I66" i="32" s="1"/>
  <c r="H66" i="32"/>
  <c r="K66" i="32" s="1"/>
  <c r="J66" i="32"/>
  <c r="E67" i="32"/>
  <c r="G67" i="32" s="1"/>
  <c r="F67" i="32"/>
  <c r="I67" i="32" s="1"/>
  <c r="H67" i="32"/>
  <c r="K67" i="32" s="1"/>
  <c r="J67" i="32"/>
  <c r="E69" i="32"/>
  <c r="G69" i="32" s="1"/>
  <c r="F69" i="32"/>
  <c r="I69" i="32" s="1"/>
  <c r="H69" i="32"/>
  <c r="K69" i="32" s="1"/>
  <c r="J69" i="32"/>
  <c r="A2" i="36"/>
  <c r="A3" i="36"/>
  <c r="A4" i="36"/>
  <c r="E12" i="36"/>
  <c r="I12" i="36"/>
  <c r="D26" i="36"/>
  <c r="E26" i="36"/>
  <c r="F26" i="36"/>
  <c r="G26" i="36"/>
  <c r="H26" i="36"/>
  <c r="I26" i="36"/>
  <c r="J26" i="36"/>
  <c r="F1" i="34"/>
  <c r="T1" i="34"/>
  <c r="G2" i="34"/>
  <c r="W2" i="34"/>
  <c r="A3" i="34"/>
  <c r="D6" i="34"/>
  <c r="E34" i="34"/>
  <c r="G34" i="34"/>
  <c r="I34" i="34"/>
  <c r="K34" i="34"/>
  <c r="M34" i="34"/>
  <c r="O34" i="34"/>
  <c r="Q34" i="34"/>
  <c r="S34" i="34"/>
  <c r="U34" i="34"/>
  <c r="W34" i="34"/>
  <c r="Y34" i="34"/>
  <c r="AA34" i="34"/>
  <c r="E39" i="34"/>
  <c r="G39" i="34"/>
  <c r="I39" i="34"/>
  <c r="K39" i="34"/>
  <c r="M39" i="34"/>
  <c r="O39" i="34"/>
  <c r="Q39" i="34"/>
  <c r="S39" i="34"/>
  <c r="U39" i="34"/>
  <c r="W39" i="34"/>
  <c r="Y39" i="34"/>
  <c r="AA39" i="34"/>
  <c r="F43" i="34"/>
  <c r="H43" i="34"/>
  <c r="J43" i="34"/>
  <c r="L43" i="34"/>
  <c r="N43" i="34"/>
  <c r="P43" i="34"/>
  <c r="R43" i="34"/>
  <c r="T43" i="34"/>
  <c r="V43" i="34"/>
  <c r="X43" i="34"/>
  <c r="Z43" i="34"/>
  <c r="AB43" i="34"/>
  <c r="F44" i="34"/>
  <c r="H44" i="34"/>
  <c r="J44" i="34"/>
  <c r="L44" i="34"/>
  <c r="N44" i="34"/>
  <c r="P44" i="34"/>
  <c r="R44" i="34"/>
  <c r="T44" i="34"/>
  <c r="V44" i="34"/>
  <c r="X44" i="34"/>
  <c r="Z44" i="34"/>
  <c r="AB44" i="34"/>
  <c r="F45" i="34"/>
  <c r="H45" i="34"/>
  <c r="J45" i="34"/>
  <c r="L45" i="34"/>
  <c r="N45" i="34"/>
  <c r="P45" i="34"/>
  <c r="R45" i="34"/>
  <c r="T45" i="34"/>
  <c r="V45" i="34"/>
  <c r="X45" i="34"/>
  <c r="Z45" i="34"/>
  <c r="AB45" i="34"/>
  <c r="F46" i="34"/>
  <c r="H46" i="34"/>
  <c r="J46" i="34"/>
  <c r="L46" i="34"/>
  <c r="N46" i="34"/>
  <c r="P46" i="34"/>
  <c r="R46" i="34"/>
  <c r="T46" i="34"/>
  <c r="V46" i="34"/>
  <c r="X46" i="34"/>
  <c r="Z46" i="34"/>
  <c r="AB46" i="34"/>
  <c r="F47" i="34"/>
  <c r="H47" i="34"/>
  <c r="J47" i="34"/>
  <c r="L47" i="34"/>
  <c r="N47" i="34"/>
  <c r="P47" i="34"/>
  <c r="R47" i="34"/>
  <c r="T47" i="34"/>
  <c r="V47" i="34"/>
  <c r="X47" i="34"/>
  <c r="Z47" i="34"/>
  <c r="AB47" i="34"/>
  <c r="D48" i="34"/>
  <c r="E48" i="34"/>
  <c r="G48" i="34"/>
  <c r="I48" i="34"/>
  <c r="K48" i="34"/>
  <c r="M48" i="34"/>
  <c r="O48" i="34"/>
  <c r="Q48" i="34"/>
  <c r="S48" i="34"/>
  <c r="U48" i="34"/>
  <c r="W48" i="34"/>
  <c r="Y48" i="34"/>
  <c r="AA48" i="34"/>
  <c r="F51" i="34"/>
  <c r="H51" i="34"/>
  <c r="J51" i="34"/>
  <c r="L51" i="34"/>
  <c r="N51" i="34"/>
  <c r="P51" i="34"/>
  <c r="R51" i="34"/>
  <c r="T51" i="34"/>
  <c r="V51" i="34"/>
  <c r="X51" i="34"/>
  <c r="Z51" i="34"/>
  <c r="AB51" i="34"/>
  <c r="F52" i="34"/>
  <c r="H52" i="34"/>
  <c r="J52" i="34"/>
  <c r="L52" i="34"/>
  <c r="N52" i="34"/>
  <c r="P52" i="34"/>
  <c r="R52" i="34"/>
  <c r="T52" i="34"/>
  <c r="V52" i="34"/>
  <c r="X52" i="34"/>
  <c r="Z52" i="34"/>
  <c r="AB52" i="34"/>
  <c r="F53" i="34"/>
  <c r="H53" i="34"/>
  <c r="J53" i="34"/>
  <c r="L53" i="34"/>
  <c r="N53" i="34"/>
  <c r="P53" i="34"/>
  <c r="R53" i="34"/>
  <c r="T53" i="34"/>
  <c r="V53" i="34"/>
  <c r="X53" i="34"/>
  <c r="Z53" i="34"/>
  <c r="AB53" i="34"/>
  <c r="F54" i="34"/>
  <c r="H54" i="34"/>
  <c r="J54" i="34"/>
  <c r="L54" i="34"/>
  <c r="N54" i="34"/>
  <c r="P54" i="34"/>
  <c r="R54" i="34"/>
  <c r="T54" i="34"/>
  <c r="V54" i="34"/>
  <c r="X54" i="34"/>
  <c r="Z54" i="34"/>
  <c r="AB54" i="34"/>
  <c r="F55" i="34"/>
  <c r="H55" i="34"/>
  <c r="J55" i="34"/>
  <c r="L55" i="34"/>
  <c r="N55" i="34"/>
  <c r="P55" i="34"/>
  <c r="R55" i="34"/>
  <c r="T55" i="34"/>
  <c r="V55" i="34"/>
  <c r="X55" i="34"/>
  <c r="Z55" i="34"/>
  <c r="AB55" i="34"/>
  <c r="E56" i="34"/>
  <c r="G56" i="34"/>
  <c r="I56" i="34"/>
  <c r="K56" i="34"/>
  <c r="M56" i="34"/>
  <c r="O56" i="34"/>
  <c r="Q56" i="34"/>
  <c r="S56" i="34"/>
  <c r="U56" i="34"/>
  <c r="W56" i="34"/>
  <c r="Y56" i="34"/>
  <c r="AA56" i="34"/>
  <c r="F1" i="35"/>
  <c r="T1" i="35"/>
  <c r="G2" i="35"/>
  <c r="W2" i="35" s="1"/>
  <c r="A3" i="35"/>
  <c r="D6" i="35"/>
  <c r="E39" i="35"/>
  <c r="G39" i="35"/>
  <c r="I39" i="35"/>
  <c r="K39" i="35"/>
  <c r="M39" i="35"/>
  <c r="O39" i="35"/>
  <c r="Q39" i="35"/>
  <c r="S39" i="35"/>
  <c r="U39" i="35"/>
  <c r="W39" i="35"/>
  <c r="Y39" i="35"/>
  <c r="AA39" i="35"/>
  <c r="F43" i="35"/>
  <c r="H43" i="35"/>
  <c r="J43" i="35"/>
  <c r="L43" i="35"/>
  <c r="N43" i="35"/>
  <c r="P43" i="35"/>
  <c r="R43" i="35"/>
  <c r="T43" i="35"/>
  <c r="V43" i="35"/>
  <c r="X43" i="35"/>
  <c r="Z43" i="35"/>
  <c r="AB43" i="35"/>
  <c r="F44" i="35"/>
  <c r="H44" i="35"/>
  <c r="J44" i="35"/>
  <c r="L44" i="35"/>
  <c r="N44" i="35"/>
  <c r="P44" i="35"/>
  <c r="R44" i="35"/>
  <c r="T44" i="35"/>
  <c r="V44" i="35"/>
  <c r="X44" i="35"/>
  <c r="Z44" i="35"/>
  <c r="AB44" i="35"/>
  <c r="F45" i="35"/>
  <c r="H45" i="35"/>
  <c r="J45" i="35"/>
  <c r="L45" i="35"/>
  <c r="N45" i="35"/>
  <c r="P45" i="35"/>
  <c r="R45" i="35"/>
  <c r="T45" i="35"/>
  <c r="V45" i="35"/>
  <c r="X45" i="35"/>
  <c r="Z45" i="35"/>
  <c r="AB45" i="35"/>
  <c r="F46" i="35"/>
  <c r="H46" i="35"/>
  <c r="J46" i="35"/>
  <c r="L46" i="35"/>
  <c r="N46" i="35"/>
  <c r="P46" i="35"/>
  <c r="R46" i="35"/>
  <c r="T46" i="35"/>
  <c r="V46" i="35"/>
  <c r="X46" i="35"/>
  <c r="Z46" i="35"/>
  <c r="AB46" i="35"/>
  <c r="F47" i="35"/>
  <c r="H47" i="35"/>
  <c r="J47" i="35"/>
  <c r="L47" i="35"/>
  <c r="N47" i="35"/>
  <c r="P47" i="35"/>
  <c r="R47" i="35"/>
  <c r="T47" i="35"/>
  <c r="V47" i="35"/>
  <c r="X47" i="35"/>
  <c r="Z47" i="35"/>
  <c r="AB47" i="35"/>
  <c r="D48" i="35"/>
  <c r="E48" i="35"/>
  <c r="G48" i="35"/>
  <c r="I48" i="35"/>
  <c r="K48" i="35"/>
  <c r="M48" i="35"/>
  <c r="O48" i="35"/>
  <c r="Q48" i="35"/>
  <c r="S48" i="35"/>
  <c r="U48" i="35"/>
  <c r="W48" i="35"/>
  <c r="Y48" i="35"/>
  <c r="AA48" i="35"/>
  <c r="A1" i="49"/>
  <c r="A3" i="49"/>
  <c r="A4" i="49"/>
  <c r="B7" i="49"/>
  <c r="C7" i="49"/>
  <c r="D7" i="49"/>
  <c r="E7" i="49"/>
  <c r="B8" i="49"/>
  <c r="C8" i="49"/>
  <c r="D8" i="49"/>
  <c r="E8" i="49"/>
  <c r="B9" i="49"/>
  <c r="C9" i="49"/>
  <c r="D9" i="49"/>
  <c r="E9" i="49"/>
  <c r="B11" i="49"/>
  <c r="C11" i="49"/>
  <c r="D11" i="49"/>
  <c r="E11" i="49"/>
  <c r="C13" i="49"/>
  <c r="D13" i="49"/>
  <c r="E13" i="49"/>
  <c r="C14" i="49"/>
  <c r="D14" i="49"/>
  <c r="E14" i="49"/>
  <c r="C15" i="49"/>
  <c r="D15" i="49"/>
  <c r="E15" i="49"/>
  <c r="C17" i="49"/>
  <c r="D17" i="49"/>
  <c r="E17" i="49"/>
  <c r="C18" i="49"/>
  <c r="D18" i="49"/>
  <c r="E18" i="49"/>
  <c r="C20" i="49"/>
  <c r="D20" i="49"/>
  <c r="E20" i="49"/>
  <c r="C21" i="49"/>
  <c r="D21" i="49"/>
  <c r="E21" i="49"/>
  <c r="C22" i="49"/>
  <c r="D22" i="49"/>
  <c r="E22" i="49"/>
  <c r="C25" i="49"/>
  <c r="D25" i="49"/>
  <c r="E25" i="49"/>
  <c r="C26" i="49"/>
  <c r="D26" i="49"/>
  <c r="E26" i="49"/>
  <c r="C29" i="49"/>
  <c r="D29" i="49"/>
  <c r="E29" i="49"/>
  <c r="C30" i="49"/>
  <c r="D30" i="49"/>
  <c r="E30" i="49"/>
  <c r="C32" i="49"/>
  <c r="D32" i="49"/>
  <c r="E32" i="49"/>
  <c r="C33" i="49"/>
  <c r="D33" i="49"/>
  <c r="E33" i="49"/>
  <c r="C37" i="49"/>
  <c r="D37" i="49"/>
  <c r="E37" i="49"/>
  <c r="C38" i="49"/>
  <c r="D38" i="49"/>
  <c r="E38" i="49"/>
  <c r="C39" i="49"/>
  <c r="D39" i="49"/>
  <c r="E39" i="49"/>
  <c r="C40" i="49"/>
  <c r="D40" i="49"/>
  <c r="E40" i="49"/>
  <c r="B43" i="49"/>
  <c r="B44" i="49"/>
  <c r="C44" i="49"/>
  <c r="D44" i="49"/>
  <c r="E44" i="49"/>
  <c r="B46" i="49"/>
  <c r="C46" i="49"/>
  <c r="D46" i="49"/>
  <c r="E46" i="49"/>
  <c r="B47" i="49"/>
  <c r="C47" i="49"/>
  <c r="D47" i="49"/>
  <c r="E47" i="49"/>
  <c r="B48" i="49"/>
  <c r="C48" i="49"/>
  <c r="D48" i="49"/>
  <c r="E48" i="49"/>
  <c r="B51" i="49"/>
  <c r="C51" i="49"/>
  <c r="D51" i="49"/>
  <c r="E51" i="49"/>
  <c r="B52" i="49"/>
  <c r="C52" i="49"/>
  <c r="D52" i="49"/>
  <c r="E52" i="49"/>
  <c r="B53" i="49"/>
  <c r="C53" i="49"/>
  <c r="D53" i="49"/>
  <c r="E53" i="49"/>
  <c r="B54" i="49"/>
  <c r="C54" i="49"/>
  <c r="D54" i="49"/>
  <c r="E54" i="49"/>
  <c r="B55" i="49"/>
  <c r="C55" i="49"/>
  <c r="D55" i="49"/>
  <c r="E55" i="49"/>
  <c r="B56" i="49"/>
  <c r="C56" i="49"/>
  <c r="D56" i="49"/>
  <c r="E56" i="49"/>
  <c r="B57" i="49"/>
  <c r="C57" i="49"/>
  <c r="D57" i="49"/>
  <c r="E57" i="49"/>
  <c r="B58" i="49"/>
  <c r="C58" i="49"/>
  <c r="D58" i="49"/>
  <c r="E58" i="49"/>
  <c r="B62" i="49"/>
  <c r="B63" i="49"/>
  <c r="C63" i="49"/>
  <c r="D63" i="49"/>
  <c r="E63" i="49"/>
  <c r="B65" i="49"/>
  <c r="C65" i="49"/>
  <c r="D65" i="49"/>
  <c r="E65" i="49"/>
  <c r="B66" i="49"/>
  <c r="C66" i="49"/>
  <c r="D66" i="49"/>
  <c r="E66" i="49"/>
  <c r="C67" i="49"/>
  <c r="D67" i="49"/>
  <c r="E67" i="49"/>
  <c r="B70" i="49"/>
  <c r="B71" i="49"/>
  <c r="C71" i="49"/>
  <c r="D71" i="49"/>
  <c r="E71" i="49"/>
  <c r="B72" i="49"/>
  <c r="C72" i="49"/>
  <c r="D72" i="49"/>
  <c r="E72" i="49"/>
  <c r="B73" i="49"/>
  <c r="C73" i="49"/>
  <c r="D73" i="49"/>
  <c r="E73" i="49"/>
  <c r="B76" i="49"/>
  <c r="C76" i="49"/>
  <c r="D76" i="49"/>
  <c r="E76" i="49"/>
  <c r="C82" i="49"/>
  <c r="B87" i="49"/>
  <c r="C87" i="49"/>
  <c r="D87" i="49"/>
  <c r="E87" i="49"/>
  <c r="B90" i="49"/>
  <c r="C90" i="49"/>
  <c r="D90" i="49"/>
  <c r="E90" i="49"/>
  <c r="B91" i="49"/>
  <c r="C91" i="49"/>
  <c r="D91" i="49"/>
  <c r="E91" i="49"/>
  <c r="B93" i="49"/>
  <c r="C93" i="49"/>
  <c r="D93" i="49"/>
  <c r="E93" i="49"/>
  <c r="B96" i="49"/>
  <c r="C96" i="49"/>
  <c r="D96" i="49"/>
  <c r="E96" i="49"/>
  <c r="B97" i="49"/>
  <c r="C97" i="49"/>
  <c r="D97" i="49"/>
  <c r="E97" i="49"/>
  <c r="B98" i="49"/>
  <c r="C98" i="49"/>
  <c r="D98" i="49"/>
  <c r="E98" i="49"/>
  <c r="B99" i="49"/>
  <c r="C99" i="49"/>
  <c r="D99" i="49"/>
  <c r="E99" i="49"/>
  <c r="B100" i="49"/>
  <c r="C100" i="49"/>
  <c r="D100" i="49"/>
  <c r="E100" i="49"/>
  <c r="B101" i="49"/>
  <c r="C101" i="49"/>
  <c r="D101" i="49"/>
  <c r="E101" i="49"/>
  <c r="B102" i="49"/>
  <c r="C102" i="49"/>
  <c r="D102" i="49"/>
  <c r="E102" i="49"/>
  <c r="B103" i="49"/>
  <c r="C103" i="49"/>
  <c r="D103" i="49"/>
  <c r="E103" i="49"/>
  <c r="B107" i="49"/>
  <c r="C107" i="49"/>
  <c r="D107" i="49"/>
  <c r="E107" i="49"/>
  <c r="B108" i="49"/>
  <c r="C108" i="49"/>
  <c r="D108" i="49"/>
  <c r="E108" i="49"/>
  <c r="B109" i="49"/>
  <c r="C109" i="49"/>
  <c r="D109" i="49"/>
  <c r="E109" i="49"/>
  <c r="B110" i="49"/>
  <c r="C110" i="49"/>
  <c r="D110" i="49"/>
  <c r="E110" i="49"/>
  <c r="B111" i="49"/>
  <c r="C111" i="49"/>
  <c r="D111" i="49"/>
  <c r="E111" i="49"/>
  <c r="B112" i="49"/>
  <c r="C112" i="49"/>
  <c r="D112" i="49"/>
  <c r="E112" i="49"/>
  <c r="B113" i="49"/>
  <c r="C113" i="49"/>
  <c r="D113" i="49"/>
  <c r="E113" i="49"/>
  <c r="B114" i="49"/>
  <c r="C114" i="49"/>
  <c r="D114" i="49"/>
  <c r="E114" i="49"/>
  <c r="C117" i="49"/>
  <c r="D117" i="49"/>
  <c r="E117" i="49"/>
  <c r="C118" i="49"/>
  <c r="D118" i="49"/>
  <c r="E118" i="49"/>
  <c r="C119" i="49"/>
  <c r="D119" i="49"/>
  <c r="E119" i="49"/>
  <c r="C120" i="49"/>
  <c r="D120" i="49"/>
  <c r="E120" i="49"/>
  <c r="C123" i="49"/>
  <c r="D123" i="49"/>
  <c r="E123" i="49"/>
  <c r="C124" i="49"/>
  <c r="D124" i="49"/>
  <c r="E124" i="49"/>
  <c r="A127" i="49"/>
  <c r="C127" i="49"/>
  <c r="D127" i="49"/>
  <c r="E127" i="49"/>
  <c r="A128" i="49"/>
  <c r="C128" i="49"/>
  <c r="D128" i="49"/>
  <c r="E128" i="49"/>
  <c r="A129" i="49"/>
  <c r="C129" i="49"/>
  <c r="D129" i="49"/>
  <c r="E129" i="49"/>
  <c r="A130" i="49"/>
  <c r="C130" i="49"/>
  <c r="D130" i="49"/>
  <c r="E130" i="49"/>
  <c r="A131" i="49"/>
  <c r="C131" i="49"/>
  <c r="D131" i="49"/>
  <c r="E131" i="49"/>
  <c r="A132" i="49"/>
  <c r="C132" i="49"/>
  <c r="D132" i="49"/>
  <c r="E132" i="49"/>
  <c r="A133" i="49"/>
  <c r="C133" i="49"/>
  <c r="D133" i="49"/>
  <c r="E133" i="49"/>
  <c r="A134" i="49"/>
  <c r="C134" i="49"/>
  <c r="D134" i="49"/>
  <c r="E134" i="49"/>
  <c r="A135" i="49"/>
  <c r="C135" i="49"/>
  <c r="D135" i="49"/>
  <c r="E135" i="49"/>
  <c r="A136" i="49"/>
  <c r="C136" i="49"/>
  <c r="D136" i="49"/>
  <c r="E136" i="49"/>
  <c r="A137" i="49"/>
  <c r="C137" i="49"/>
  <c r="D137" i="49"/>
  <c r="E137" i="49"/>
  <c r="A138" i="49"/>
  <c r="C140" i="49"/>
  <c r="A3" i="9"/>
  <c r="A11" i="9"/>
  <c r="M1" i="10"/>
  <c r="A1" i="17" s="1"/>
  <c r="M2" i="10"/>
  <c r="M2" i="10" a="1"/>
  <c r="O2" i="10" s="1"/>
  <c r="M3" i="10"/>
  <c r="M4" i="10"/>
  <c r="M5" i="10"/>
  <c r="I2" i="14" s="1"/>
  <c r="S6" i="10"/>
  <c r="E9" i="10"/>
  <c r="E27" i="10"/>
  <c r="E41" i="10"/>
  <c r="J4" i="14"/>
  <c r="J5" i="14"/>
  <c r="A6" i="14"/>
  <c r="I7" i="14"/>
  <c r="E26" i="21" s="1"/>
  <c r="E28" i="21" s="1"/>
  <c r="L7" i="14"/>
  <c r="O7" i="14"/>
  <c r="R7" i="14"/>
  <c r="U7" i="14"/>
  <c r="I12" i="14"/>
  <c r="K12" i="14"/>
  <c r="P12" i="14" s="1"/>
  <c r="S12" i="14"/>
  <c r="V12" i="14"/>
  <c r="I13" i="14"/>
  <c r="K13" i="14"/>
  <c r="P13" i="14" s="1"/>
  <c r="S13" i="14"/>
  <c r="V13" i="14"/>
  <c r="I14" i="14"/>
  <c r="K14" i="14"/>
  <c r="M14" i="14"/>
  <c r="P14" i="14"/>
  <c r="S14" i="14"/>
  <c r="V14" i="14"/>
  <c r="I15" i="14"/>
  <c r="K15" i="14"/>
  <c r="P15" i="14" s="1"/>
  <c r="M15" i="14"/>
  <c r="S15" i="14"/>
  <c r="V15" i="14"/>
  <c r="I16" i="14"/>
  <c r="K16" i="14"/>
  <c r="P16" i="14" s="1"/>
  <c r="M16" i="14"/>
  <c r="S16" i="14"/>
  <c r="V16" i="14"/>
  <c r="I17" i="14"/>
  <c r="K17" i="14"/>
  <c r="M17" i="14"/>
  <c r="P17" i="14"/>
  <c r="S17" i="14"/>
  <c r="V17" i="14"/>
  <c r="I18" i="14"/>
  <c r="K18" i="14"/>
  <c r="P18" i="14" s="1"/>
  <c r="S18" i="14"/>
  <c r="V18" i="14"/>
  <c r="I19" i="14"/>
  <c r="K19" i="14"/>
  <c r="P19" i="14" s="1"/>
  <c r="M19" i="14"/>
  <c r="S19" i="14"/>
  <c r="V19" i="14"/>
  <c r="J20" i="14"/>
  <c r="L20" i="14"/>
  <c r="N20" i="14"/>
  <c r="Q20" i="14"/>
  <c r="T20" i="14"/>
  <c r="I21" i="14"/>
  <c r="K21" i="14"/>
  <c r="P21" i="14" s="1"/>
  <c r="N21" i="14"/>
  <c r="S21" i="14" s="1"/>
  <c r="Q21" i="14"/>
  <c r="V21" i="14" s="1"/>
  <c r="T21" i="14"/>
  <c r="U21" i="14" s="1"/>
  <c r="I23" i="14"/>
  <c r="K23" i="14"/>
  <c r="M23" i="14"/>
  <c r="P23" i="14"/>
  <c r="S23" i="14"/>
  <c r="V23" i="14"/>
  <c r="I26" i="14"/>
  <c r="K26" i="14"/>
  <c r="P26" i="14" s="1"/>
  <c r="S26" i="14"/>
  <c r="V26" i="14"/>
  <c r="I27" i="14"/>
  <c r="K27" i="14"/>
  <c r="P27" i="14" s="1"/>
  <c r="M27" i="14"/>
  <c r="S27" i="14"/>
  <c r="V27" i="14"/>
  <c r="I28" i="14"/>
  <c r="K28" i="14"/>
  <c r="P28" i="14" s="1"/>
  <c r="M28" i="14"/>
  <c r="S28" i="14"/>
  <c r="V28" i="14"/>
  <c r="I29" i="14"/>
  <c r="K29" i="14"/>
  <c r="M29" i="14"/>
  <c r="P29" i="14"/>
  <c r="S29" i="14"/>
  <c r="V29" i="14"/>
  <c r="I30" i="14"/>
  <c r="K30" i="14"/>
  <c r="P30" i="14" s="1"/>
  <c r="M30" i="14"/>
  <c r="S30" i="14"/>
  <c r="V30" i="14"/>
  <c r="I31" i="14"/>
  <c r="K31" i="14"/>
  <c r="P31" i="14" s="1"/>
  <c r="M31" i="14"/>
  <c r="S31" i="14"/>
  <c r="V31" i="14"/>
  <c r="I32" i="14"/>
  <c r="K32" i="14"/>
  <c r="P32" i="14" s="1"/>
  <c r="M32" i="14"/>
  <c r="S32" i="14"/>
  <c r="V32" i="14"/>
  <c r="I33" i="14"/>
  <c r="K33" i="14"/>
  <c r="P33" i="14"/>
  <c r="S33" i="14"/>
  <c r="V33" i="14"/>
  <c r="I34" i="14"/>
  <c r="J34" i="14"/>
  <c r="K34" i="14"/>
  <c r="L34" i="14"/>
  <c r="N34" i="14"/>
  <c r="Q34" i="14"/>
  <c r="T34" i="14"/>
  <c r="I35" i="14"/>
  <c r="K35" i="14"/>
  <c r="P35" i="14" s="1"/>
  <c r="N35" i="14"/>
  <c r="Q35" i="14"/>
  <c r="R35" i="14" s="1"/>
  <c r="T35" i="14"/>
  <c r="U35" i="14" s="1"/>
  <c r="V35" i="14"/>
  <c r="I39" i="14"/>
  <c r="K39" i="14"/>
  <c r="P39" i="14" s="1"/>
  <c r="S39" i="14"/>
  <c r="V39" i="14"/>
  <c r="I40" i="14"/>
  <c r="K40" i="14"/>
  <c r="P40" i="14" s="1"/>
  <c r="M40" i="14"/>
  <c r="S40" i="14"/>
  <c r="V40" i="14"/>
  <c r="I41" i="14"/>
  <c r="K41" i="14"/>
  <c r="P41" i="14" s="1"/>
  <c r="S41" i="14"/>
  <c r="V41" i="14"/>
  <c r="I42" i="14"/>
  <c r="K42" i="14"/>
  <c r="P42" i="14" s="1"/>
  <c r="M42" i="14"/>
  <c r="S42" i="14"/>
  <c r="V42" i="14"/>
  <c r="I43" i="14"/>
  <c r="K43" i="14"/>
  <c r="P43" i="14" s="1"/>
  <c r="S43" i="14"/>
  <c r="V43" i="14"/>
  <c r="I44" i="14"/>
  <c r="K44" i="14"/>
  <c r="P44" i="14" s="1"/>
  <c r="M44" i="14"/>
  <c r="S44" i="14"/>
  <c r="V44" i="14"/>
  <c r="I45" i="14"/>
  <c r="K45" i="14"/>
  <c r="M45" i="14"/>
  <c r="P45" i="14"/>
  <c r="S45" i="14"/>
  <c r="V45" i="14"/>
  <c r="I46" i="14"/>
  <c r="K46" i="14"/>
  <c r="P46" i="14" s="1"/>
  <c r="M46" i="14"/>
  <c r="S46" i="14"/>
  <c r="V46" i="14"/>
  <c r="J47" i="14"/>
  <c r="L47" i="14"/>
  <c r="N47" i="14"/>
  <c r="Q47" i="14"/>
  <c r="T47" i="14"/>
  <c r="K48" i="14"/>
  <c r="P48" i="14" s="1"/>
  <c r="N48" i="14"/>
  <c r="S48" i="14" s="1"/>
  <c r="Q48" i="14"/>
  <c r="T48" i="14"/>
  <c r="U48" i="14" s="1"/>
  <c r="I52" i="14"/>
  <c r="K52" i="14"/>
  <c r="P52" i="14" s="1"/>
  <c r="M52" i="14"/>
  <c r="S52" i="14"/>
  <c r="V52" i="14"/>
  <c r="I53" i="14"/>
  <c r="K53" i="14"/>
  <c r="P53" i="14" s="1"/>
  <c r="M53" i="14"/>
  <c r="S53" i="14"/>
  <c r="V53" i="14"/>
  <c r="I54" i="14"/>
  <c r="K54" i="14"/>
  <c r="P54" i="14" s="1"/>
  <c r="M54" i="14"/>
  <c r="S54" i="14"/>
  <c r="V54" i="14"/>
  <c r="I55" i="14"/>
  <c r="K55" i="14"/>
  <c r="M55" i="14"/>
  <c r="P55" i="14"/>
  <c r="S55" i="14"/>
  <c r="V55" i="14"/>
  <c r="I56" i="14"/>
  <c r="K56" i="14"/>
  <c r="P56" i="14" s="1"/>
  <c r="M56" i="14"/>
  <c r="S56" i="14"/>
  <c r="V56" i="14"/>
  <c r="I57" i="14"/>
  <c r="K57" i="14"/>
  <c r="P57" i="14" s="1"/>
  <c r="S57" i="14"/>
  <c r="V57" i="14"/>
  <c r="I58" i="14"/>
  <c r="K58" i="14"/>
  <c r="P58" i="14" s="1"/>
  <c r="M58" i="14"/>
  <c r="S58" i="14"/>
  <c r="V58" i="14"/>
  <c r="I59" i="14"/>
  <c r="K59" i="14"/>
  <c r="P59" i="14" s="1"/>
  <c r="S59" i="14"/>
  <c r="V59" i="14"/>
  <c r="I60" i="14"/>
  <c r="J60" i="14"/>
  <c r="K60" i="14"/>
  <c r="L60" i="14"/>
  <c r="N60" i="14"/>
  <c r="Q60" i="14"/>
  <c r="T60" i="14"/>
  <c r="U62" i="14"/>
  <c r="K61" i="14"/>
  <c r="P61" i="14" s="1"/>
  <c r="N61" i="14"/>
  <c r="N62" i="14" s="1"/>
  <c r="Q61" i="14"/>
  <c r="R61" i="14" s="1"/>
  <c r="T61" i="14"/>
  <c r="U61" i="14" s="1"/>
  <c r="K65" i="14"/>
  <c r="N65" i="14"/>
  <c r="Q65" i="14"/>
  <c r="T65" i="14"/>
  <c r="N66" i="14"/>
  <c r="S66" i="14" s="1"/>
  <c r="Q66" i="14"/>
  <c r="T66" i="14"/>
  <c r="I67" i="14"/>
  <c r="N67" i="14"/>
  <c r="S67" i="14" s="1"/>
  <c r="Q67" i="14"/>
  <c r="V67" i="14" s="1"/>
  <c r="T67" i="14"/>
  <c r="I68" i="14"/>
  <c r="M68" i="14"/>
  <c r="N68" i="14"/>
  <c r="S68" i="14" s="1"/>
  <c r="Q68" i="14"/>
  <c r="V68" i="14" s="1"/>
  <c r="T68" i="14"/>
  <c r="K69" i="14"/>
  <c r="N69" i="14"/>
  <c r="Q69" i="14"/>
  <c r="T69" i="14"/>
  <c r="N70" i="14"/>
  <c r="Q70" i="14"/>
  <c r="V70" i="14" s="1"/>
  <c r="S70" i="14"/>
  <c r="T70" i="14"/>
  <c r="I71" i="14"/>
  <c r="K71" i="14"/>
  <c r="P71" i="14" s="1"/>
  <c r="N71" i="14"/>
  <c r="Q71" i="14"/>
  <c r="S71" i="14"/>
  <c r="T71" i="14"/>
  <c r="V71" i="14"/>
  <c r="I72" i="14"/>
  <c r="K72" i="14"/>
  <c r="P72" i="14" s="1"/>
  <c r="M72" i="14"/>
  <c r="N72" i="14"/>
  <c r="Q72" i="14"/>
  <c r="S72" i="14"/>
  <c r="T72" i="14"/>
  <c r="V72" i="14"/>
  <c r="J73" i="14"/>
  <c r="L73" i="14"/>
  <c r="I76" i="14"/>
  <c r="K76" i="14"/>
  <c r="A4" i="21"/>
  <c r="A5" i="21"/>
  <c r="G6" i="21"/>
  <c r="E12" i="15" s="1"/>
  <c r="I9" i="21"/>
  <c r="K9" i="21"/>
  <c r="I10" i="21"/>
  <c r="K10" i="21"/>
  <c r="I11" i="21"/>
  <c r="K11" i="21"/>
  <c r="I16" i="21"/>
  <c r="K16" i="21"/>
  <c r="I17" i="21"/>
  <c r="K17" i="21"/>
  <c r="I24" i="21"/>
  <c r="K24" i="21"/>
  <c r="G25" i="21"/>
  <c r="H25" i="21"/>
  <c r="J25" i="21"/>
  <c r="I27" i="21"/>
  <c r="K27" i="21"/>
  <c r="I31" i="21"/>
  <c r="K31" i="21"/>
  <c r="I32" i="21"/>
  <c r="K32" i="21"/>
  <c r="I33" i="21"/>
  <c r="K33" i="21"/>
  <c r="G34" i="21"/>
  <c r="H34" i="21"/>
  <c r="J34" i="21"/>
  <c r="I35" i="21"/>
  <c r="K35" i="21"/>
  <c r="I36" i="21"/>
  <c r="K36" i="21"/>
  <c r="I37" i="21"/>
  <c r="K37" i="21"/>
  <c r="I38" i="21"/>
  <c r="K38" i="21"/>
  <c r="I39" i="21"/>
  <c r="K39" i="21"/>
  <c r="I41" i="21"/>
  <c r="K41" i="21"/>
  <c r="I42" i="21"/>
  <c r="K42" i="21"/>
  <c r="I43" i="21"/>
  <c r="K43" i="21"/>
  <c r="I51" i="21"/>
  <c r="K51" i="21"/>
  <c r="I52" i="21"/>
  <c r="K52" i="21"/>
  <c r="I53" i="21"/>
  <c r="K53" i="21"/>
  <c r="I54" i="21"/>
  <c r="K54" i="21"/>
  <c r="I55" i="21"/>
  <c r="K55" i="21"/>
  <c r="I57" i="21"/>
  <c r="K57" i="21"/>
  <c r="I58" i="21"/>
  <c r="K58" i="21"/>
  <c r="I59" i="21"/>
  <c r="K59" i="21"/>
  <c r="I67" i="21"/>
  <c r="K67" i="21"/>
  <c r="I68" i="21"/>
  <c r="K68" i="21"/>
  <c r="I69" i="21"/>
  <c r="K69" i="21"/>
  <c r="I70" i="21"/>
  <c r="K70" i="21"/>
  <c r="I73" i="21"/>
  <c r="K73" i="21"/>
  <c r="I74" i="21"/>
  <c r="K74" i="21"/>
  <c r="I75" i="21"/>
  <c r="K75" i="21"/>
  <c r="I76" i="21"/>
  <c r="K76" i="21"/>
  <c r="I83" i="21"/>
  <c r="K83" i="21"/>
  <c r="I84" i="21"/>
  <c r="K84" i="21"/>
  <c r="I87" i="21"/>
  <c r="K87" i="21"/>
  <c r="I88" i="21"/>
  <c r="K88" i="21"/>
  <c r="I89" i="21"/>
  <c r="K89" i="21"/>
  <c r="I90" i="21"/>
  <c r="K90" i="21"/>
  <c r="I91" i="21"/>
  <c r="K91" i="21"/>
  <c r="I92" i="21"/>
  <c r="K92" i="21"/>
  <c r="I93" i="21"/>
  <c r="K93" i="21"/>
  <c r="I94" i="21"/>
  <c r="K94" i="21"/>
  <c r="D4" i="17"/>
  <c r="A6" i="17"/>
  <c r="G7" i="17"/>
  <c r="I7" i="17"/>
  <c r="K7" i="17"/>
  <c r="E10" i="17"/>
  <c r="G10" i="17"/>
  <c r="F10" i="17"/>
  <c r="G13" i="17"/>
  <c r="G13" i="2" s="1"/>
  <c r="I13" i="17"/>
  <c r="I13" i="2" s="1"/>
  <c r="K13" i="17"/>
  <c r="E70" i="50" s="1"/>
  <c r="E14" i="17"/>
  <c r="B71" i="50" s="1"/>
  <c r="J14" i="17"/>
  <c r="L14" i="17"/>
  <c r="E15" i="17"/>
  <c r="B72" i="50" s="1"/>
  <c r="H15" i="17"/>
  <c r="J15" i="17"/>
  <c r="L15" i="17"/>
  <c r="E16" i="17"/>
  <c r="B73" i="50" s="1"/>
  <c r="J16" i="17"/>
  <c r="L16" i="17"/>
  <c r="E23" i="17"/>
  <c r="J23" i="17"/>
  <c r="L23" i="17"/>
  <c r="E25" i="17"/>
  <c r="H25" i="17" s="1"/>
  <c r="E29" i="17"/>
  <c r="H29" i="17" s="1"/>
  <c r="J29" i="17"/>
  <c r="L29" i="17"/>
  <c r="E30" i="17"/>
  <c r="B97" i="50" s="1"/>
  <c r="J30" i="17"/>
  <c r="L30" i="17"/>
  <c r="E31" i="17"/>
  <c r="J31" i="17"/>
  <c r="L31" i="17"/>
  <c r="E32" i="17"/>
  <c r="H32" i="17" s="1"/>
  <c r="J32" i="17"/>
  <c r="L32" i="17"/>
  <c r="E33" i="17"/>
  <c r="H33" i="17" s="1"/>
  <c r="J33" i="17"/>
  <c r="L33" i="17"/>
  <c r="E34" i="17"/>
  <c r="H34" i="17" s="1"/>
  <c r="J34" i="17"/>
  <c r="L34" i="17"/>
  <c r="E35" i="17"/>
  <c r="J35" i="17"/>
  <c r="L35" i="17"/>
  <c r="E36" i="17"/>
  <c r="H36" i="17" s="1"/>
  <c r="J36" i="17"/>
  <c r="L36" i="17"/>
  <c r="F37" i="17"/>
  <c r="G37" i="17"/>
  <c r="C82" i="50" s="1"/>
  <c r="I37" i="17"/>
  <c r="K37" i="17"/>
  <c r="E82" i="50" s="1"/>
  <c r="E42" i="17"/>
  <c r="H42" i="17" s="1"/>
  <c r="J42" i="17"/>
  <c r="L42" i="17"/>
  <c r="E43" i="17"/>
  <c r="H43" i="17" s="1"/>
  <c r="J43" i="17"/>
  <c r="L43" i="17"/>
  <c r="F44" i="17"/>
  <c r="G44" i="17"/>
  <c r="I44" i="17"/>
  <c r="K44" i="17"/>
  <c r="F50" i="17"/>
  <c r="E59" i="17"/>
  <c r="J59" i="17"/>
  <c r="L59" i="17"/>
  <c r="E60" i="17"/>
  <c r="B52" i="50" s="1"/>
  <c r="J60" i="17"/>
  <c r="L60" i="17"/>
  <c r="E61" i="17"/>
  <c r="B53" i="50"/>
  <c r="J61" i="17"/>
  <c r="L61" i="17"/>
  <c r="E62" i="17"/>
  <c r="B54" i="50" s="1"/>
  <c r="J62" i="17"/>
  <c r="L62" i="17"/>
  <c r="E65" i="17"/>
  <c r="E65" i="2"/>
  <c r="H65" i="2" s="1"/>
  <c r="J65" i="17"/>
  <c r="L65" i="17"/>
  <c r="E66" i="17"/>
  <c r="B56" i="50" s="1"/>
  <c r="H66" i="17"/>
  <c r="J66" i="17"/>
  <c r="L66" i="17"/>
  <c r="E67" i="17"/>
  <c r="J67" i="17"/>
  <c r="L67" i="17"/>
  <c r="E69" i="17"/>
  <c r="H69" i="17" s="1"/>
  <c r="J69" i="17"/>
  <c r="L69" i="17"/>
  <c r="E75" i="17"/>
  <c r="H75" i="17" s="1"/>
  <c r="J75" i="17"/>
  <c r="L75" i="17"/>
  <c r="E76" i="17"/>
  <c r="H76" i="17" s="1"/>
  <c r="J76" i="17"/>
  <c r="L76" i="17"/>
  <c r="E77" i="17"/>
  <c r="H77" i="17" s="1"/>
  <c r="J77" i="17"/>
  <c r="L77" i="17"/>
  <c r="E78" i="17"/>
  <c r="H78" i="17" s="1"/>
  <c r="J78" i="17"/>
  <c r="L78" i="17"/>
  <c r="E79" i="17"/>
  <c r="H79" i="17" s="1"/>
  <c r="J79" i="17"/>
  <c r="L79" i="17"/>
  <c r="E80" i="17"/>
  <c r="H80" i="17" s="1"/>
  <c r="J80" i="17"/>
  <c r="L80" i="17"/>
  <c r="E81" i="17"/>
  <c r="H81" i="17" s="1"/>
  <c r="J81" i="17"/>
  <c r="L81" i="17"/>
  <c r="E82" i="17"/>
  <c r="H82" i="17" s="1"/>
  <c r="J82" i="17"/>
  <c r="L82" i="17"/>
  <c r="E83" i="17"/>
  <c r="H83" i="17" s="1"/>
  <c r="J83" i="17"/>
  <c r="L83" i="17"/>
  <c r="E84" i="17"/>
  <c r="H84" i="17" s="1"/>
  <c r="F84" i="17"/>
  <c r="F17" i="17" s="1"/>
  <c r="G84" i="17"/>
  <c r="J84" i="17" s="1"/>
  <c r="I84" i="17"/>
  <c r="I17" i="17" s="1"/>
  <c r="L17" i="17"/>
  <c r="K84" i="17"/>
  <c r="K17" i="17" s="1"/>
  <c r="G86" i="17"/>
  <c r="F86" i="41" s="1"/>
  <c r="I86" i="17"/>
  <c r="K86" i="17"/>
  <c r="H87" i="17"/>
  <c r="E90" i="17"/>
  <c r="H90" i="17"/>
  <c r="J90" i="17"/>
  <c r="L90" i="17"/>
  <c r="E91" i="17"/>
  <c r="H91" i="17" s="1"/>
  <c r="J91" i="17"/>
  <c r="L91" i="17"/>
  <c r="E92" i="17"/>
  <c r="H92" i="17" s="1"/>
  <c r="J92" i="17"/>
  <c r="L92" i="17"/>
  <c r="E93" i="17"/>
  <c r="H93" i="17" s="1"/>
  <c r="J93" i="17"/>
  <c r="L93" i="17"/>
  <c r="E94" i="17"/>
  <c r="H94" i="17"/>
  <c r="J94" i="17"/>
  <c r="L94" i="17"/>
  <c r="E95" i="17"/>
  <c r="H95" i="17" s="1"/>
  <c r="J95" i="17"/>
  <c r="L95" i="17"/>
  <c r="E96" i="17"/>
  <c r="H96" i="17" s="1"/>
  <c r="J96" i="17"/>
  <c r="L96" i="17"/>
  <c r="E97" i="17"/>
  <c r="H97" i="17" s="1"/>
  <c r="J97" i="17"/>
  <c r="L97" i="17"/>
  <c r="E98" i="17"/>
  <c r="H98" i="17" s="1"/>
  <c r="J98" i="17"/>
  <c r="L98" i="17"/>
  <c r="E99" i="17"/>
  <c r="H99" i="17" s="1"/>
  <c r="J99" i="17"/>
  <c r="L99" i="17"/>
  <c r="E100" i="17"/>
  <c r="H100" i="17"/>
  <c r="J100" i="17"/>
  <c r="L100" i="17"/>
  <c r="E101" i="17"/>
  <c r="H101" i="17" s="1"/>
  <c r="J101" i="17"/>
  <c r="L101" i="17"/>
  <c r="E102" i="17"/>
  <c r="H102" i="17" s="1"/>
  <c r="J102" i="17"/>
  <c r="L102" i="17"/>
  <c r="E103" i="17"/>
  <c r="H103" i="17" s="1"/>
  <c r="J103" i="17"/>
  <c r="L103" i="17"/>
  <c r="E104" i="17"/>
  <c r="H104" i="17"/>
  <c r="J104" i="17"/>
  <c r="L104" i="17"/>
  <c r="E105" i="17"/>
  <c r="H105" i="17" s="1"/>
  <c r="J105" i="17"/>
  <c r="L105" i="17"/>
  <c r="E106" i="17"/>
  <c r="H106" i="17"/>
  <c r="J106" i="17"/>
  <c r="L106" i="17"/>
  <c r="E107" i="17"/>
  <c r="H107" i="17" s="1"/>
  <c r="J107" i="17"/>
  <c r="L107" i="17"/>
  <c r="F108" i="17"/>
  <c r="F21" i="17" s="1"/>
  <c r="G108" i="17"/>
  <c r="I108" i="17"/>
  <c r="I21" i="17" s="1"/>
  <c r="L21" i="17" s="1"/>
  <c r="K108" i="17"/>
  <c r="K21" i="17" s="1"/>
  <c r="E111" i="17"/>
  <c r="H111" i="17" s="1"/>
  <c r="J111" i="17"/>
  <c r="L111" i="17"/>
  <c r="E112" i="17"/>
  <c r="H112" i="17" s="1"/>
  <c r="J112" i="17"/>
  <c r="L112" i="17"/>
  <c r="E113" i="17"/>
  <c r="H113" i="17" s="1"/>
  <c r="J113" i="17"/>
  <c r="L113" i="17"/>
  <c r="E114" i="17"/>
  <c r="H114" i="17" s="1"/>
  <c r="J114" i="17"/>
  <c r="L114" i="17"/>
  <c r="E115" i="17"/>
  <c r="H115" i="17" s="1"/>
  <c r="J115" i="17"/>
  <c r="L115" i="17"/>
  <c r="E116" i="17"/>
  <c r="H116" i="17" s="1"/>
  <c r="J116" i="17"/>
  <c r="L116" i="17"/>
  <c r="E117" i="17"/>
  <c r="H117" i="17" s="1"/>
  <c r="F117" i="17"/>
  <c r="F25" i="17" s="1"/>
  <c r="G117" i="17"/>
  <c r="J117" i="17" s="1"/>
  <c r="I117" i="17"/>
  <c r="I25" i="17" s="1"/>
  <c r="K117" i="17"/>
  <c r="K25" i="17" s="1"/>
  <c r="K25" i="2" s="1"/>
  <c r="A3" i="16"/>
  <c r="D4" i="16"/>
  <c r="A6" i="16"/>
  <c r="G7" i="16"/>
  <c r="I7" i="16"/>
  <c r="K7" i="16"/>
  <c r="E10" i="16"/>
  <c r="F10" i="16"/>
  <c r="F10" i="2" s="1"/>
  <c r="E23" i="16"/>
  <c r="H23" i="16" s="1"/>
  <c r="J23" i="16"/>
  <c r="L23" i="16"/>
  <c r="L24" i="16"/>
  <c r="E29" i="16"/>
  <c r="E29" i="2" s="1"/>
  <c r="H29" i="16"/>
  <c r="J29" i="16"/>
  <c r="L29" i="16"/>
  <c r="E30" i="16"/>
  <c r="J30" i="16"/>
  <c r="L30" i="16"/>
  <c r="E31" i="16"/>
  <c r="H31" i="16" s="1"/>
  <c r="J31" i="16"/>
  <c r="L31" i="16"/>
  <c r="E32" i="16"/>
  <c r="B110" i="50" s="1"/>
  <c r="J32" i="16"/>
  <c r="L32" i="16"/>
  <c r="E33" i="16"/>
  <c r="B111" i="50"/>
  <c r="J33" i="16"/>
  <c r="L33" i="16"/>
  <c r="E34" i="16"/>
  <c r="B112" i="50" s="1"/>
  <c r="J34" i="16"/>
  <c r="L34" i="16"/>
  <c r="E35" i="16"/>
  <c r="J35" i="16"/>
  <c r="L35" i="16"/>
  <c r="E36" i="16"/>
  <c r="B114" i="50" s="1"/>
  <c r="J36" i="16"/>
  <c r="L36" i="16"/>
  <c r="F37" i="16"/>
  <c r="G37" i="16"/>
  <c r="I37" i="16"/>
  <c r="K37" i="16"/>
  <c r="E115" i="50" s="1"/>
  <c r="E42" i="16"/>
  <c r="H42" i="16" s="1"/>
  <c r="J42" i="16"/>
  <c r="L42" i="16"/>
  <c r="E43" i="16"/>
  <c r="H43" i="16"/>
  <c r="J43" i="16"/>
  <c r="L43" i="16"/>
  <c r="F44" i="16"/>
  <c r="G44" i="16"/>
  <c r="J44" i="16" s="1"/>
  <c r="I44" i="16"/>
  <c r="L44" i="16" s="1"/>
  <c r="K44" i="16"/>
  <c r="F50" i="16"/>
  <c r="E53" i="16"/>
  <c r="E93" i="16"/>
  <c r="H93" i="16" s="1"/>
  <c r="J93" i="16"/>
  <c r="L93" i="16"/>
  <c r="H94" i="16"/>
  <c r="J94" i="16"/>
  <c r="L94" i="16"/>
  <c r="H106" i="16"/>
  <c r="J106" i="16"/>
  <c r="L106" i="16"/>
  <c r="J107" i="16"/>
  <c r="L107" i="16"/>
  <c r="H108" i="16"/>
  <c r="J108" i="16"/>
  <c r="L108" i="16"/>
  <c r="H109" i="16"/>
  <c r="J109" i="16"/>
  <c r="L109" i="16"/>
  <c r="H110" i="16"/>
  <c r="J110" i="16"/>
  <c r="L110" i="16"/>
  <c r="H111" i="16"/>
  <c r="J111" i="16"/>
  <c r="L111" i="16"/>
  <c r="H112" i="16"/>
  <c r="J112" i="16"/>
  <c r="L112" i="16"/>
  <c r="F113" i="16"/>
  <c r="F17" i="16" s="1"/>
  <c r="G113" i="16"/>
  <c r="G17" i="16" s="1"/>
  <c r="I113" i="16"/>
  <c r="K113" i="16"/>
  <c r="K17" i="16"/>
  <c r="G115" i="16"/>
  <c r="F115" i="42" s="1"/>
  <c r="I115" i="16"/>
  <c r="K115" i="16"/>
  <c r="E119" i="16"/>
  <c r="H119" i="16" s="1"/>
  <c r="J119" i="16"/>
  <c r="L119" i="16"/>
  <c r="E120" i="16"/>
  <c r="J120" i="16"/>
  <c r="L120" i="16"/>
  <c r="E121" i="16"/>
  <c r="H121" i="16" s="1"/>
  <c r="J121" i="16"/>
  <c r="L121" i="16"/>
  <c r="E122" i="16"/>
  <c r="H122" i="16"/>
  <c r="J122" i="16"/>
  <c r="L122" i="16"/>
  <c r="E123" i="16"/>
  <c r="H123" i="16" s="1"/>
  <c r="J123" i="16"/>
  <c r="L123" i="16"/>
  <c r="E124" i="16"/>
  <c r="H124" i="16"/>
  <c r="J124" i="16"/>
  <c r="L124" i="16"/>
  <c r="E125" i="16"/>
  <c r="H125" i="16" s="1"/>
  <c r="J125" i="16"/>
  <c r="L125" i="16"/>
  <c r="E126" i="16"/>
  <c r="H126" i="16"/>
  <c r="J126" i="16"/>
  <c r="L126" i="16"/>
  <c r="E127" i="16"/>
  <c r="H127" i="16" s="1"/>
  <c r="J127" i="16"/>
  <c r="L127" i="16"/>
  <c r="E128" i="16"/>
  <c r="H128" i="16"/>
  <c r="J128" i="16"/>
  <c r="L128" i="16"/>
  <c r="E129" i="16"/>
  <c r="H129" i="16" s="1"/>
  <c r="J129" i="16"/>
  <c r="L129" i="16"/>
  <c r="E130" i="16"/>
  <c r="H130" i="16"/>
  <c r="J130" i="16"/>
  <c r="L130" i="16"/>
  <c r="E131" i="16"/>
  <c r="H131" i="16" s="1"/>
  <c r="J131" i="16"/>
  <c r="L131" i="16"/>
  <c r="E132" i="16"/>
  <c r="H132" i="16"/>
  <c r="J132" i="16"/>
  <c r="L132" i="16"/>
  <c r="E133" i="16"/>
  <c r="H133" i="16" s="1"/>
  <c r="J133" i="16"/>
  <c r="L133" i="16"/>
  <c r="E134" i="16"/>
  <c r="H134" i="16"/>
  <c r="J134" i="16"/>
  <c r="L134" i="16"/>
  <c r="E135" i="16"/>
  <c r="H135" i="16" s="1"/>
  <c r="J135" i="16"/>
  <c r="L135" i="16"/>
  <c r="E136" i="16"/>
  <c r="H136" i="16"/>
  <c r="J136" i="16"/>
  <c r="L136" i="16"/>
  <c r="F137" i="16"/>
  <c r="F21" i="16" s="1"/>
  <c r="G137" i="16"/>
  <c r="G21" i="16"/>
  <c r="I137" i="16"/>
  <c r="K137" i="16"/>
  <c r="K21" i="16" s="1"/>
  <c r="E140" i="16"/>
  <c r="H140" i="16" s="1"/>
  <c r="J140" i="16"/>
  <c r="L140" i="16"/>
  <c r="E141" i="16"/>
  <c r="H141" i="16"/>
  <c r="J141" i="16"/>
  <c r="L141" i="16"/>
  <c r="E142" i="16"/>
  <c r="H142" i="16" s="1"/>
  <c r="J142" i="16"/>
  <c r="L142" i="16"/>
  <c r="E143" i="16"/>
  <c r="H143" i="16"/>
  <c r="J143" i="16"/>
  <c r="L143" i="16"/>
  <c r="E144" i="16"/>
  <c r="H144" i="16" s="1"/>
  <c r="J144" i="16"/>
  <c r="L144" i="16"/>
  <c r="E145" i="16"/>
  <c r="H145" i="16"/>
  <c r="J145" i="16"/>
  <c r="L145" i="16"/>
  <c r="F146" i="16"/>
  <c r="F25" i="16" s="1"/>
  <c r="G146" i="16"/>
  <c r="G25" i="16" s="1"/>
  <c r="I146" i="16"/>
  <c r="K146" i="16"/>
  <c r="K25" i="16" s="1"/>
  <c r="A3" i="2"/>
  <c r="D4" i="2"/>
  <c r="A6" i="2"/>
  <c r="G7" i="2"/>
  <c r="I7" i="2"/>
  <c r="K7" i="2"/>
  <c r="F13" i="2"/>
  <c r="F14" i="2"/>
  <c r="G14" i="2"/>
  <c r="I14" i="2"/>
  <c r="AE11" i="38"/>
  <c r="V11" i="38" s="1"/>
  <c r="K14" i="2"/>
  <c r="E15" i="2"/>
  <c r="H15" i="2" s="1"/>
  <c r="F15" i="2"/>
  <c r="G15" i="2"/>
  <c r="J15" i="2" s="1"/>
  <c r="I15" i="2"/>
  <c r="L15" i="2" s="1"/>
  <c r="K15" i="2"/>
  <c r="F16" i="2"/>
  <c r="G16" i="2"/>
  <c r="I16" i="2"/>
  <c r="AE13" i="38" s="1"/>
  <c r="K16" i="2"/>
  <c r="F19" i="2"/>
  <c r="F20" i="2"/>
  <c r="F23" i="2"/>
  <c r="G23" i="2"/>
  <c r="AE20" i="37"/>
  <c r="J23" i="2"/>
  <c r="I23" i="2"/>
  <c r="L23" i="2"/>
  <c r="K23" i="2"/>
  <c r="F24" i="2"/>
  <c r="I24" i="2"/>
  <c r="AE21" i="38" s="1"/>
  <c r="T21" i="38" s="1"/>
  <c r="K24" i="2"/>
  <c r="F29" i="2"/>
  <c r="G29" i="2"/>
  <c r="J29" i="2" s="1"/>
  <c r="I29" i="2"/>
  <c r="AE26" i="38" s="1"/>
  <c r="K29" i="2"/>
  <c r="F30" i="2"/>
  <c r="G30" i="2"/>
  <c r="I30" i="2"/>
  <c r="AE27" i="38" s="1"/>
  <c r="K30" i="2"/>
  <c r="F31" i="2"/>
  <c r="G31" i="2"/>
  <c r="E28" i="37" s="1"/>
  <c r="G28" i="37" s="1"/>
  <c r="I28" i="37" s="1"/>
  <c r="K28" i="37" s="1"/>
  <c r="M28" i="37" s="1"/>
  <c r="O28" i="37" s="1"/>
  <c r="Q28" i="37" s="1"/>
  <c r="S28" i="37" s="1"/>
  <c r="U28" i="37" s="1"/>
  <c r="W28" i="37" s="1"/>
  <c r="Y28" i="37" s="1"/>
  <c r="AA28" i="37" s="1"/>
  <c r="I31" i="2"/>
  <c r="L31" i="2" s="1"/>
  <c r="K31" i="2"/>
  <c r="F32" i="2"/>
  <c r="G32" i="2"/>
  <c r="J32" i="2"/>
  <c r="I32" i="2"/>
  <c r="AE29" i="38" s="1"/>
  <c r="K32" i="2"/>
  <c r="F33" i="2"/>
  <c r="G33" i="2"/>
  <c r="J33" i="2" s="1"/>
  <c r="I33" i="2"/>
  <c r="K33" i="2"/>
  <c r="F34" i="2"/>
  <c r="G34" i="2"/>
  <c r="E31" i="37" s="1"/>
  <c r="G31" i="37" s="1"/>
  <c r="I31" i="37" s="1"/>
  <c r="K31" i="37" s="1"/>
  <c r="M31" i="37" s="1"/>
  <c r="O31" i="37" s="1"/>
  <c r="Q31" i="37" s="1"/>
  <c r="S31" i="37" s="1"/>
  <c r="U31" i="37" s="1"/>
  <c r="W31" i="37" s="1"/>
  <c r="Y31" i="37" s="1"/>
  <c r="AA31" i="37" s="1"/>
  <c r="I34" i="2"/>
  <c r="AE31" i="38" s="1"/>
  <c r="K34" i="2"/>
  <c r="F35" i="2"/>
  <c r="G35" i="2"/>
  <c r="AE32" i="37" s="1"/>
  <c r="I35" i="2"/>
  <c r="K35" i="2"/>
  <c r="F36" i="2"/>
  <c r="G36" i="2"/>
  <c r="AE33" i="37" s="1"/>
  <c r="J36" i="2"/>
  <c r="I36" i="2"/>
  <c r="L36" i="2" s="1"/>
  <c r="K36" i="2"/>
  <c r="F42" i="2"/>
  <c r="G42" i="2"/>
  <c r="I42" i="2"/>
  <c r="K42" i="2"/>
  <c r="F43" i="2"/>
  <c r="G43" i="2"/>
  <c r="AE38" i="37" s="1"/>
  <c r="I43" i="2"/>
  <c r="AE38" i="38" s="1"/>
  <c r="K43" i="2"/>
  <c r="L49" i="2"/>
  <c r="G50" i="2"/>
  <c r="B51" i="2"/>
  <c r="F52" i="2"/>
  <c r="G52" i="2"/>
  <c r="F53" i="2"/>
  <c r="G53" i="2"/>
  <c r="B54" i="2"/>
  <c r="E54" i="2"/>
  <c r="H54" i="2" s="1"/>
  <c r="F59" i="2"/>
  <c r="G59" i="2"/>
  <c r="J59" i="2" s="1"/>
  <c r="I59" i="2"/>
  <c r="L59" i="2" s="1"/>
  <c r="K59" i="2"/>
  <c r="E60" i="2"/>
  <c r="H60" i="2" s="1"/>
  <c r="F60" i="2"/>
  <c r="G60" i="2"/>
  <c r="J60" i="2" s="1"/>
  <c r="I60" i="2"/>
  <c r="L60" i="2" s="1"/>
  <c r="K60" i="2"/>
  <c r="E61" i="2"/>
  <c r="H61" i="2"/>
  <c r="F61" i="2"/>
  <c r="G61" i="2"/>
  <c r="J61" i="2" s="1"/>
  <c r="I61" i="2"/>
  <c r="L61" i="2" s="1"/>
  <c r="K61" i="2"/>
  <c r="F62" i="2"/>
  <c r="G62" i="2"/>
  <c r="J62" i="2" s="1"/>
  <c r="I62" i="2"/>
  <c r="L62" i="2" s="1"/>
  <c r="K62" i="2"/>
  <c r="F65" i="2"/>
  <c r="G65" i="2"/>
  <c r="J65" i="2" s="1"/>
  <c r="I65" i="2"/>
  <c r="L65" i="2" s="1"/>
  <c r="K65" i="2"/>
  <c r="E66" i="2"/>
  <c r="H66" i="2" s="1"/>
  <c r="F66" i="2"/>
  <c r="G66" i="2"/>
  <c r="J66" i="2" s="1"/>
  <c r="I66" i="2"/>
  <c r="L66" i="2"/>
  <c r="K66" i="2"/>
  <c r="F67" i="2"/>
  <c r="G67" i="2"/>
  <c r="J67" i="2" s="1"/>
  <c r="I67" i="2"/>
  <c r="L67" i="2" s="1"/>
  <c r="K67" i="2"/>
  <c r="E69" i="2"/>
  <c r="H69" i="2" s="1"/>
  <c r="F69" i="2"/>
  <c r="G69" i="2"/>
  <c r="J69" i="2" s="1"/>
  <c r="I69" i="2"/>
  <c r="L69" i="2" s="1"/>
  <c r="K69" i="2"/>
  <c r="E74" i="2"/>
  <c r="B76" i="50" s="1"/>
  <c r="A2" i="15"/>
  <c r="A4" i="15"/>
  <c r="D13" i="15"/>
  <c r="G1" i="37"/>
  <c r="U1" i="37"/>
  <c r="G2" i="37"/>
  <c r="W2" i="37" s="1"/>
  <c r="A3" i="37"/>
  <c r="E39" i="37"/>
  <c r="G39" i="37"/>
  <c r="I39" i="37"/>
  <c r="K39" i="37"/>
  <c r="M39" i="37"/>
  <c r="O39" i="37"/>
  <c r="Q39" i="37"/>
  <c r="S39" i="37"/>
  <c r="U39" i="37"/>
  <c r="W39" i="37"/>
  <c r="Y39" i="37"/>
  <c r="AA39" i="37"/>
  <c r="F43" i="37"/>
  <c r="H43" i="37"/>
  <c r="J43" i="37"/>
  <c r="L43" i="37"/>
  <c r="N43" i="37"/>
  <c r="P43" i="37"/>
  <c r="R43" i="37"/>
  <c r="T43" i="37"/>
  <c r="V43" i="37"/>
  <c r="X43" i="37"/>
  <c r="Z43" i="37"/>
  <c r="AB43" i="37"/>
  <c r="F44" i="37"/>
  <c r="H44" i="37"/>
  <c r="J44" i="37"/>
  <c r="L44" i="37"/>
  <c r="N44" i="37"/>
  <c r="P44" i="37"/>
  <c r="R44" i="37"/>
  <c r="T44" i="37"/>
  <c r="V44" i="37"/>
  <c r="X44" i="37"/>
  <c r="Z44" i="37"/>
  <c r="AB44" i="37"/>
  <c r="F45" i="37"/>
  <c r="H45" i="37"/>
  <c r="J45" i="37"/>
  <c r="L45" i="37"/>
  <c r="N45" i="37"/>
  <c r="P45" i="37"/>
  <c r="R45" i="37"/>
  <c r="T45" i="37"/>
  <c r="V45" i="37"/>
  <c r="X45" i="37"/>
  <c r="Z45" i="37"/>
  <c r="AB45" i="37"/>
  <c r="F46" i="37"/>
  <c r="H46" i="37"/>
  <c r="J46" i="37"/>
  <c r="L46" i="37"/>
  <c r="N46" i="37"/>
  <c r="P46" i="37"/>
  <c r="R46" i="37"/>
  <c r="T46" i="37"/>
  <c r="V46" i="37"/>
  <c r="X46" i="37"/>
  <c r="Z46" i="37"/>
  <c r="AB46" i="37"/>
  <c r="F47" i="37"/>
  <c r="H47" i="37"/>
  <c r="J47" i="37"/>
  <c r="L47" i="37"/>
  <c r="N47" i="37"/>
  <c r="P47" i="37"/>
  <c r="R47" i="37"/>
  <c r="T47" i="37"/>
  <c r="V47" i="37"/>
  <c r="X47" i="37"/>
  <c r="Z47" i="37"/>
  <c r="AB47" i="37"/>
  <c r="D48" i="37"/>
  <c r="E48" i="37"/>
  <c r="G48" i="37"/>
  <c r="I48" i="37"/>
  <c r="K48" i="37"/>
  <c r="M48" i="37"/>
  <c r="O48" i="37"/>
  <c r="Q48" i="37"/>
  <c r="S48" i="37"/>
  <c r="U48" i="37"/>
  <c r="W48" i="37"/>
  <c r="Y48" i="37"/>
  <c r="AA48" i="37"/>
  <c r="G1" i="38"/>
  <c r="H1" i="38"/>
  <c r="U1" i="38"/>
  <c r="V1" i="38"/>
  <c r="G2" i="38"/>
  <c r="W2" i="38" s="1"/>
  <c r="H2" i="38"/>
  <c r="A3" i="38"/>
  <c r="E34" i="38"/>
  <c r="G34" i="38"/>
  <c r="I34" i="38"/>
  <c r="K34" i="38"/>
  <c r="M34" i="38"/>
  <c r="O34" i="38"/>
  <c r="Q34" i="38"/>
  <c r="S34" i="38"/>
  <c r="U34" i="38"/>
  <c r="W34" i="38"/>
  <c r="Y34" i="38"/>
  <c r="AA34" i="38"/>
  <c r="E39" i="38"/>
  <c r="G39" i="38"/>
  <c r="I39" i="38"/>
  <c r="K39" i="38"/>
  <c r="M39" i="38"/>
  <c r="O39" i="38"/>
  <c r="Q39" i="38"/>
  <c r="S39" i="38"/>
  <c r="U39" i="38"/>
  <c r="W39" i="38"/>
  <c r="Y39" i="38"/>
  <c r="AA39" i="38"/>
  <c r="F43" i="38"/>
  <c r="H43" i="38"/>
  <c r="J43" i="38"/>
  <c r="L43" i="38"/>
  <c r="N43" i="38"/>
  <c r="P43" i="38"/>
  <c r="R43" i="38"/>
  <c r="T43" i="38"/>
  <c r="V43" i="38"/>
  <c r="X43" i="38"/>
  <c r="Z43" i="38"/>
  <c r="AB43" i="38"/>
  <c r="AE43" i="38"/>
  <c r="F44" i="38"/>
  <c r="H44" i="38"/>
  <c r="J44" i="38"/>
  <c r="L44" i="38"/>
  <c r="N44" i="38"/>
  <c r="P44" i="38"/>
  <c r="R44" i="38"/>
  <c r="T44" i="38"/>
  <c r="V44" i="38"/>
  <c r="X44" i="38"/>
  <c r="Z44" i="38"/>
  <c r="AB44" i="38"/>
  <c r="AE44" i="38"/>
  <c r="F45" i="38"/>
  <c r="H45" i="38"/>
  <c r="J45" i="38"/>
  <c r="L45" i="38"/>
  <c r="N45" i="38"/>
  <c r="P45" i="38"/>
  <c r="R45" i="38"/>
  <c r="T45" i="38"/>
  <c r="V45" i="38"/>
  <c r="X45" i="38"/>
  <c r="Z45" i="38"/>
  <c r="AB45" i="38"/>
  <c r="AE45" i="38"/>
  <c r="F46" i="38"/>
  <c r="H46" i="38"/>
  <c r="J46" i="38"/>
  <c r="L46" i="38"/>
  <c r="N46" i="38"/>
  <c r="P46" i="38"/>
  <c r="R46" i="38"/>
  <c r="T46" i="38"/>
  <c r="V46" i="38"/>
  <c r="X46" i="38"/>
  <c r="Z46" i="38"/>
  <c r="AB46" i="38"/>
  <c r="AE46" i="38"/>
  <c r="F47" i="38"/>
  <c r="H47" i="38"/>
  <c r="J47" i="38"/>
  <c r="L47" i="38"/>
  <c r="N47" i="38"/>
  <c r="P47" i="38"/>
  <c r="R47" i="38"/>
  <c r="T47" i="38"/>
  <c r="V47" i="38"/>
  <c r="X47" i="38"/>
  <c r="Z47" i="38"/>
  <c r="AB47" i="38"/>
  <c r="AE47" i="38"/>
  <c r="D48" i="38"/>
  <c r="E48" i="38"/>
  <c r="G48" i="38"/>
  <c r="I48" i="38"/>
  <c r="K48" i="38"/>
  <c r="M48" i="38"/>
  <c r="O48" i="38"/>
  <c r="Q48" i="38"/>
  <c r="S48" i="38"/>
  <c r="U48" i="38"/>
  <c r="W48" i="38"/>
  <c r="Y48" i="38"/>
  <c r="AA48" i="38"/>
  <c r="I2" i="39"/>
  <c r="J4" i="39"/>
  <c r="A4" i="40" s="1"/>
  <c r="J5" i="39"/>
  <c r="A6" i="39"/>
  <c r="I7" i="39"/>
  <c r="E26" i="40" s="1"/>
  <c r="E28" i="40" s="1"/>
  <c r="L7" i="39"/>
  <c r="O7" i="39"/>
  <c r="R7" i="39"/>
  <c r="U7" i="39"/>
  <c r="I12" i="39"/>
  <c r="K12" i="39"/>
  <c r="P12" i="39" s="1"/>
  <c r="M12" i="39"/>
  <c r="S12" i="39"/>
  <c r="V12" i="39"/>
  <c r="I13" i="39"/>
  <c r="K13" i="39"/>
  <c r="P13" i="39" s="1"/>
  <c r="S13" i="39"/>
  <c r="V13" i="39"/>
  <c r="I14" i="39"/>
  <c r="K14" i="39"/>
  <c r="P14" i="39" s="1"/>
  <c r="M14" i="39"/>
  <c r="S14" i="39"/>
  <c r="V14" i="39"/>
  <c r="I15" i="39"/>
  <c r="K15" i="39"/>
  <c r="P15" i="39" s="1"/>
  <c r="M15" i="39"/>
  <c r="S15" i="39"/>
  <c r="V15" i="39"/>
  <c r="I16" i="39"/>
  <c r="K16" i="39"/>
  <c r="P16" i="39" s="1"/>
  <c r="M16" i="39"/>
  <c r="S16" i="39"/>
  <c r="V16" i="39"/>
  <c r="I17" i="39"/>
  <c r="K17" i="39"/>
  <c r="M17" i="39"/>
  <c r="P17" i="39"/>
  <c r="S17" i="39"/>
  <c r="V17" i="39"/>
  <c r="I18" i="39"/>
  <c r="K18" i="39"/>
  <c r="P18" i="39" s="1"/>
  <c r="M18" i="39"/>
  <c r="S18" i="39"/>
  <c r="V18" i="39"/>
  <c r="I19" i="39"/>
  <c r="K19" i="39"/>
  <c r="P19" i="39" s="1"/>
  <c r="M19" i="39"/>
  <c r="S19" i="39"/>
  <c r="V19" i="39"/>
  <c r="J20" i="39"/>
  <c r="L20" i="39"/>
  <c r="N20" i="39"/>
  <c r="S20" i="39" s="1"/>
  <c r="Q20" i="39"/>
  <c r="R22" i="39"/>
  <c r="T20" i="39"/>
  <c r="U22" i="39"/>
  <c r="I21" i="39"/>
  <c r="K21" i="39"/>
  <c r="P21" i="39" s="1"/>
  <c r="N21" i="39"/>
  <c r="S21" i="39" s="1"/>
  <c r="O21" i="39"/>
  <c r="Q21" i="39"/>
  <c r="T21" i="39"/>
  <c r="U21" i="39" s="1"/>
  <c r="I23" i="39"/>
  <c r="K23" i="39"/>
  <c r="P23" i="39" s="1"/>
  <c r="M23" i="39"/>
  <c r="S23" i="39"/>
  <c r="V23" i="39"/>
  <c r="I26" i="39"/>
  <c r="K26" i="39"/>
  <c r="P26" i="39" s="1"/>
  <c r="M26" i="39"/>
  <c r="S26" i="39"/>
  <c r="V26" i="39"/>
  <c r="I27" i="39"/>
  <c r="K27" i="39"/>
  <c r="P27" i="39" s="1"/>
  <c r="M27" i="39"/>
  <c r="S27" i="39"/>
  <c r="V27" i="39"/>
  <c r="I28" i="39"/>
  <c r="K28" i="39"/>
  <c r="M28" i="39"/>
  <c r="P28" i="39"/>
  <c r="S28" i="39"/>
  <c r="V28" i="39"/>
  <c r="I29" i="39"/>
  <c r="K29" i="39"/>
  <c r="M29" i="39"/>
  <c r="P29" i="39"/>
  <c r="S29" i="39"/>
  <c r="V29" i="39"/>
  <c r="I30" i="39"/>
  <c r="K30" i="39"/>
  <c r="P30" i="39" s="1"/>
  <c r="M30" i="39"/>
  <c r="S30" i="39"/>
  <c r="V30" i="39"/>
  <c r="I31" i="39"/>
  <c r="K31" i="39"/>
  <c r="M31" i="39"/>
  <c r="P31" i="39"/>
  <c r="S31" i="39"/>
  <c r="V31" i="39"/>
  <c r="I32" i="39"/>
  <c r="K32" i="39"/>
  <c r="P32" i="39" s="1"/>
  <c r="M32" i="39"/>
  <c r="S32" i="39"/>
  <c r="V32" i="39"/>
  <c r="I33" i="39"/>
  <c r="K33" i="39"/>
  <c r="M33" i="39"/>
  <c r="P33" i="39"/>
  <c r="S33" i="39"/>
  <c r="V33" i="39"/>
  <c r="I34" i="39"/>
  <c r="J34" i="39"/>
  <c r="K34" i="39"/>
  <c r="P34" i="39" s="1"/>
  <c r="L34" i="39"/>
  <c r="N34" i="39"/>
  <c r="Q34" i="39"/>
  <c r="S34" i="39"/>
  <c r="T34" i="39"/>
  <c r="T36" i="39" s="1"/>
  <c r="V34" i="39"/>
  <c r="K35" i="39"/>
  <c r="P35" i="39" s="1"/>
  <c r="N35" i="39"/>
  <c r="N36" i="39" s="1"/>
  <c r="S36" i="39" s="1"/>
  <c r="Q35" i="39"/>
  <c r="R35" i="39" s="1"/>
  <c r="T35" i="39"/>
  <c r="U35" i="39" s="1"/>
  <c r="V35" i="39"/>
  <c r="O36" i="39"/>
  <c r="R36" i="39"/>
  <c r="U36" i="39"/>
  <c r="I39" i="39"/>
  <c r="K39" i="39"/>
  <c r="P39" i="39" s="1"/>
  <c r="M39" i="39"/>
  <c r="S39" i="39"/>
  <c r="V39" i="39"/>
  <c r="I40" i="39"/>
  <c r="K40" i="39"/>
  <c r="P40" i="39" s="1"/>
  <c r="M40" i="39"/>
  <c r="S40" i="39"/>
  <c r="V40" i="39"/>
  <c r="I41" i="39"/>
  <c r="K41" i="39"/>
  <c r="P41" i="39" s="1"/>
  <c r="M41" i="39"/>
  <c r="S41" i="39"/>
  <c r="V41" i="39"/>
  <c r="I42" i="39"/>
  <c r="K42" i="39"/>
  <c r="P42" i="39" s="1"/>
  <c r="M42" i="39"/>
  <c r="S42" i="39"/>
  <c r="V42" i="39"/>
  <c r="I43" i="39"/>
  <c r="K43" i="39"/>
  <c r="P43" i="39" s="1"/>
  <c r="S43" i="39"/>
  <c r="V43" i="39"/>
  <c r="I44" i="39"/>
  <c r="K44" i="39"/>
  <c r="M44" i="39"/>
  <c r="P44" i="39"/>
  <c r="S44" i="39"/>
  <c r="V44" i="39"/>
  <c r="I45" i="39"/>
  <c r="K45" i="39"/>
  <c r="P45" i="39" s="1"/>
  <c r="M45" i="39"/>
  <c r="S45" i="39"/>
  <c r="V45" i="39"/>
  <c r="I46" i="39"/>
  <c r="K46" i="39"/>
  <c r="P46" i="39" s="1"/>
  <c r="M46" i="39"/>
  <c r="S46" i="39"/>
  <c r="V46" i="39"/>
  <c r="I47" i="39"/>
  <c r="J47" i="39"/>
  <c r="K47" i="39"/>
  <c r="L47" i="39"/>
  <c r="N47" i="39"/>
  <c r="N49" i="39" s="1"/>
  <c r="S49" i="39" s="1"/>
  <c r="Q47" i="39"/>
  <c r="T47" i="39"/>
  <c r="K48" i="39"/>
  <c r="N48" i="39"/>
  <c r="S48" i="39" s="1"/>
  <c r="P48" i="39"/>
  <c r="Q48" i="39"/>
  <c r="T48" i="39"/>
  <c r="U48" i="39" s="1"/>
  <c r="O49" i="39"/>
  <c r="R49" i="39"/>
  <c r="T49" i="39"/>
  <c r="U49" i="39"/>
  <c r="I52" i="39"/>
  <c r="K52" i="39"/>
  <c r="P52" i="39" s="1"/>
  <c r="M52" i="39"/>
  <c r="S52" i="39"/>
  <c r="V52" i="39"/>
  <c r="I53" i="39"/>
  <c r="K53" i="39"/>
  <c r="P53" i="39" s="1"/>
  <c r="M53" i="39"/>
  <c r="S53" i="39"/>
  <c r="V53" i="39"/>
  <c r="I54" i="39"/>
  <c r="K54" i="39"/>
  <c r="P54" i="39" s="1"/>
  <c r="M54" i="39"/>
  <c r="S54" i="39"/>
  <c r="V54" i="39"/>
  <c r="I55" i="39"/>
  <c r="K55" i="39"/>
  <c r="M55" i="39"/>
  <c r="P55" i="39"/>
  <c r="S55" i="39"/>
  <c r="V55" i="39"/>
  <c r="I56" i="39"/>
  <c r="K56" i="39"/>
  <c r="P56" i="39" s="1"/>
  <c r="M56" i="39"/>
  <c r="S56" i="39"/>
  <c r="V56" i="39"/>
  <c r="I57" i="39"/>
  <c r="K57" i="39"/>
  <c r="P57" i="39" s="1"/>
  <c r="M57" i="39"/>
  <c r="S57" i="39"/>
  <c r="V57" i="39"/>
  <c r="I58" i="39"/>
  <c r="K58" i="39"/>
  <c r="M58" i="39"/>
  <c r="P58" i="39"/>
  <c r="S58" i="39"/>
  <c r="V58" i="39"/>
  <c r="I59" i="39"/>
  <c r="K59" i="39"/>
  <c r="P59" i="39" s="1"/>
  <c r="M59" i="39"/>
  <c r="S59" i="39"/>
  <c r="V59" i="39"/>
  <c r="I60" i="39"/>
  <c r="J60" i="39"/>
  <c r="K60" i="39"/>
  <c r="L60" i="39"/>
  <c r="N60" i="39"/>
  <c r="S60" i="39" s="1"/>
  <c r="Q60" i="39"/>
  <c r="V60" i="39" s="1"/>
  <c r="T60" i="39"/>
  <c r="K61" i="39"/>
  <c r="P61" i="39" s="1"/>
  <c r="N61" i="39"/>
  <c r="O61" i="39" s="1"/>
  <c r="Q61" i="39"/>
  <c r="V61" i="39" s="1"/>
  <c r="T61" i="39"/>
  <c r="O62" i="39"/>
  <c r="R62" i="39"/>
  <c r="U62" i="39"/>
  <c r="K65" i="39"/>
  <c r="N65" i="39"/>
  <c r="O75" i="39"/>
  <c r="Q65" i="39"/>
  <c r="T65" i="39"/>
  <c r="K66" i="39"/>
  <c r="P66" i="39" s="1"/>
  <c r="N66" i="39"/>
  <c r="S66" i="39" s="1"/>
  <c r="Q66" i="39"/>
  <c r="T66" i="39"/>
  <c r="V66" i="39"/>
  <c r="I67" i="39"/>
  <c r="N67" i="39"/>
  <c r="Q67" i="39"/>
  <c r="V67" i="39" s="1"/>
  <c r="S67" i="39"/>
  <c r="T67" i="39"/>
  <c r="I68" i="39"/>
  <c r="M68" i="39"/>
  <c r="N68" i="39"/>
  <c r="S68" i="39" s="1"/>
  <c r="Q68" i="39"/>
  <c r="V68" i="39" s="1"/>
  <c r="T68" i="39"/>
  <c r="I69" i="39"/>
  <c r="K69" i="39"/>
  <c r="P69" i="39" s="1"/>
  <c r="N69" i="39"/>
  <c r="S69" i="39" s="1"/>
  <c r="Q69" i="39"/>
  <c r="V69" i="39" s="1"/>
  <c r="T69" i="39"/>
  <c r="K70" i="39"/>
  <c r="P70" i="39" s="1"/>
  <c r="N70" i="39"/>
  <c r="Q70" i="39"/>
  <c r="V70" i="39" s="1"/>
  <c r="T70" i="39"/>
  <c r="I71" i="39"/>
  <c r="K71" i="39"/>
  <c r="P71" i="39" s="1"/>
  <c r="M71" i="39"/>
  <c r="N71" i="39"/>
  <c r="S71" i="39" s="1"/>
  <c r="Q71" i="39"/>
  <c r="T71" i="39"/>
  <c r="V71" i="39"/>
  <c r="I72" i="39"/>
  <c r="K72" i="39"/>
  <c r="P72" i="39" s="1"/>
  <c r="M72" i="39"/>
  <c r="N72" i="39"/>
  <c r="S72" i="39" s="1"/>
  <c r="Q72" i="39"/>
  <c r="T72" i="39"/>
  <c r="V72" i="39"/>
  <c r="J73" i="39"/>
  <c r="L73" i="39"/>
  <c r="I76" i="39"/>
  <c r="K76" i="39"/>
  <c r="A3" i="40"/>
  <c r="A5" i="40"/>
  <c r="G6" i="40"/>
  <c r="J6" i="40"/>
  <c r="I12" i="44" s="1"/>
  <c r="I9" i="40"/>
  <c r="K9" i="40"/>
  <c r="I10" i="40"/>
  <c r="K10" i="40"/>
  <c r="I11" i="40"/>
  <c r="K11" i="40"/>
  <c r="I16" i="40"/>
  <c r="K16" i="40"/>
  <c r="I17" i="40"/>
  <c r="K17" i="40"/>
  <c r="I24" i="40"/>
  <c r="K24" i="40"/>
  <c r="G25" i="40"/>
  <c r="H25" i="40"/>
  <c r="J25" i="40"/>
  <c r="I27" i="40"/>
  <c r="K27" i="40"/>
  <c r="I31" i="40"/>
  <c r="K31" i="40"/>
  <c r="I32" i="40"/>
  <c r="K32" i="40"/>
  <c r="I33" i="40"/>
  <c r="K33" i="40"/>
  <c r="G34" i="40"/>
  <c r="H34" i="40"/>
  <c r="J34" i="40"/>
  <c r="I35" i="40"/>
  <c r="K35" i="40"/>
  <c r="I36" i="40"/>
  <c r="K36" i="40"/>
  <c r="I37" i="40"/>
  <c r="K37" i="40"/>
  <c r="I38" i="40"/>
  <c r="K38" i="40"/>
  <c r="I39" i="40"/>
  <c r="K39" i="40"/>
  <c r="I41" i="40"/>
  <c r="K41" i="40"/>
  <c r="I42" i="40"/>
  <c r="K42" i="40"/>
  <c r="I43" i="40"/>
  <c r="K43" i="40"/>
  <c r="I51" i="40"/>
  <c r="K51" i="40"/>
  <c r="I52" i="40"/>
  <c r="K52" i="40"/>
  <c r="I53" i="40"/>
  <c r="K53" i="40"/>
  <c r="I54" i="40"/>
  <c r="K54" i="40"/>
  <c r="I55" i="40"/>
  <c r="K55" i="40"/>
  <c r="I57" i="40"/>
  <c r="K57" i="40"/>
  <c r="I58" i="40"/>
  <c r="K58" i="40"/>
  <c r="I59" i="40"/>
  <c r="K59" i="40"/>
  <c r="I67" i="40"/>
  <c r="K67" i="40"/>
  <c r="I68" i="40"/>
  <c r="K68" i="40"/>
  <c r="I69" i="40"/>
  <c r="K69" i="40"/>
  <c r="I70" i="40"/>
  <c r="K70" i="40"/>
  <c r="I73" i="40"/>
  <c r="K73" i="40"/>
  <c r="I74" i="40"/>
  <c r="K74" i="40"/>
  <c r="I75" i="40"/>
  <c r="K75" i="40"/>
  <c r="I76" i="40"/>
  <c r="K76" i="40"/>
  <c r="I83" i="40"/>
  <c r="K83" i="40"/>
  <c r="I84" i="40"/>
  <c r="K84" i="40"/>
  <c r="I87" i="40"/>
  <c r="K87" i="40"/>
  <c r="I88" i="40"/>
  <c r="K88" i="40"/>
  <c r="I89" i="40"/>
  <c r="K89" i="40"/>
  <c r="I90" i="40"/>
  <c r="K90" i="40"/>
  <c r="I91" i="40"/>
  <c r="K91" i="40"/>
  <c r="I92" i="40"/>
  <c r="K92" i="40"/>
  <c r="I93" i="40"/>
  <c r="K93" i="40"/>
  <c r="I94" i="40"/>
  <c r="K94" i="40"/>
  <c r="A3" i="41"/>
  <c r="A6" i="41"/>
  <c r="H7" i="41"/>
  <c r="J7" i="41"/>
  <c r="L7" i="41"/>
  <c r="E10" i="41"/>
  <c r="F10" i="41" s="1"/>
  <c r="H10" i="41" s="1"/>
  <c r="G10" i="41"/>
  <c r="G10" i="42"/>
  <c r="F13" i="41"/>
  <c r="F13" i="43" s="1"/>
  <c r="H13" i="41"/>
  <c r="C70" i="51"/>
  <c r="J13" i="41"/>
  <c r="L13" i="41"/>
  <c r="E14" i="41"/>
  <c r="B71" i="51" s="1"/>
  <c r="F14" i="41"/>
  <c r="F14" i="43" s="1"/>
  <c r="K14" i="41"/>
  <c r="M14" i="41"/>
  <c r="E15" i="41"/>
  <c r="F15" i="41"/>
  <c r="F15" i="43"/>
  <c r="K15" i="41"/>
  <c r="M15" i="41"/>
  <c r="E16" i="41"/>
  <c r="B73" i="51" s="1"/>
  <c r="F16" i="41"/>
  <c r="F16" i="43" s="1"/>
  <c r="K16" i="41"/>
  <c r="M16" i="41"/>
  <c r="E17" i="41"/>
  <c r="G17" i="41"/>
  <c r="I17" i="41"/>
  <c r="H21" i="41"/>
  <c r="K21" i="41" s="1"/>
  <c r="E23" i="41"/>
  <c r="E23" i="43" s="1"/>
  <c r="I23" i="43" s="1"/>
  <c r="F23" i="41"/>
  <c r="F23" i="43" s="1"/>
  <c r="K23" i="41"/>
  <c r="M23" i="41"/>
  <c r="E25" i="41"/>
  <c r="I25" i="41" s="1"/>
  <c r="L25" i="41"/>
  <c r="L25" i="43" s="1"/>
  <c r="E29" i="41"/>
  <c r="F29" i="41"/>
  <c r="F29" i="43" s="1"/>
  <c r="K29" i="41"/>
  <c r="M29" i="41"/>
  <c r="E30" i="41"/>
  <c r="B97" i="51" s="1"/>
  <c r="F30" i="41"/>
  <c r="K30" i="41"/>
  <c r="M30" i="41"/>
  <c r="E31" i="41"/>
  <c r="F31" i="41"/>
  <c r="K31" i="41"/>
  <c r="M31" i="41"/>
  <c r="E32" i="41"/>
  <c r="B99" i="51" s="1"/>
  <c r="F32" i="41"/>
  <c r="K32" i="41"/>
  <c r="M32" i="41"/>
  <c r="E33" i="41"/>
  <c r="I33" i="41" s="1"/>
  <c r="F33" i="41"/>
  <c r="K33" i="41"/>
  <c r="M33" i="41"/>
  <c r="E34" i="41"/>
  <c r="F34" i="41"/>
  <c r="K34" i="41"/>
  <c r="M34" i="41"/>
  <c r="E35" i="41"/>
  <c r="B102" i="51"/>
  <c r="F35" i="41"/>
  <c r="F35" i="43" s="1"/>
  <c r="K35" i="41"/>
  <c r="M35" i="41"/>
  <c r="E36" i="41"/>
  <c r="F36" i="41"/>
  <c r="K36" i="41"/>
  <c r="M36" i="41"/>
  <c r="E37" i="41"/>
  <c r="B104" i="51" s="1"/>
  <c r="G37" i="41"/>
  <c r="H37" i="41"/>
  <c r="J37" i="41"/>
  <c r="M37" i="41"/>
  <c r="L37" i="41"/>
  <c r="E42" i="41"/>
  <c r="F42" i="41"/>
  <c r="K42" i="41"/>
  <c r="M42" i="41"/>
  <c r="E43" i="41"/>
  <c r="I43" i="41" s="1"/>
  <c r="F43" i="41"/>
  <c r="F44" i="41" s="1"/>
  <c r="K43" i="41"/>
  <c r="M43" i="41"/>
  <c r="G44" i="41"/>
  <c r="H44" i="41"/>
  <c r="K44" i="41" s="1"/>
  <c r="J44" i="41"/>
  <c r="M44" i="41" s="1"/>
  <c r="L44" i="41"/>
  <c r="F50" i="41"/>
  <c r="G50" i="41" s="1"/>
  <c r="G50" i="43" s="1"/>
  <c r="F52" i="41"/>
  <c r="H52" i="41"/>
  <c r="H52" i="43" s="1"/>
  <c r="F53" i="41"/>
  <c r="G53" i="41" s="1"/>
  <c r="G53" i="43" s="1"/>
  <c r="E59" i="41"/>
  <c r="E59" i="43" s="1"/>
  <c r="I59" i="43" s="1"/>
  <c r="F59" i="41"/>
  <c r="F59" i="43" s="1"/>
  <c r="K59" i="41"/>
  <c r="M59" i="41"/>
  <c r="E60" i="41"/>
  <c r="B52" i="51" s="1"/>
  <c r="F60" i="41"/>
  <c r="F60" i="43" s="1"/>
  <c r="I60" i="41"/>
  <c r="K60" i="41"/>
  <c r="M60" i="41"/>
  <c r="E61" i="41"/>
  <c r="B53" i="51" s="1"/>
  <c r="F61" i="41"/>
  <c r="F61" i="43" s="1"/>
  <c r="I61" i="41"/>
  <c r="K61" i="41"/>
  <c r="M61" i="41"/>
  <c r="E62" i="41"/>
  <c r="F62" i="41"/>
  <c r="F62" i="43" s="1"/>
  <c r="K62" i="41"/>
  <c r="M62" i="41"/>
  <c r="E65" i="41"/>
  <c r="E65" i="43" s="1"/>
  <c r="I65" i="43" s="1"/>
  <c r="F65" i="41"/>
  <c r="F65" i="43" s="1"/>
  <c r="I65" i="41"/>
  <c r="K65" i="41"/>
  <c r="M65" i="41"/>
  <c r="E66" i="41"/>
  <c r="F66" i="41"/>
  <c r="I66" i="41"/>
  <c r="K66" i="41"/>
  <c r="M66" i="41"/>
  <c r="E67" i="41"/>
  <c r="F67" i="41"/>
  <c r="F67" i="43"/>
  <c r="K67" i="41"/>
  <c r="M67" i="41"/>
  <c r="E69" i="41"/>
  <c r="F69" i="41"/>
  <c r="F69" i="43" s="1"/>
  <c r="K69" i="41"/>
  <c r="M69" i="41"/>
  <c r="E75" i="41"/>
  <c r="I75" i="41" s="1"/>
  <c r="F75" i="41"/>
  <c r="K75" i="41"/>
  <c r="M75" i="41"/>
  <c r="E76" i="41"/>
  <c r="F76" i="41"/>
  <c r="I76" i="41"/>
  <c r="K76" i="41"/>
  <c r="M76" i="41"/>
  <c r="E77" i="41"/>
  <c r="F77" i="41"/>
  <c r="I77" i="41"/>
  <c r="K77" i="41"/>
  <c r="M77" i="41"/>
  <c r="E78" i="41"/>
  <c r="F78" i="41"/>
  <c r="I78" i="41"/>
  <c r="K78" i="41"/>
  <c r="M78" i="41"/>
  <c r="E79" i="41"/>
  <c r="I79" i="41" s="1"/>
  <c r="F79" i="41"/>
  <c r="K79" i="41"/>
  <c r="M79" i="41"/>
  <c r="E80" i="41"/>
  <c r="I80" i="41" s="1"/>
  <c r="F80" i="41"/>
  <c r="K80" i="41"/>
  <c r="M80" i="41"/>
  <c r="E81" i="41"/>
  <c r="I81" i="41" s="1"/>
  <c r="F81" i="41"/>
  <c r="K81" i="41"/>
  <c r="M81" i="41"/>
  <c r="E82" i="41"/>
  <c r="I82" i="41" s="1"/>
  <c r="F82" i="41"/>
  <c r="K82" i="41"/>
  <c r="M82" i="41"/>
  <c r="E83" i="41"/>
  <c r="F83" i="41"/>
  <c r="I83" i="41"/>
  <c r="K83" i="41"/>
  <c r="M83" i="41"/>
  <c r="G84" i="41"/>
  <c r="H84" i="41"/>
  <c r="H17" i="41" s="1"/>
  <c r="K17" i="41" s="1"/>
  <c r="J84" i="41"/>
  <c r="J17" i="41" s="1"/>
  <c r="M17" i="41" s="1"/>
  <c r="L84" i="41"/>
  <c r="L17" i="41" s="1"/>
  <c r="E86" i="41"/>
  <c r="H86" i="41"/>
  <c r="J86" i="41"/>
  <c r="L86" i="41"/>
  <c r="E90" i="41"/>
  <c r="I90" i="41" s="1"/>
  <c r="F90" i="41"/>
  <c r="K90" i="41"/>
  <c r="M90" i="41"/>
  <c r="E91" i="41"/>
  <c r="I91" i="41" s="1"/>
  <c r="F91" i="41"/>
  <c r="K91" i="41"/>
  <c r="M91" i="41"/>
  <c r="E92" i="41"/>
  <c r="I92" i="41" s="1"/>
  <c r="F92" i="41"/>
  <c r="K92" i="41"/>
  <c r="M92" i="41"/>
  <c r="E93" i="41"/>
  <c r="I93" i="41" s="1"/>
  <c r="F93" i="41"/>
  <c r="K93" i="41"/>
  <c r="M93" i="41"/>
  <c r="E94" i="41"/>
  <c r="F94" i="41"/>
  <c r="I94" i="41"/>
  <c r="K94" i="41"/>
  <c r="M94" i="41"/>
  <c r="E95" i="41"/>
  <c r="F95" i="41"/>
  <c r="I95" i="41"/>
  <c r="K95" i="41"/>
  <c r="M95" i="41"/>
  <c r="E96" i="41"/>
  <c r="F96" i="41"/>
  <c r="I96" i="41"/>
  <c r="K96" i="41"/>
  <c r="M96" i="41"/>
  <c r="E97" i="41"/>
  <c r="I97" i="41" s="1"/>
  <c r="F97" i="41"/>
  <c r="K97" i="41"/>
  <c r="M97" i="41"/>
  <c r="E98" i="41"/>
  <c r="I98" i="41" s="1"/>
  <c r="F98" i="41"/>
  <c r="K98" i="41"/>
  <c r="M98" i="41"/>
  <c r="E99" i="41"/>
  <c r="I99" i="41" s="1"/>
  <c r="F99" i="41"/>
  <c r="K99" i="41"/>
  <c r="M99" i="41"/>
  <c r="E100" i="41"/>
  <c r="I100" i="41" s="1"/>
  <c r="F100" i="41"/>
  <c r="K100" i="41"/>
  <c r="M100" i="41"/>
  <c r="E101" i="41"/>
  <c r="F101" i="41"/>
  <c r="I101" i="41"/>
  <c r="K101" i="41"/>
  <c r="M101" i="41"/>
  <c r="E102" i="41"/>
  <c r="F102" i="41"/>
  <c r="I102" i="41"/>
  <c r="K102" i="41"/>
  <c r="M102" i="41"/>
  <c r="E103" i="41"/>
  <c r="I103" i="41" s="1"/>
  <c r="F103" i="41"/>
  <c r="K103" i="41"/>
  <c r="M103" i="41"/>
  <c r="E104" i="41"/>
  <c r="I104" i="41" s="1"/>
  <c r="F104" i="41"/>
  <c r="K104" i="41"/>
  <c r="M104" i="41"/>
  <c r="E105" i="41"/>
  <c r="I105" i="41" s="1"/>
  <c r="F105" i="41"/>
  <c r="K105" i="41"/>
  <c r="M105" i="41"/>
  <c r="E106" i="41"/>
  <c r="I106" i="41" s="1"/>
  <c r="F106" i="41"/>
  <c r="K106" i="41"/>
  <c r="M106" i="41"/>
  <c r="E107" i="41"/>
  <c r="I107" i="41" s="1"/>
  <c r="F107" i="41"/>
  <c r="K107" i="41"/>
  <c r="M107" i="41"/>
  <c r="G108" i="41"/>
  <c r="G21" i="41" s="1"/>
  <c r="H108" i="41"/>
  <c r="K108" i="41" s="1"/>
  <c r="J108" i="41"/>
  <c r="J21" i="41" s="1"/>
  <c r="M21" i="41" s="1"/>
  <c r="L108" i="41"/>
  <c r="L21" i="41" s="1"/>
  <c r="M108" i="41"/>
  <c r="E111" i="41"/>
  <c r="F111" i="41"/>
  <c r="K111" i="41"/>
  <c r="M111" i="41"/>
  <c r="E112" i="41"/>
  <c r="I112" i="41" s="1"/>
  <c r="F112" i="41"/>
  <c r="K112" i="41"/>
  <c r="M112" i="41"/>
  <c r="E113" i="41"/>
  <c r="I113" i="41" s="1"/>
  <c r="F113" i="41"/>
  <c r="K113" i="41"/>
  <c r="M113" i="41"/>
  <c r="E114" i="41"/>
  <c r="F114" i="41"/>
  <c r="I114" i="41"/>
  <c r="K114" i="41"/>
  <c r="M114" i="41"/>
  <c r="E115" i="41"/>
  <c r="F115" i="41"/>
  <c r="I115" i="41"/>
  <c r="K115" i="41"/>
  <c r="M115" i="41"/>
  <c r="E116" i="41"/>
  <c r="I116" i="41" s="1"/>
  <c r="F116" i="41"/>
  <c r="K116" i="41"/>
  <c r="M116" i="41"/>
  <c r="G117" i="41"/>
  <c r="G25" i="41" s="1"/>
  <c r="H117" i="41"/>
  <c r="H25" i="41" s="1"/>
  <c r="K25" i="41" s="1"/>
  <c r="J117" i="41"/>
  <c r="L117" i="41"/>
  <c r="A2" i="42"/>
  <c r="A3" i="42"/>
  <c r="H7" i="42"/>
  <c r="J7" i="42"/>
  <c r="L7" i="42"/>
  <c r="G9" i="42"/>
  <c r="A10" i="42"/>
  <c r="E10" i="42"/>
  <c r="F10" i="42" s="1"/>
  <c r="H10" i="42" s="1"/>
  <c r="E23" i="42"/>
  <c r="F23" i="42"/>
  <c r="K23" i="42"/>
  <c r="M23" i="42"/>
  <c r="J154" i="42"/>
  <c r="D92" i="51" s="1"/>
  <c r="K24" i="42"/>
  <c r="M24" i="42"/>
  <c r="F25" i="42"/>
  <c r="E29" i="42"/>
  <c r="F29" i="42"/>
  <c r="K29" i="42"/>
  <c r="M29" i="42"/>
  <c r="E30" i="42"/>
  <c r="F30" i="42"/>
  <c r="K30" i="42"/>
  <c r="M30" i="42"/>
  <c r="E31" i="42"/>
  <c r="F31" i="42"/>
  <c r="F31" i="43" s="1"/>
  <c r="K31" i="42"/>
  <c r="M31" i="42"/>
  <c r="E32" i="42"/>
  <c r="E32" i="43" s="1"/>
  <c r="I32" i="43" s="1"/>
  <c r="F32" i="42"/>
  <c r="F32" i="43"/>
  <c r="K32" i="42"/>
  <c r="M32" i="42"/>
  <c r="E33" i="42"/>
  <c r="B111" i="51" s="1"/>
  <c r="F33" i="42"/>
  <c r="K33" i="42"/>
  <c r="M33" i="42"/>
  <c r="E34" i="42"/>
  <c r="F34" i="42"/>
  <c r="K34" i="42"/>
  <c r="M34" i="42"/>
  <c r="E35" i="42"/>
  <c r="I35" i="42" s="1"/>
  <c r="F35" i="42"/>
  <c r="K35" i="42"/>
  <c r="M35" i="42"/>
  <c r="E36" i="42"/>
  <c r="B114" i="51" s="1"/>
  <c r="F36" i="42"/>
  <c r="K36" i="42"/>
  <c r="M36" i="42"/>
  <c r="G37" i="42"/>
  <c r="H37" i="42"/>
  <c r="C85" i="51" s="1"/>
  <c r="J37" i="42"/>
  <c r="M37" i="42"/>
  <c r="L37" i="42"/>
  <c r="E85" i="51" s="1"/>
  <c r="E42" i="42"/>
  <c r="I42" i="42" s="1"/>
  <c r="F42" i="42"/>
  <c r="K42" i="42"/>
  <c r="M42" i="42"/>
  <c r="E43" i="42"/>
  <c r="F43" i="42"/>
  <c r="K43" i="42"/>
  <c r="M43" i="42"/>
  <c r="G44" i="42"/>
  <c r="H44" i="42"/>
  <c r="K44" i="42" s="1"/>
  <c r="J44" i="42"/>
  <c r="M44" i="42"/>
  <c r="L44" i="42"/>
  <c r="F50" i="42"/>
  <c r="G50" i="42" s="1"/>
  <c r="F52" i="42"/>
  <c r="F52" i="43" s="1"/>
  <c r="F53" i="42"/>
  <c r="G74" i="42"/>
  <c r="I74" i="42"/>
  <c r="K74" i="42"/>
  <c r="E93" i="42"/>
  <c r="F93" i="42"/>
  <c r="K93" i="42"/>
  <c r="M93" i="42"/>
  <c r="K94" i="42"/>
  <c r="M94" i="42"/>
  <c r="K95" i="42"/>
  <c r="M95" i="42"/>
  <c r="K96" i="42"/>
  <c r="M96" i="42"/>
  <c r="K97" i="42"/>
  <c r="M97" i="42"/>
  <c r="K98" i="42"/>
  <c r="M98" i="42"/>
  <c r="K99" i="42"/>
  <c r="M99" i="42"/>
  <c r="K100" i="42"/>
  <c r="M100" i="42"/>
  <c r="K101" i="42"/>
  <c r="M101" i="42"/>
  <c r="K113" i="42"/>
  <c r="M113" i="42"/>
  <c r="L17" i="42"/>
  <c r="H115" i="42"/>
  <c r="J115" i="42"/>
  <c r="L115" i="42"/>
  <c r="E119" i="42"/>
  <c r="F119" i="42"/>
  <c r="K119" i="42"/>
  <c r="M119" i="42"/>
  <c r="E120" i="42"/>
  <c r="F120" i="42"/>
  <c r="K120" i="42"/>
  <c r="M120" i="42"/>
  <c r="E121" i="42"/>
  <c r="F121" i="42"/>
  <c r="K121" i="42"/>
  <c r="M121" i="42"/>
  <c r="E122" i="42"/>
  <c r="F122" i="42"/>
  <c r="K122" i="42"/>
  <c r="M122" i="42"/>
  <c r="E123" i="42"/>
  <c r="F123" i="42"/>
  <c r="K123" i="42"/>
  <c r="M123" i="42"/>
  <c r="E124" i="42"/>
  <c r="F124" i="42"/>
  <c r="K124" i="42"/>
  <c r="M124" i="42"/>
  <c r="E125" i="42"/>
  <c r="F125" i="42"/>
  <c r="K125" i="42"/>
  <c r="M125" i="42"/>
  <c r="E126" i="42"/>
  <c r="F126" i="42"/>
  <c r="K126" i="42"/>
  <c r="M126" i="42"/>
  <c r="E127" i="42"/>
  <c r="F127" i="42"/>
  <c r="K127" i="42"/>
  <c r="M127" i="42"/>
  <c r="E128" i="42"/>
  <c r="F128" i="42"/>
  <c r="K128" i="42"/>
  <c r="M128" i="42"/>
  <c r="E129" i="42"/>
  <c r="F129" i="42"/>
  <c r="K129" i="42"/>
  <c r="M129" i="42"/>
  <c r="E130" i="42"/>
  <c r="F130" i="42"/>
  <c r="K130" i="42"/>
  <c r="M130" i="42"/>
  <c r="E131" i="42"/>
  <c r="F131" i="42"/>
  <c r="K131" i="42"/>
  <c r="M131" i="42"/>
  <c r="E132" i="42"/>
  <c r="F132" i="42"/>
  <c r="K132" i="42"/>
  <c r="M132" i="42"/>
  <c r="E133" i="42"/>
  <c r="F133" i="42"/>
  <c r="K133" i="42"/>
  <c r="M133" i="42"/>
  <c r="E134" i="42"/>
  <c r="F134" i="42"/>
  <c r="K134" i="42"/>
  <c r="M134" i="42"/>
  <c r="E135" i="42"/>
  <c r="F135" i="42"/>
  <c r="K135" i="42"/>
  <c r="M135" i="42"/>
  <c r="E136" i="42"/>
  <c r="F136" i="42"/>
  <c r="K136" i="42"/>
  <c r="M136" i="42"/>
  <c r="G137" i="42"/>
  <c r="G21" i="42" s="1"/>
  <c r="H137" i="42"/>
  <c r="H21" i="42" s="1"/>
  <c r="J137" i="42"/>
  <c r="M137" i="42"/>
  <c r="L137" i="42"/>
  <c r="L21" i="42"/>
  <c r="L21" i="43" s="1"/>
  <c r="E140" i="42"/>
  <c r="F140" i="42"/>
  <c r="K140" i="42"/>
  <c r="M140" i="42"/>
  <c r="E141" i="42"/>
  <c r="E146" i="42" s="1"/>
  <c r="F141" i="42"/>
  <c r="K141" i="42"/>
  <c r="M141" i="42"/>
  <c r="E142" i="42"/>
  <c r="F142" i="42"/>
  <c r="K142" i="42"/>
  <c r="M142" i="42"/>
  <c r="E143" i="42"/>
  <c r="F143" i="42"/>
  <c r="K143" i="42"/>
  <c r="M143" i="42"/>
  <c r="E144" i="42"/>
  <c r="F144" i="42"/>
  <c r="K144" i="42"/>
  <c r="M144" i="42"/>
  <c r="E145" i="42"/>
  <c r="F145" i="42"/>
  <c r="K145" i="42"/>
  <c r="M145" i="42"/>
  <c r="G146" i="42"/>
  <c r="G25" i="42" s="1"/>
  <c r="H146" i="42"/>
  <c r="J146" i="42"/>
  <c r="M146" i="42" s="1"/>
  <c r="L146" i="42"/>
  <c r="L25" i="42" s="1"/>
  <c r="A2" i="43"/>
  <c r="A3" i="43"/>
  <c r="D4" i="43"/>
  <c r="H7" i="43"/>
  <c r="J7" i="43"/>
  <c r="L7" i="43"/>
  <c r="G9" i="43"/>
  <c r="A10" i="43"/>
  <c r="E10" i="43"/>
  <c r="F10" i="43" s="1"/>
  <c r="H10" i="43" s="1"/>
  <c r="G13" i="43"/>
  <c r="G14" i="43"/>
  <c r="H14" i="43"/>
  <c r="AE11" i="45" s="1"/>
  <c r="J14" i="43"/>
  <c r="M14" i="43" s="1"/>
  <c r="L14" i="43"/>
  <c r="E15" i="43"/>
  <c r="I15" i="43" s="1"/>
  <c r="G15" i="43"/>
  <c r="H15" i="43"/>
  <c r="AE12" i="45" s="1"/>
  <c r="N12" i="45" s="1"/>
  <c r="J15" i="43"/>
  <c r="M15" i="43" s="1"/>
  <c r="L15" i="43"/>
  <c r="G16" i="43"/>
  <c r="H16" i="43"/>
  <c r="K16" i="43" s="1"/>
  <c r="J16" i="43"/>
  <c r="AE13" i="46" s="1"/>
  <c r="L16" i="43"/>
  <c r="G19" i="43"/>
  <c r="G20" i="43"/>
  <c r="G23" i="43"/>
  <c r="H23" i="43"/>
  <c r="J23" i="43"/>
  <c r="AE20" i="46" s="1"/>
  <c r="L23" i="43"/>
  <c r="G24" i="43"/>
  <c r="H24" i="43"/>
  <c r="K24" i="43" s="1"/>
  <c r="J24" i="43"/>
  <c r="L24" i="43"/>
  <c r="G29" i="43"/>
  <c r="H29" i="43"/>
  <c r="AE26" i="45"/>
  <c r="J29" i="43"/>
  <c r="M29" i="43" s="1"/>
  <c r="L29" i="43"/>
  <c r="G30" i="43"/>
  <c r="H30" i="43"/>
  <c r="AE27" i="45" s="1"/>
  <c r="J30" i="43"/>
  <c r="J37" i="43" s="1"/>
  <c r="M37" i="43" s="1"/>
  <c r="L30" i="43"/>
  <c r="G31" i="43"/>
  <c r="H31" i="43"/>
  <c r="AE28" i="45" s="1"/>
  <c r="J31" i="43"/>
  <c r="M31" i="43" s="1"/>
  <c r="L31" i="43"/>
  <c r="G32" i="43"/>
  <c r="H32" i="43"/>
  <c r="AE29" i="45" s="1"/>
  <c r="J32" i="43"/>
  <c r="AE29" i="46" s="1"/>
  <c r="AC29" i="46" s="1"/>
  <c r="AD29" i="46" s="1"/>
  <c r="L32" i="43"/>
  <c r="G33" i="43"/>
  <c r="H33" i="43"/>
  <c r="AE30" i="45" s="1"/>
  <c r="J33" i="43"/>
  <c r="M33" i="43" s="1"/>
  <c r="L33" i="43"/>
  <c r="G34" i="43"/>
  <c r="H34" i="43"/>
  <c r="K34" i="43" s="1"/>
  <c r="J34" i="43"/>
  <c r="M34" i="43" s="1"/>
  <c r="L34" i="43"/>
  <c r="G35" i="43"/>
  <c r="H35" i="43"/>
  <c r="K35" i="43" s="1"/>
  <c r="J35" i="43"/>
  <c r="M35" i="43" s="1"/>
  <c r="L35" i="43"/>
  <c r="G36" i="43"/>
  <c r="H36" i="43"/>
  <c r="K36" i="43" s="1"/>
  <c r="J36" i="43"/>
  <c r="L36" i="43"/>
  <c r="G42" i="43"/>
  <c r="G44" i="43"/>
  <c r="H42" i="43"/>
  <c r="AE37" i="45" s="1"/>
  <c r="J42" i="43"/>
  <c r="J44" i="43" s="1"/>
  <c r="M44" i="43" s="1"/>
  <c r="L42" i="43"/>
  <c r="G43" i="43"/>
  <c r="H43" i="43"/>
  <c r="K43" i="43"/>
  <c r="J43" i="43"/>
  <c r="AE38" i="46" s="1"/>
  <c r="L43" i="43"/>
  <c r="B51" i="43"/>
  <c r="I51" i="43"/>
  <c r="B54" i="43"/>
  <c r="E54" i="43"/>
  <c r="I54" i="43"/>
  <c r="G59" i="43"/>
  <c r="H59" i="43"/>
  <c r="K59" i="43" s="1"/>
  <c r="J59" i="43"/>
  <c r="M59" i="43"/>
  <c r="L59" i="43"/>
  <c r="E60" i="43"/>
  <c r="I60" i="43" s="1"/>
  <c r="G60" i="43"/>
  <c r="H60" i="43"/>
  <c r="K60" i="43"/>
  <c r="J60" i="43"/>
  <c r="M60" i="43" s="1"/>
  <c r="L60" i="43"/>
  <c r="E61" i="43"/>
  <c r="I61" i="43" s="1"/>
  <c r="G61" i="43"/>
  <c r="H61" i="43"/>
  <c r="K61" i="43" s="1"/>
  <c r="J61" i="43"/>
  <c r="M61" i="43" s="1"/>
  <c r="L61" i="43"/>
  <c r="E62" i="43"/>
  <c r="I62" i="43" s="1"/>
  <c r="G62" i="43"/>
  <c r="H62" i="43"/>
  <c r="K62" i="43" s="1"/>
  <c r="J62" i="43"/>
  <c r="M62" i="43"/>
  <c r="L62" i="43"/>
  <c r="G65" i="43"/>
  <c r="H65" i="43"/>
  <c r="K65" i="43" s="1"/>
  <c r="J65" i="43"/>
  <c r="M65" i="43" s="1"/>
  <c r="L65" i="43"/>
  <c r="E66" i="43"/>
  <c r="I66" i="43" s="1"/>
  <c r="F66" i="43"/>
  <c r="G66" i="43"/>
  <c r="H66" i="43"/>
  <c r="K66" i="43" s="1"/>
  <c r="J66" i="43"/>
  <c r="M66" i="43" s="1"/>
  <c r="L66" i="43"/>
  <c r="G67" i="43"/>
  <c r="H67" i="43"/>
  <c r="K67" i="43" s="1"/>
  <c r="J67" i="43"/>
  <c r="M67" i="43" s="1"/>
  <c r="L67" i="43"/>
  <c r="G69" i="43"/>
  <c r="H69" i="43"/>
  <c r="K69" i="43"/>
  <c r="J69" i="43"/>
  <c r="M69" i="43" s="1"/>
  <c r="L69" i="43"/>
  <c r="B76" i="51"/>
  <c r="F80" i="43"/>
  <c r="F81" i="43"/>
  <c r="F82" i="43"/>
  <c r="A4" i="44"/>
  <c r="E12" i="44"/>
  <c r="D13" i="44"/>
  <c r="G1" i="45"/>
  <c r="V1" i="45"/>
  <c r="G2" i="45"/>
  <c r="U2" i="45" s="1"/>
  <c r="A3" i="45"/>
  <c r="E23" i="45"/>
  <c r="G23" i="45"/>
  <c r="I23" i="45"/>
  <c r="K23" i="45"/>
  <c r="M23" i="45"/>
  <c r="O23" i="45"/>
  <c r="Q23" i="45"/>
  <c r="S23" i="45"/>
  <c r="U23" i="45"/>
  <c r="W23" i="45"/>
  <c r="Y23" i="45"/>
  <c r="AA23" i="45"/>
  <c r="E34" i="45"/>
  <c r="G34" i="45"/>
  <c r="I34" i="45"/>
  <c r="K34" i="45"/>
  <c r="K58" i="45" s="1"/>
  <c r="M34" i="45"/>
  <c r="O34" i="45"/>
  <c r="Q34" i="45"/>
  <c r="S34" i="45"/>
  <c r="U34" i="45"/>
  <c r="W34" i="45"/>
  <c r="Y34" i="45"/>
  <c r="AA34" i="45"/>
  <c r="AA58" i="45" s="1"/>
  <c r="E39" i="45"/>
  <c r="G39" i="45"/>
  <c r="I39" i="45"/>
  <c r="K39" i="45"/>
  <c r="M39" i="45"/>
  <c r="O39" i="45"/>
  <c r="Q39" i="45"/>
  <c r="S39" i="45"/>
  <c r="U39" i="45"/>
  <c r="W39" i="45"/>
  <c r="Y39" i="45"/>
  <c r="AA39" i="45"/>
  <c r="F43" i="45"/>
  <c r="H43" i="45"/>
  <c r="J43" i="45"/>
  <c r="L43" i="45"/>
  <c r="N43" i="45"/>
  <c r="P43" i="45"/>
  <c r="R43" i="45"/>
  <c r="T43" i="45"/>
  <c r="V43" i="45"/>
  <c r="X43" i="45"/>
  <c r="Z43" i="45"/>
  <c r="AB43" i="45"/>
  <c r="AE43" i="45"/>
  <c r="F44" i="45"/>
  <c r="H44" i="45"/>
  <c r="J44" i="45"/>
  <c r="L44" i="45"/>
  <c r="N44" i="45"/>
  <c r="P44" i="45"/>
  <c r="R44" i="45"/>
  <c r="T44" i="45"/>
  <c r="V44" i="45"/>
  <c r="X44" i="45"/>
  <c r="Z44" i="45"/>
  <c r="AB44" i="45"/>
  <c r="AE44" i="45"/>
  <c r="F45" i="45"/>
  <c r="H45" i="45"/>
  <c r="J45" i="45"/>
  <c r="L45" i="45"/>
  <c r="N45" i="45"/>
  <c r="P45" i="45"/>
  <c r="R45" i="45"/>
  <c r="T45" i="45"/>
  <c r="V45" i="45"/>
  <c r="X45" i="45"/>
  <c r="Z45" i="45"/>
  <c r="AB45" i="45"/>
  <c r="AE45" i="45"/>
  <c r="F46" i="45"/>
  <c r="H46" i="45"/>
  <c r="J46" i="45"/>
  <c r="L46" i="45"/>
  <c r="N46" i="45"/>
  <c r="P46" i="45"/>
  <c r="R46" i="45"/>
  <c r="T46" i="45"/>
  <c r="V46" i="45"/>
  <c r="X46" i="45"/>
  <c r="Z46" i="45"/>
  <c r="AB46" i="45"/>
  <c r="AE46" i="45"/>
  <c r="F47" i="45"/>
  <c r="H47" i="45"/>
  <c r="J47" i="45"/>
  <c r="L47" i="45"/>
  <c r="N47" i="45"/>
  <c r="P47" i="45"/>
  <c r="R47" i="45"/>
  <c r="T47" i="45"/>
  <c r="V47" i="45"/>
  <c r="X47" i="45"/>
  <c r="Z47" i="45"/>
  <c r="AB47" i="45"/>
  <c r="AE47" i="45"/>
  <c r="D48" i="45"/>
  <c r="E48" i="45"/>
  <c r="G48" i="45"/>
  <c r="I48" i="45"/>
  <c r="K48" i="45"/>
  <c r="M48" i="45"/>
  <c r="O48" i="45"/>
  <c r="Q48" i="45"/>
  <c r="Q58" i="45" s="1"/>
  <c r="S48" i="45"/>
  <c r="U48" i="45"/>
  <c r="W48" i="45"/>
  <c r="W58" i="45" s="1"/>
  <c r="Y48" i="45"/>
  <c r="AA48" i="45"/>
  <c r="G1" i="46"/>
  <c r="H1" i="46"/>
  <c r="U1" i="46"/>
  <c r="V1" i="46"/>
  <c r="G2" i="46"/>
  <c r="T2" i="46" s="1"/>
  <c r="H2" i="46"/>
  <c r="A3" i="46"/>
  <c r="E23" i="46"/>
  <c r="G23" i="46"/>
  <c r="I23" i="46"/>
  <c r="K23" i="46"/>
  <c r="M23" i="46"/>
  <c r="O23" i="46"/>
  <c r="Q23" i="46"/>
  <c r="S23" i="46"/>
  <c r="U23" i="46"/>
  <c r="W23" i="46"/>
  <c r="Y23" i="46"/>
  <c r="AA23" i="46"/>
  <c r="E34" i="46"/>
  <c r="G34" i="46"/>
  <c r="I34" i="46"/>
  <c r="K34" i="46"/>
  <c r="M34" i="46"/>
  <c r="O34" i="46"/>
  <c r="Q34" i="46"/>
  <c r="S34" i="46"/>
  <c r="U34" i="46"/>
  <c r="W34" i="46"/>
  <c r="Y34" i="46"/>
  <c r="AA34" i="46"/>
  <c r="G39" i="46"/>
  <c r="I39" i="46"/>
  <c r="K39" i="46"/>
  <c r="M39" i="46"/>
  <c r="O39" i="46"/>
  <c r="Q39" i="46"/>
  <c r="S39" i="46"/>
  <c r="U39" i="46"/>
  <c r="W39" i="46"/>
  <c r="Y39" i="46"/>
  <c r="AA39" i="46"/>
  <c r="F43" i="46"/>
  <c r="H43" i="46"/>
  <c r="J43" i="46"/>
  <c r="L43" i="46"/>
  <c r="N43" i="46"/>
  <c r="P43" i="46"/>
  <c r="R43" i="46"/>
  <c r="T43" i="46"/>
  <c r="V43" i="46"/>
  <c r="X43" i="46"/>
  <c r="Z43" i="46"/>
  <c r="AB43" i="46"/>
  <c r="AE43" i="46"/>
  <c r="F44" i="46"/>
  <c r="H44" i="46"/>
  <c r="J44" i="46"/>
  <c r="L44" i="46"/>
  <c r="N44" i="46"/>
  <c r="P44" i="46"/>
  <c r="R44" i="46"/>
  <c r="T44" i="46"/>
  <c r="V44" i="46"/>
  <c r="X44" i="46"/>
  <c r="Z44" i="46"/>
  <c r="AB44" i="46"/>
  <c r="AE44" i="46"/>
  <c r="F45" i="46"/>
  <c r="H45" i="46"/>
  <c r="J45" i="46"/>
  <c r="L45" i="46"/>
  <c r="N45" i="46"/>
  <c r="P45" i="46"/>
  <c r="R45" i="46"/>
  <c r="T45" i="46"/>
  <c r="V45" i="46"/>
  <c r="X45" i="46"/>
  <c r="Z45" i="46"/>
  <c r="AB45" i="46"/>
  <c r="AE45" i="46"/>
  <c r="F46" i="46"/>
  <c r="H46" i="46"/>
  <c r="J46" i="46"/>
  <c r="L46" i="46"/>
  <c r="N46" i="46"/>
  <c r="P46" i="46"/>
  <c r="R46" i="46"/>
  <c r="T46" i="46"/>
  <c r="V46" i="46"/>
  <c r="X46" i="46"/>
  <c r="Z46" i="46"/>
  <c r="AB46" i="46"/>
  <c r="AE46" i="46"/>
  <c r="F47" i="46"/>
  <c r="H47" i="46"/>
  <c r="J47" i="46"/>
  <c r="L47" i="46"/>
  <c r="N47" i="46"/>
  <c r="P47" i="46"/>
  <c r="R47" i="46"/>
  <c r="T47" i="46"/>
  <c r="V47" i="46"/>
  <c r="X47" i="46"/>
  <c r="Z47" i="46"/>
  <c r="AB47" i="46"/>
  <c r="AE47" i="46"/>
  <c r="D48" i="46"/>
  <c r="E48" i="46"/>
  <c r="G48" i="46"/>
  <c r="I48" i="46"/>
  <c r="K48" i="46"/>
  <c r="M48" i="46"/>
  <c r="O48" i="46"/>
  <c r="Q48" i="46"/>
  <c r="S48" i="46"/>
  <c r="U48" i="46"/>
  <c r="W48" i="46"/>
  <c r="Y48" i="46"/>
  <c r="AA48" i="46"/>
  <c r="AE48" i="46"/>
  <c r="K58" i="46"/>
  <c r="H61" i="17"/>
  <c r="B103" i="50"/>
  <c r="G17" i="17"/>
  <c r="F17" i="41" s="1"/>
  <c r="B57" i="50"/>
  <c r="B55" i="50"/>
  <c r="H65" i="17"/>
  <c r="G52" i="41"/>
  <c r="G52" i="43"/>
  <c r="H23" i="17"/>
  <c r="L25" i="17"/>
  <c r="H53" i="41"/>
  <c r="C47" i="51" s="1"/>
  <c r="L84" i="17"/>
  <c r="H30" i="17"/>
  <c r="E104" i="50"/>
  <c r="E62" i="2"/>
  <c r="H62" i="2" s="1"/>
  <c r="C104" i="50"/>
  <c r="H62" i="17"/>
  <c r="B98" i="50"/>
  <c r="B101" i="50"/>
  <c r="L117" i="17"/>
  <c r="B96" i="50"/>
  <c r="B99" i="50"/>
  <c r="B102" i="50"/>
  <c r="J44" i="32"/>
  <c r="I36" i="32"/>
  <c r="K42" i="32"/>
  <c r="K34" i="32"/>
  <c r="K36" i="32"/>
  <c r="M151" i="42"/>
  <c r="D89" i="51"/>
  <c r="K151" i="42"/>
  <c r="E104" i="51"/>
  <c r="E82" i="51"/>
  <c r="D82" i="51"/>
  <c r="D104" i="51"/>
  <c r="E85" i="50"/>
  <c r="J34" i="2"/>
  <c r="F33" i="43"/>
  <c r="D104" i="50"/>
  <c r="H17" i="31"/>
  <c r="K17" i="31" s="1"/>
  <c r="E37" i="16"/>
  <c r="B85" i="50" s="1"/>
  <c r="C85" i="49"/>
  <c r="G25" i="30"/>
  <c r="G117" i="30"/>
  <c r="K108" i="30"/>
  <c r="E108" i="17"/>
  <c r="H108" i="17" s="1"/>
  <c r="B104" i="50"/>
  <c r="C104" i="49"/>
  <c r="G37" i="30"/>
  <c r="I35" i="41"/>
  <c r="I30" i="41"/>
  <c r="H35" i="17"/>
  <c r="G23" i="32"/>
  <c r="I23" i="41"/>
  <c r="H13" i="32"/>
  <c r="E10" i="35" s="1"/>
  <c r="G10" i="35" s="1"/>
  <c r="I10" i="35" s="1"/>
  <c r="K10" i="35" s="1"/>
  <c r="M10" i="35" s="1"/>
  <c r="O10" i="35" s="1"/>
  <c r="Q10" i="35" s="1"/>
  <c r="S10" i="35" s="1"/>
  <c r="U10" i="35" s="1"/>
  <c r="W10" i="35" s="1"/>
  <c r="Y10" i="35" s="1"/>
  <c r="AA10" i="35" s="1"/>
  <c r="AA23" i="35" s="1"/>
  <c r="D70" i="49"/>
  <c r="G16" i="32"/>
  <c r="E16" i="2"/>
  <c r="H16" i="2" s="1"/>
  <c r="H16" i="17"/>
  <c r="E16" i="43"/>
  <c r="I16" i="43" s="1"/>
  <c r="I16" i="41"/>
  <c r="K47" i="14"/>
  <c r="P47" i="14" s="1"/>
  <c r="M47" i="28"/>
  <c r="M47" i="14" s="1"/>
  <c r="P34" i="28"/>
  <c r="S60" i="28"/>
  <c r="N49" i="28"/>
  <c r="K49" i="28"/>
  <c r="L49" i="28" s="1"/>
  <c r="N36" i="28"/>
  <c r="O36" i="28" s="1"/>
  <c r="A2" i="40"/>
  <c r="A2" i="17"/>
  <c r="A2" i="21"/>
  <c r="A2" i="2"/>
  <c r="A1" i="40"/>
  <c r="M42" i="43"/>
  <c r="I42" i="32"/>
  <c r="AE31" i="45"/>
  <c r="T31" i="45" s="1"/>
  <c r="K32" i="43"/>
  <c r="L16" i="2"/>
  <c r="J16" i="2"/>
  <c r="AE12" i="38"/>
  <c r="H12" i="38" s="1"/>
  <c r="X12" i="38"/>
  <c r="J43" i="2"/>
  <c r="K13" i="41"/>
  <c r="H13" i="43"/>
  <c r="AE10" i="45" s="1"/>
  <c r="M67" i="14"/>
  <c r="I22" i="28"/>
  <c r="I22" i="39" s="1"/>
  <c r="AB38" i="46"/>
  <c r="F154" i="16"/>
  <c r="K21" i="2"/>
  <c r="L108" i="17"/>
  <c r="J108" i="17"/>
  <c r="G21" i="17"/>
  <c r="F21" i="41" s="1"/>
  <c r="H50" i="41"/>
  <c r="C44" i="51" s="1"/>
  <c r="J37" i="17"/>
  <c r="V60" i="14"/>
  <c r="S60" i="14"/>
  <c r="S47" i="14"/>
  <c r="V34" i="14"/>
  <c r="Q36" i="14"/>
  <c r="V20" i="14"/>
  <c r="V65" i="14"/>
  <c r="Q22" i="14"/>
  <c r="S20" i="14"/>
  <c r="J17" i="17"/>
  <c r="R13" i="34"/>
  <c r="O62" i="14"/>
  <c r="R36" i="14"/>
  <c r="R22" i="14"/>
  <c r="G20" i="32"/>
  <c r="AG44" i="37"/>
  <c r="AE46" i="37"/>
  <c r="AG45" i="34"/>
  <c r="AG46" i="34"/>
  <c r="J13" i="34"/>
  <c r="AE45" i="35"/>
  <c r="AE46" i="35"/>
  <c r="AE43" i="35"/>
  <c r="AE47" i="35"/>
  <c r="AG43" i="35"/>
  <c r="H26" i="35"/>
  <c r="D115" i="51"/>
  <c r="AE37" i="46"/>
  <c r="J17" i="42"/>
  <c r="J17" i="43" s="1"/>
  <c r="L14" i="2"/>
  <c r="Z11" i="38"/>
  <c r="J137" i="16"/>
  <c r="AE20" i="38"/>
  <c r="L37" i="16"/>
  <c r="H44" i="32"/>
  <c r="K44" i="32" s="1"/>
  <c r="I16" i="32"/>
  <c r="F17" i="31"/>
  <c r="E25" i="31"/>
  <c r="G25" i="31" s="1"/>
  <c r="K14" i="32"/>
  <c r="K31" i="43"/>
  <c r="E115" i="51"/>
  <c r="AE12" i="46"/>
  <c r="K137" i="42"/>
  <c r="AE30" i="46"/>
  <c r="AE32" i="45"/>
  <c r="X32" i="45" s="1"/>
  <c r="AC13" i="38"/>
  <c r="AD13" i="38" s="1"/>
  <c r="AF13" i="38" s="1"/>
  <c r="Z13" i="38"/>
  <c r="X13" i="38"/>
  <c r="T13" i="38"/>
  <c r="N13" i="38"/>
  <c r="R13" i="38"/>
  <c r="P13" i="38"/>
  <c r="L13" i="38"/>
  <c r="F13" i="38"/>
  <c r="H13" i="38"/>
  <c r="J13" i="38"/>
  <c r="V13" i="38"/>
  <c r="AB13" i="38"/>
  <c r="AE32" i="38"/>
  <c r="J32" i="38" s="1"/>
  <c r="J146" i="16"/>
  <c r="K44" i="2"/>
  <c r="AE37" i="38"/>
  <c r="N37" i="38" s="1"/>
  <c r="J17" i="16"/>
  <c r="F17" i="42"/>
  <c r="F17" i="43" s="1"/>
  <c r="G17" i="2"/>
  <c r="H30" i="16"/>
  <c r="E30" i="2"/>
  <c r="H30" i="2" s="1"/>
  <c r="N11" i="38"/>
  <c r="AE30" i="38"/>
  <c r="T11" i="38"/>
  <c r="R11" i="38"/>
  <c r="P11" i="38"/>
  <c r="AC11" i="38"/>
  <c r="AD11" i="38" s="1"/>
  <c r="AF11" i="38" s="1"/>
  <c r="AB11" i="38"/>
  <c r="L11" i="38"/>
  <c r="J11" i="38"/>
  <c r="H11" i="38"/>
  <c r="X11" i="38"/>
  <c r="I21" i="16"/>
  <c r="L137" i="16"/>
  <c r="E10" i="2"/>
  <c r="G10" i="16"/>
  <c r="G10" i="2"/>
  <c r="F11" i="38"/>
  <c r="J25" i="16"/>
  <c r="H20" i="38"/>
  <c r="I25" i="16"/>
  <c r="L146" i="16"/>
  <c r="F44" i="2"/>
  <c r="T29" i="38"/>
  <c r="I17" i="16"/>
  <c r="L113" i="16"/>
  <c r="J113" i="16"/>
  <c r="F25" i="31"/>
  <c r="F25" i="32"/>
  <c r="I25" i="32" s="1"/>
  <c r="E23" i="2"/>
  <c r="H23" i="2" s="1"/>
  <c r="E44" i="42"/>
  <c r="I44" i="42" s="1"/>
  <c r="B85" i="49"/>
  <c r="I15" i="32"/>
  <c r="E42" i="2"/>
  <c r="H42" i="2"/>
  <c r="H36" i="16"/>
  <c r="E44" i="16"/>
  <c r="H44" i="16" s="1"/>
  <c r="X29" i="34"/>
  <c r="V29" i="34"/>
  <c r="J29" i="34"/>
  <c r="Z29" i="34"/>
  <c r="AB29" i="34"/>
  <c r="P29" i="34"/>
  <c r="T29" i="34"/>
  <c r="N29" i="34"/>
  <c r="L29" i="34"/>
  <c r="AC29" i="34"/>
  <c r="AD29" i="34" s="1"/>
  <c r="AF29" i="34" s="1"/>
  <c r="H29" i="34"/>
  <c r="F29" i="34"/>
  <c r="V20" i="35"/>
  <c r="H20" i="35"/>
  <c r="P20" i="35"/>
  <c r="AC20" i="35"/>
  <c r="AD20" i="35" s="1"/>
  <c r="AF20" i="35" s="1"/>
  <c r="F20" i="35"/>
  <c r="T20" i="35"/>
  <c r="R20" i="35"/>
  <c r="J20" i="35"/>
  <c r="L20" i="35"/>
  <c r="AB20" i="35"/>
  <c r="Z20" i="35"/>
  <c r="X20" i="35"/>
  <c r="H32" i="16"/>
  <c r="E32" i="2"/>
  <c r="P26" i="35"/>
  <c r="T26" i="35"/>
  <c r="F26" i="35"/>
  <c r="N20" i="35"/>
  <c r="E35" i="2"/>
  <c r="H35" i="2" s="1"/>
  <c r="H35" i="16"/>
  <c r="B113" i="50"/>
  <c r="E115" i="16"/>
  <c r="X33" i="35"/>
  <c r="R33" i="35"/>
  <c r="AB33" i="35"/>
  <c r="N33" i="35"/>
  <c r="P33" i="35"/>
  <c r="AC33" i="35"/>
  <c r="AD33" i="35" s="1"/>
  <c r="AF33" i="35" s="1"/>
  <c r="H33" i="35"/>
  <c r="V33" i="35"/>
  <c r="T33" i="35"/>
  <c r="J33" i="35"/>
  <c r="AE13" i="35"/>
  <c r="L13" i="35" s="1"/>
  <c r="K16" i="32"/>
  <c r="E21" i="31"/>
  <c r="R29" i="34"/>
  <c r="AE30" i="35"/>
  <c r="I31" i="42"/>
  <c r="E31" i="43"/>
  <c r="I31" i="43" s="1"/>
  <c r="B109" i="51"/>
  <c r="P13" i="34"/>
  <c r="V13" i="34"/>
  <c r="AC13" i="34"/>
  <c r="AD13" i="34" s="1"/>
  <c r="AF13" i="34" s="1"/>
  <c r="T13" i="34"/>
  <c r="AB13" i="34"/>
  <c r="L13" i="34"/>
  <c r="N13" i="34"/>
  <c r="X13" i="34"/>
  <c r="F13" i="34"/>
  <c r="H13" i="34"/>
  <c r="Z13" i="34"/>
  <c r="I43" i="42"/>
  <c r="H120" i="16"/>
  <c r="E137" i="16"/>
  <c r="H137" i="16" s="1"/>
  <c r="E25" i="42"/>
  <c r="E25" i="43" s="1"/>
  <c r="I25" i="43" s="1"/>
  <c r="E25" i="16"/>
  <c r="H25" i="16" s="1"/>
  <c r="I25" i="31"/>
  <c r="E17" i="31"/>
  <c r="B108" i="50"/>
  <c r="H33" i="16"/>
  <c r="I32" i="32"/>
  <c r="I34" i="32"/>
  <c r="K137" i="31"/>
  <c r="AE11" i="34"/>
  <c r="L11" i="34" s="1"/>
  <c r="AE32" i="34"/>
  <c r="L32" i="34" s="1"/>
  <c r="AE27" i="35"/>
  <c r="I23" i="32"/>
  <c r="E154" i="31"/>
  <c r="B92" i="49" s="1"/>
  <c r="B113" i="51"/>
  <c r="K15" i="32"/>
  <c r="F37" i="46"/>
  <c r="L37" i="46"/>
  <c r="AB20" i="38"/>
  <c r="N20" i="38"/>
  <c r="Z20" i="38"/>
  <c r="X20" i="38"/>
  <c r="V20" i="38"/>
  <c r="P20" i="38"/>
  <c r="R20" i="38"/>
  <c r="T20" i="38"/>
  <c r="N32" i="38"/>
  <c r="F32" i="38"/>
  <c r="P32" i="38"/>
  <c r="L37" i="38"/>
  <c r="X37" i="38"/>
  <c r="L25" i="16"/>
  <c r="I25" i="2"/>
  <c r="L25" i="2" s="1"/>
  <c r="N26" i="38"/>
  <c r="AC26" i="38"/>
  <c r="H26" i="38"/>
  <c r="AB26" i="38"/>
  <c r="P26" i="38"/>
  <c r="T26" i="38"/>
  <c r="Z26" i="38"/>
  <c r="J26" i="38"/>
  <c r="X26" i="38"/>
  <c r="R30" i="38"/>
  <c r="N30" i="38"/>
  <c r="J30" i="38"/>
  <c r="L30" i="38"/>
  <c r="F30" i="38"/>
  <c r="Z30" i="38"/>
  <c r="V30" i="38"/>
  <c r="AB32" i="34"/>
  <c r="P32" i="34"/>
  <c r="AE22" i="34"/>
  <c r="F22" i="34"/>
  <c r="G21" i="31"/>
  <c r="P11" i="34"/>
  <c r="F11" i="34"/>
  <c r="AC11" i="34"/>
  <c r="AD11" i="34" s="1"/>
  <c r="H11" i="34"/>
  <c r="V11" i="34"/>
  <c r="N11" i="34"/>
  <c r="R13" i="35"/>
  <c r="X13" i="35"/>
  <c r="V30" i="35"/>
  <c r="AB30" i="35"/>
  <c r="F30" i="35"/>
  <c r="Z30" i="35"/>
  <c r="AC30" i="35"/>
  <c r="AD30" i="35" s="1"/>
  <c r="AF30" i="35" s="1"/>
  <c r="X30" i="35"/>
  <c r="N30" i="35"/>
  <c r="P30" i="35"/>
  <c r="R30" i="35"/>
  <c r="T30" i="35"/>
  <c r="J30" i="35"/>
  <c r="H32" i="2"/>
  <c r="AD26" i="38"/>
  <c r="AF26" i="38" s="1"/>
  <c r="AE22" i="38"/>
  <c r="T22" i="38" s="1"/>
  <c r="K37" i="42"/>
  <c r="C115" i="51"/>
  <c r="Z13" i="46"/>
  <c r="L13" i="46"/>
  <c r="I30" i="42"/>
  <c r="D64" i="51"/>
  <c r="B108" i="51"/>
  <c r="K29" i="43"/>
  <c r="AE26" i="46"/>
  <c r="J26" i="46" s="1"/>
  <c r="L26" i="46"/>
  <c r="J21" i="42"/>
  <c r="J21" i="43" s="1"/>
  <c r="M21" i="43" s="1"/>
  <c r="E29" i="43"/>
  <c r="I29" i="43" s="1"/>
  <c r="AE33" i="45"/>
  <c r="T33" i="45" s="1"/>
  <c r="I33" i="42"/>
  <c r="H26" i="46"/>
  <c r="V26" i="46"/>
  <c r="E33" i="43"/>
  <c r="I33" i="43" s="1"/>
  <c r="M23" i="43"/>
  <c r="E137" i="42"/>
  <c r="H17" i="42"/>
  <c r="AE32" i="46"/>
  <c r="AB32" i="46" s="1"/>
  <c r="M17" i="42"/>
  <c r="AE33" i="46"/>
  <c r="T33" i="46" s="1"/>
  <c r="P33" i="46"/>
  <c r="M43" i="43"/>
  <c r="M36" i="43"/>
  <c r="I23" i="42"/>
  <c r="E89" i="51"/>
  <c r="Z26" i="46"/>
  <c r="Z33" i="46"/>
  <c r="AC26" i="46"/>
  <c r="AD26" i="46" s="1"/>
  <c r="AF26" i="46" s="1"/>
  <c r="R26" i="46"/>
  <c r="P26" i="46"/>
  <c r="N26" i="46"/>
  <c r="X26" i="46"/>
  <c r="L32" i="46"/>
  <c r="N33" i="45"/>
  <c r="AB33" i="45"/>
  <c r="R33" i="45"/>
  <c r="U75" i="39"/>
  <c r="J21" i="40" s="1"/>
  <c r="V20" i="39"/>
  <c r="AC38" i="46"/>
  <c r="J38" i="46"/>
  <c r="H38" i="46"/>
  <c r="N38" i="46"/>
  <c r="F38" i="46"/>
  <c r="L38" i="46"/>
  <c r="V38" i="46"/>
  <c r="X38" i="46"/>
  <c r="Z38" i="46"/>
  <c r="P38" i="46"/>
  <c r="T38" i="46"/>
  <c r="R38" i="46"/>
  <c r="G21" i="40"/>
  <c r="V65" i="39"/>
  <c r="S65" i="39"/>
  <c r="Q73" i="39"/>
  <c r="N22" i="39"/>
  <c r="S22" i="39" s="1"/>
  <c r="O22" i="39"/>
  <c r="R75" i="39"/>
  <c r="H21" i="40" s="1"/>
  <c r="K34" i="40"/>
  <c r="C70" i="50"/>
  <c r="J13" i="17"/>
  <c r="D70" i="50"/>
  <c r="E13" i="43"/>
  <c r="B70" i="51"/>
  <c r="I13" i="41"/>
  <c r="H10" i="30"/>
  <c r="J10" i="42" s="1"/>
  <c r="I13" i="30"/>
  <c r="F13" i="32"/>
  <c r="C70" i="49"/>
  <c r="G12" i="36"/>
  <c r="E13" i="17"/>
  <c r="E13" i="2" s="1"/>
  <c r="H6" i="40"/>
  <c r="G12" i="44" s="1"/>
  <c r="G10" i="43"/>
  <c r="K10" i="17"/>
  <c r="K10" i="16"/>
  <c r="K10" i="2" s="1"/>
  <c r="J10" i="31"/>
  <c r="J10" i="32"/>
  <c r="L10" i="42"/>
  <c r="L10" i="41"/>
  <c r="L10" i="43"/>
  <c r="J6" i="21"/>
  <c r="I12" i="15" s="1"/>
  <c r="H10" i="31"/>
  <c r="H10" i="32" s="1"/>
  <c r="J10" i="43"/>
  <c r="J10" i="41"/>
  <c r="J30" i="46"/>
  <c r="E64" i="51"/>
  <c r="M154" i="42"/>
  <c r="AB30" i="46"/>
  <c r="R30" i="46"/>
  <c r="H30" i="46"/>
  <c r="H50" i="42"/>
  <c r="F30" i="46"/>
  <c r="F113" i="42"/>
  <c r="V30" i="46"/>
  <c r="G37" i="43"/>
  <c r="P30" i="46"/>
  <c r="T30" i="46"/>
  <c r="F44" i="42"/>
  <c r="AE11" i="46"/>
  <c r="R11" i="46" s="1"/>
  <c r="N30" i="46"/>
  <c r="X30" i="46"/>
  <c r="AC30" i="46"/>
  <c r="AD30" i="46" s="1"/>
  <c r="AF30" i="46" s="1"/>
  <c r="F137" i="42"/>
  <c r="F50" i="43"/>
  <c r="K42" i="43"/>
  <c r="J12" i="45"/>
  <c r="V12" i="45"/>
  <c r="N11" i="46"/>
  <c r="X32" i="46"/>
  <c r="AC32" i="46"/>
  <c r="AD32" i="46" s="1"/>
  <c r="AF32" i="46" s="1"/>
  <c r="F33" i="46"/>
  <c r="AE28" i="46"/>
  <c r="P28" i="46" s="1"/>
  <c r="N13" i="46"/>
  <c r="F32" i="46"/>
  <c r="N33" i="46"/>
  <c r="AB13" i="46"/>
  <c r="K30" i="43"/>
  <c r="I32" i="42"/>
  <c r="AE13" i="45"/>
  <c r="J11" i="46"/>
  <c r="X33" i="46"/>
  <c r="H13" i="46"/>
  <c r="AC11" i="46"/>
  <c r="AD11" i="46" s="1"/>
  <c r="AF11" i="46" s="1"/>
  <c r="V33" i="46"/>
  <c r="J33" i="46"/>
  <c r="J32" i="46"/>
  <c r="H44" i="43"/>
  <c r="K44" i="43" s="1"/>
  <c r="X13" i="46"/>
  <c r="T13" i="46"/>
  <c r="J25" i="42"/>
  <c r="B110" i="51"/>
  <c r="L37" i="43"/>
  <c r="T11" i="46"/>
  <c r="R32" i="46"/>
  <c r="AB33" i="46"/>
  <c r="L33" i="46"/>
  <c r="P11" i="46"/>
  <c r="H32" i="46"/>
  <c r="F13" i="46"/>
  <c r="R13" i="46"/>
  <c r="F32" i="45"/>
  <c r="K33" i="43"/>
  <c r="AE38" i="45"/>
  <c r="AE39" i="45" s="1"/>
  <c r="Z11" i="46"/>
  <c r="Z32" i="46"/>
  <c r="X11" i="46"/>
  <c r="T32" i="46"/>
  <c r="AC33" i="46"/>
  <c r="AD33" i="46" s="1"/>
  <c r="AF33" i="46" s="1"/>
  <c r="V32" i="45"/>
  <c r="R33" i="46"/>
  <c r="H37" i="43"/>
  <c r="K37" i="43" s="1"/>
  <c r="V13" i="46"/>
  <c r="P13" i="46"/>
  <c r="D85" i="51"/>
  <c r="E113" i="42"/>
  <c r="G26" i="42"/>
  <c r="G39" i="42" s="1"/>
  <c r="G46" i="42" s="1"/>
  <c r="G25" i="43"/>
  <c r="Z30" i="45"/>
  <c r="R30" i="45"/>
  <c r="AB30" i="45"/>
  <c r="J30" i="45"/>
  <c r="N30" i="45"/>
  <c r="X30" i="45"/>
  <c r="H30" i="45"/>
  <c r="T30" i="45"/>
  <c r="V30" i="45"/>
  <c r="P30" i="45"/>
  <c r="L30" i="45"/>
  <c r="F30" i="45"/>
  <c r="AC30" i="45"/>
  <c r="AD30" i="45" s="1"/>
  <c r="AF30" i="45" s="1"/>
  <c r="J11" i="45"/>
  <c r="P11" i="45"/>
  <c r="X11" i="45"/>
  <c r="L11" i="45"/>
  <c r="V11" i="45"/>
  <c r="T11" i="45"/>
  <c r="AC11" i="45"/>
  <c r="AD11" i="45" s="1"/>
  <c r="AF11" i="45" s="1"/>
  <c r="H11" i="45"/>
  <c r="AB11" i="45"/>
  <c r="Z11" i="45"/>
  <c r="F11" i="45"/>
  <c r="R11" i="45"/>
  <c r="N11" i="45"/>
  <c r="L27" i="45"/>
  <c r="V27" i="45"/>
  <c r="H27" i="45"/>
  <c r="T27" i="45"/>
  <c r="J27" i="45"/>
  <c r="F27" i="45"/>
  <c r="Z27" i="45"/>
  <c r="R27" i="45"/>
  <c r="AC27" i="45"/>
  <c r="AD27" i="45" s="1"/>
  <c r="AF27" i="45" s="1"/>
  <c r="AB27" i="45"/>
  <c r="X27" i="45"/>
  <c r="P27" i="45"/>
  <c r="N27" i="45"/>
  <c r="N20" i="46"/>
  <c r="P20" i="46"/>
  <c r="L20" i="46"/>
  <c r="H20" i="46"/>
  <c r="V20" i="46"/>
  <c r="J20" i="46"/>
  <c r="R20" i="46"/>
  <c r="X20" i="46"/>
  <c r="Z20" i="46"/>
  <c r="T20" i="46"/>
  <c r="F20" i="46"/>
  <c r="AC20" i="46"/>
  <c r="AD20" i="46"/>
  <c r="AF20" i="46" s="1"/>
  <c r="AB20" i="46"/>
  <c r="V29" i="46"/>
  <c r="H29" i="46"/>
  <c r="K21" i="42"/>
  <c r="H21" i="43"/>
  <c r="AC29" i="45"/>
  <c r="AD29" i="45" s="1"/>
  <c r="AF29" i="45" s="1"/>
  <c r="L29" i="45"/>
  <c r="N29" i="45"/>
  <c r="X29" i="45"/>
  <c r="R29" i="45"/>
  <c r="P29" i="45"/>
  <c r="AB29" i="45"/>
  <c r="T29" i="45"/>
  <c r="J29" i="45"/>
  <c r="V29" i="45"/>
  <c r="Z29" i="45"/>
  <c r="F29" i="45"/>
  <c r="H29" i="45"/>
  <c r="F37" i="45"/>
  <c r="X37" i="45"/>
  <c r="L37" i="45"/>
  <c r="Z37" i="45"/>
  <c r="AC37" i="45"/>
  <c r="N37" i="45"/>
  <c r="H37" i="45"/>
  <c r="P37" i="45"/>
  <c r="R37" i="45"/>
  <c r="T37" i="45"/>
  <c r="AB37" i="45"/>
  <c r="J37" i="45"/>
  <c r="V37" i="45"/>
  <c r="V26" i="45"/>
  <c r="P26" i="45"/>
  <c r="AB26" i="45"/>
  <c r="L26" i="45"/>
  <c r="H26" i="45"/>
  <c r="Z26" i="45"/>
  <c r="T26" i="45"/>
  <c r="F26" i="45"/>
  <c r="R26" i="45"/>
  <c r="X26" i="45"/>
  <c r="J26" i="45"/>
  <c r="N26" i="45"/>
  <c r="AC26" i="45"/>
  <c r="R28" i="45"/>
  <c r="J28" i="45"/>
  <c r="H28" i="45"/>
  <c r="L28" i="45"/>
  <c r="AC28" i="45"/>
  <c r="AD28" i="45"/>
  <c r="AF28" i="45" s="1"/>
  <c r="Z28" i="45"/>
  <c r="AB28" i="45"/>
  <c r="N28" i="45"/>
  <c r="F28" i="45"/>
  <c r="P28" i="45"/>
  <c r="T28" i="45"/>
  <c r="X28" i="45"/>
  <c r="V28" i="45"/>
  <c r="AD38" i="46"/>
  <c r="AF38" i="46"/>
  <c r="R12" i="46"/>
  <c r="Z12" i="46"/>
  <c r="L31" i="45"/>
  <c r="H12" i="46"/>
  <c r="AB12" i="46"/>
  <c r="F12" i="46"/>
  <c r="K14" i="43"/>
  <c r="J31" i="45"/>
  <c r="AC31" i="45"/>
  <c r="AD31" i="45"/>
  <c r="AF31" i="45"/>
  <c r="AE21" i="45"/>
  <c r="X21" i="45" s="1"/>
  <c r="F146" i="42"/>
  <c r="V12" i="46"/>
  <c r="X31" i="45"/>
  <c r="N31" i="45"/>
  <c r="R31" i="45"/>
  <c r="F31" i="45"/>
  <c r="Z31" i="45"/>
  <c r="V31" i="45"/>
  <c r="N12" i="46"/>
  <c r="H31" i="45"/>
  <c r="P31" i="45"/>
  <c r="AB31" i="45"/>
  <c r="Z20" i="37"/>
  <c r="N20" i="37"/>
  <c r="X20" i="37"/>
  <c r="L20" i="37"/>
  <c r="V20" i="37"/>
  <c r="R20" i="37"/>
  <c r="H20" i="37"/>
  <c r="AB20" i="37"/>
  <c r="F20" i="37"/>
  <c r="J20" i="37"/>
  <c r="T20" i="37"/>
  <c r="P20" i="37"/>
  <c r="AC20" i="37"/>
  <c r="AD20" i="37" s="1"/>
  <c r="AF20" i="37" s="1"/>
  <c r="I17" i="2"/>
  <c r="L17" i="2" s="1"/>
  <c r="T31" i="38"/>
  <c r="F31" i="38"/>
  <c r="R31" i="38"/>
  <c r="AB31" i="38"/>
  <c r="X31" i="38"/>
  <c r="AC31" i="38"/>
  <c r="AD31" i="38" s="1"/>
  <c r="AF31" i="38" s="1"/>
  <c r="L31" i="38"/>
  <c r="V31" i="38"/>
  <c r="N31" i="38"/>
  <c r="Z31" i="38"/>
  <c r="P31" i="38"/>
  <c r="J31" i="38"/>
  <c r="H31" i="38"/>
  <c r="L21" i="38"/>
  <c r="L17" i="16"/>
  <c r="V33" i="37"/>
  <c r="P33" i="37"/>
  <c r="H33" i="37"/>
  <c r="T33" i="37"/>
  <c r="X33" i="37"/>
  <c r="Z33" i="37"/>
  <c r="AB33" i="37"/>
  <c r="F33" i="37"/>
  <c r="AC33" i="37"/>
  <c r="AD33" i="37" s="1"/>
  <c r="AF33" i="37" s="1"/>
  <c r="R33" i="37"/>
  <c r="J33" i="37"/>
  <c r="L33" i="37"/>
  <c r="N33" i="37"/>
  <c r="K17" i="2"/>
  <c r="N38" i="37"/>
  <c r="P38" i="37"/>
  <c r="L38" i="37"/>
  <c r="H38" i="37"/>
  <c r="R38" i="37"/>
  <c r="X38" i="37"/>
  <c r="AC38" i="37"/>
  <c r="AD38" i="37" s="1"/>
  <c r="AF38" i="37" s="1"/>
  <c r="Z38" i="37"/>
  <c r="F38" i="37"/>
  <c r="AB38" i="37"/>
  <c r="T38" i="37"/>
  <c r="J38" i="37"/>
  <c r="V38" i="37"/>
  <c r="P27" i="38"/>
  <c r="AB27" i="38"/>
  <c r="R27" i="38"/>
  <c r="X27" i="38"/>
  <c r="AC27" i="38"/>
  <c r="AD27" i="38" s="1"/>
  <c r="AF27" i="38" s="1"/>
  <c r="H27" i="38"/>
  <c r="V27" i="38"/>
  <c r="N27" i="38"/>
  <c r="Z27" i="38"/>
  <c r="J27" i="38"/>
  <c r="F27" i="38"/>
  <c r="L27" i="38"/>
  <c r="T27" i="38"/>
  <c r="F21" i="42"/>
  <c r="F21" i="43" s="1"/>
  <c r="J21" i="16"/>
  <c r="G21" i="2"/>
  <c r="V29" i="38"/>
  <c r="X29" i="38"/>
  <c r="H29" i="38"/>
  <c r="R29" i="38"/>
  <c r="AB29" i="38"/>
  <c r="N29" i="38"/>
  <c r="F29" i="38"/>
  <c r="Z29" i="38"/>
  <c r="P29" i="38"/>
  <c r="L29" i="38"/>
  <c r="J29" i="38"/>
  <c r="AC29" i="38"/>
  <c r="AD29" i="38" s="1"/>
  <c r="AF29" i="38" s="1"/>
  <c r="F26" i="16"/>
  <c r="F39" i="16" s="1"/>
  <c r="F46" i="16" s="1"/>
  <c r="F21" i="2"/>
  <c r="N12" i="38"/>
  <c r="T32" i="38"/>
  <c r="Z12" i="38"/>
  <c r="E25" i="2"/>
  <c r="H25" i="2"/>
  <c r="AB32" i="38"/>
  <c r="I37" i="2"/>
  <c r="F12" i="38"/>
  <c r="AB12" i="38"/>
  <c r="AE27" i="37"/>
  <c r="AC12" i="38"/>
  <c r="AD12" i="38" s="1"/>
  <c r="AF12" i="38" s="1"/>
  <c r="R12" i="38"/>
  <c r="E64" i="50"/>
  <c r="X32" i="38"/>
  <c r="AC32" i="38"/>
  <c r="AD32" i="38" s="1"/>
  <c r="AF32" i="38" s="1"/>
  <c r="L30" i="2"/>
  <c r="L32" i="2"/>
  <c r="L24" i="2"/>
  <c r="L21" i="16"/>
  <c r="L32" i="38"/>
  <c r="Z32" i="38"/>
  <c r="E34" i="2"/>
  <c r="H34" i="2" s="1"/>
  <c r="L34" i="2"/>
  <c r="R32" i="38"/>
  <c r="T12" i="38"/>
  <c r="AE12" i="37"/>
  <c r="H34" i="16"/>
  <c r="V12" i="38"/>
  <c r="L12" i="38"/>
  <c r="P12" i="38"/>
  <c r="J12" i="38"/>
  <c r="V11" i="35"/>
  <c r="Z11" i="35"/>
  <c r="F11" i="35"/>
  <c r="H11" i="35"/>
  <c r="R11" i="35"/>
  <c r="AB11" i="35"/>
  <c r="J11" i="35"/>
  <c r="X11" i="35"/>
  <c r="N11" i="35"/>
  <c r="T11" i="35"/>
  <c r="P11" i="35"/>
  <c r="AC11" i="35"/>
  <c r="AD11" i="35" s="1"/>
  <c r="AF11" i="35" s="1"/>
  <c r="L11" i="35"/>
  <c r="R29" i="35"/>
  <c r="P29" i="35"/>
  <c r="AC29" i="35"/>
  <c r="AD29" i="35" s="1"/>
  <c r="AF29" i="35" s="1"/>
  <c r="F29" i="35"/>
  <c r="H29" i="35"/>
  <c r="N29" i="35"/>
  <c r="J29" i="35"/>
  <c r="V29" i="35"/>
  <c r="L29" i="35"/>
  <c r="Z29" i="35"/>
  <c r="T29" i="35"/>
  <c r="AB29" i="35"/>
  <c r="X29" i="35"/>
  <c r="K21" i="31"/>
  <c r="H21" i="32"/>
  <c r="P37" i="34"/>
  <c r="N37" i="34"/>
  <c r="V37" i="34"/>
  <c r="L37" i="34"/>
  <c r="H37" i="34"/>
  <c r="Z37" i="34"/>
  <c r="X37" i="34"/>
  <c r="F37" i="34"/>
  <c r="J37" i="34"/>
  <c r="AB37" i="34"/>
  <c r="AC37" i="34"/>
  <c r="AD37" i="34" s="1"/>
  <c r="T37" i="34"/>
  <c r="R37" i="34"/>
  <c r="H27" i="34"/>
  <c r="X27" i="34"/>
  <c r="P27" i="34"/>
  <c r="R27" i="34"/>
  <c r="T27" i="34"/>
  <c r="F27" i="34"/>
  <c r="N27" i="34"/>
  <c r="AB27" i="34"/>
  <c r="L27" i="34"/>
  <c r="Z27" i="34"/>
  <c r="V27" i="34"/>
  <c r="AC27" i="34"/>
  <c r="J27" i="34"/>
  <c r="V31" i="34"/>
  <c r="H31" i="34"/>
  <c r="R31" i="34"/>
  <c r="Z31" i="34"/>
  <c r="AC31" i="34"/>
  <c r="AD31" i="34" s="1"/>
  <c r="AF31" i="34" s="1"/>
  <c r="X31" i="34"/>
  <c r="F31" i="34"/>
  <c r="P31" i="34"/>
  <c r="T31" i="34"/>
  <c r="J31" i="34"/>
  <c r="N31" i="34"/>
  <c r="AB31" i="34"/>
  <c r="L31" i="34"/>
  <c r="V12" i="35"/>
  <c r="H12" i="35"/>
  <c r="L12" i="35"/>
  <c r="F12" i="35"/>
  <c r="AB12" i="35"/>
  <c r="Z12" i="35"/>
  <c r="T12" i="35"/>
  <c r="J12" i="35"/>
  <c r="N12" i="35"/>
  <c r="X12" i="35"/>
  <c r="P12" i="35"/>
  <c r="R12" i="35"/>
  <c r="AC12" i="35"/>
  <c r="AD12" i="35" s="1"/>
  <c r="AF12" i="35" s="1"/>
  <c r="J12" i="34"/>
  <c r="Z12" i="34"/>
  <c r="L12" i="34"/>
  <c r="F12" i="34"/>
  <c r="AB12" i="34"/>
  <c r="P12" i="34"/>
  <c r="H12" i="34"/>
  <c r="AC12" i="34"/>
  <c r="AD12" i="34" s="1"/>
  <c r="AF12" i="34" s="1"/>
  <c r="N12" i="34"/>
  <c r="V12" i="34"/>
  <c r="X12" i="34"/>
  <c r="T12" i="34"/>
  <c r="R12" i="34"/>
  <c r="R33" i="34"/>
  <c r="F33" i="34"/>
  <c r="V33" i="34"/>
  <c r="P33" i="34"/>
  <c r="AB33" i="34"/>
  <c r="N33" i="34"/>
  <c r="T33" i="34"/>
  <c r="X33" i="34"/>
  <c r="AC33" i="34"/>
  <c r="AD33" i="34" s="1"/>
  <c r="AF33" i="34" s="1"/>
  <c r="H33" i="34"/>
  <c r="L33" i="34"/>
  <c r="J33" i="34"/>
  <c r="Z33" i="34"/>
  <c r="N20" i="34"/>
  <c r="P20" i="34"/>
  <c r="R20" i="34"/>
  <c r="X20" i="34"/>
  <c r="Z20" i="34"/>
  <c r="AB20" i="34"/>
  <c r="AC20" i="34"/>
  <c r="AD20" i="34" s="1"/>
  <c r="AF20" i="34" s="1"/>
  <c r="T20" i="34"/>
  <c r="H20" i="34"/>
  <c r="J20" i="34"/>
  <c r="V20" i="34"/>
  <c r="L20" i="34"/>
  <c r="F20" i="34"/>
  <c r="AB30" i="34"/>
  <c r="V30" i="34"/>
  <c r="F30" i="34"/>
  <c r="J30" i="34"/>
  <c r="H30" i="34"/>
  <c r="L30" i="34"/>
  <c r="N30" i="34"/>
  <c r="AC30" i="34"/>
  <c r="AD30" i="34" s="1"/>
  <c r="AF30" i="34" s="1"/>
  <c r="X30" i="34"/>
  <c r="P30" i="34"/>
  <c r="R30" i="34"/>
  <c r="T30" i="34"/>
  <c r="Z30" i="34"/>
  <c r="AC22" i="34"/>
  <c r="AD22" i="34" s="1"/>
  <c r="AF22" i="34" s="1"/>
  <c r="P22" i="34"/>
  <c r="T22" i="34"/>
  <c r="AB22" i="34"/>
  <c r="N22" i="34"/>
  <c r="I33" i="32"/>
  <c r="F21" i="31"/>
  <c r="E21" i="16" s="1"/>
  <c r="Z22" i="34"/>
  <c r="J22" i="34"/>
  <c r="H25" i="31"/>
  <c r="L22" i="34"/>
  <c r="H22" i="34"/>
  <c r="V22" i="34"/>
  <c r="X22" i="34"/>
  <c r="B89" i="49"/>
  <c r="I30" i="32"/>
  <c r="I25" i="42"/>
  <c r="R22" i="34"/>
  <c r="E146" i="16"/>
  <c r="H146" i="16" s="1"/>
  <c r="I21" i="40"/>
  <c r="H11" i="46"/>
  <c r="L11" i="46"/>
  <c r="F11" i="46"/>
  <c r="C63" i="51"/>
  <c r="H50" i="43"/>
  <c r="AB11" i="46"/>
  <c r="V11" i="46"/>
  <c r="M25" i="42"/>
  <c r="T13" i="45"/>
  <c r="L13" i="45"/>
  <c r="AC13" i="45"/>
  <c r="AD13" i="45" s="1"/>
  <c r="AF13" i="45" s="1"/>
  <c r="P13" i="45"/>
  <c r="X13" i="45"/>
  <c r="V13" i="45"/>
  <c r="N13" i="45"/>
  <c r="Z13" i="45"/>
  <c r="R13" i="45"/>
  <c r="AB13" i="45"/>
  <c r="H13" i="45"/>
  <c r="F13" i="45"/>
  <c r="J13" i="45"/>
  <c r="L38" i="45"/>
  <c r="P38" i="45"/>
  <c r="T38" i="45"/>
  <c r="X38" i="45"/>
  <c r="AB38" i="45"/>
  <c r="AC38" i="45"/>
  <c r="AD38" i="45" s="1"/>
  <c r="R38" i="45"/>
  <c r="N38" i="45"/>
  <c r="V38" i="45"/>
  <c r="F38" i="45"/>
  <c r="H38" i="45"/>
  <c r="J38" i="45"/>
  <c r="Z38" i="45"/>
  <c r="R28" i="46"/>
  <c r="H28" i="46"/>
  <c r="AD26" i="45"/>
  <c r="AD37" i="45"/>
  <c r="AE18" i="45"/>
  <c r="T18" i="45" s="1"/>
  <c r="K21" i="43"/>
  <c r="Z21" i="45"/>
  <c r="F21" i="45"/>
  <c r="R21" i="45"/>
  <c r="AC21" i="45"/>
  <c r="AD21" i="45" s="1"/>
  <c r="AF21" i="45" s="1"/>
  <c r="P21" i="45"/>
  <c r="L21" i="45"/>
  <c r="N21" i="45"/>
  <c r="J21" i="45"/>
  <c r="T21" i="45"/>
  <c r="N39" i="45"/>
  <c r="Z39" i="45"/>
  <c r="X39" i="45"/>
  <c r="F39" i="45"/>
  <c r="P39" i="45"/>
  <c r="J39" i="45"/>
  <c r="V39" i="45"/>
  <c r="R39" i="45"/>
  <c r="H39" i="45"/>
  <c r="L39" i="45"/>
  <c r="T39" i="45"/>
  <c r="AB39" i="45"/>
  <c r="AE18" i="37"/>
  <c r="AC18" i="37" s="1"/>
  <c r="AD18" i="37" s="1"/>
  <c r="J21" i="2"/>
  <c r="V12" i="37"/>
  <c r="Z12" i="37"/>
  <c r="AE14" i="38"/>
  <c r="I21" i="31"/>
  <c r="E21" i="42"/>
  <c r="AD27" i="34"/>
  <c r="AF27" i="34" s="1"/>
  <c r="K25" i="31"/>
  <c r="K21" i="32"/>
  <c r="AE18" i="35"/>
  <c r="X18" i="45"/>
  <c r="V18" i="45"/>
  <c r="F18" i="45"/>
  <c r="Z18" i="45"/>
  <c r="AB18" i="45"/>
  <c r="H18" i="45"/>
  <c r="R18" i="45"/>
  <c r="AF37" i="45"/>
  <c r="AF26" i="45"/>
  <c r="P18" i="37"/>
  <c r="T18" i="37"/>
  <c r="R18" i="37"/>
  <c r="V18" i="37"/>
  <c r="AB18" i="37"/>
  <c r="H18" i="37"/>
  <c r="J18" i="37"/>
  <c r="L18" i="37"/>
  <c r="N18" i="37"/>
  <c r="J14" i="38"/>
  <c r="R14" i="38"/>
  <c r="V14" i="38"/>
  <c r="AB14" i="38"/>
  <c r="Z14" i="38"/>
  <c r="AC14" i="38"/>
  <c r="AD14" i="38" s="1"/>
  <c r="AF14" i="38" s="1"/>
  <c r="T14" i="38"/>
  <c r="N14" i="38"/>
  <c r="H14" i="38"/>
  <c r="F14" i="38"/>
  <c r="L14" i="38"/>
  <c r="X14" i="38"/>
  <c r="P14" i="38"/>
  <c r="V18" i="35"/>
  <c r="Z18" i="35"/>
  <c r="J18" i="35"/>
  <c r="T18" i="35"/>
  <c r="P18" i="35"/>
  <c r="H21" i="16"/>
  <c r="I21" i="42"/>
  <c r="F43" i="43" l="1"/>
  <c r="O48" i="14"/>
  <c r="N49" i="14"/>
  <c r="AE13" i="37"/>
  <c r="E13" i="37"/>
  <c r="G13" i="37" s="1"/>
  <c r="I13" i="37" s="1"/>
  <c r="K13" i="37" s="1"/>
  <c r="M13" i="37" s="1"/>
  <c r="O13" i="37" s="1"/>
  <c r="Q13" i="37" s="1"/>
  <c r="S13" i="37" s="1"/>
  <c r="U13" i="37" s="1"/>
  <c r="W13" i="37" s="1"/>
  <c r="Y13" i="37" s="1"/>
  <c r="AA13" i="37" s="1"/>
  <c r="AE11" i="37"/>
  <c r="E11" i="37"/>
  <c r="G11" i="37" s="1"/>
  <c r="I11" i="37" s="1"/>
  <c r="K11" i="37" s="1"/>
  <c r="M11" i="37" s="1"/>
  <c r="O11" i="37" s="1"/>
  <c r="Q11" i="37" s="1"/>
  <c r="S11" i="37" s="1"/>
  <c r="U11" i="37" s="1"/>
  <c r="W11" i="37" s="1"/>
  <c r="Y11" i="37" s="1"/>
  <c r="AA11" i="37" s="1"/>
  <c r="G37" i="2"/>
  <c r="J37" i="2" s="1"/>
  <c r="J31" i="2"/>
  <c r="J37" i="16"/>
  <c r="G155" i="16"/>
  <c r="S34" i="14"/>
  <c r="S65" i="14"/>
  <c r="AE10" i="38"/>
  <c r="E10" i="38"/>
  <c r="J13" i="2"/>
  <c r="E10" i="37"/>
  <c r="F37" i="2"/>
  <c r="X38" i="38"/>
  <c r="J38" i="38"/>
  <c r="AE39" i="38"/>
  <c r="V38" i="38"/>
  <c r="L38" i="38"/>
  <c r="P38" i="38"/>
  <c r="N38" i="38"/>
  <c r="L43" i="2"/>
  <c r="AB37" i="38"/>
  <c r="L44" i="17"/>
  <c r="I44" i="2"/>
  <c r="L44" i="2" s="1"/>
  <c r="J44" i="17"/>
  <c r="L39" i="38"/>
  <c r="C85" i="50"/>
  <c r="F37" i="42"/>
  <c r="C115" i="50"/>
  <c r="AE28" i="37"/>
  <c r="J30" i="2"/>
  <c r="E27" i="37"/>
  <c r="H29" i="2"/>
  <c r="AE26" i="37"/>
  <c r="E26" i="37"/>
  <c r="G26" i="37" s="1"/>
  <c r="I26" i="37" s="1"/>
  <c r="K26" i="37" s="1"/>
  <c r="M26" i="37" s="1"/>
  <c r="O26" i="37" s="1"/>
  <c r="Q26" i="37" s="1"/>
  <c r="S26" i="37" s="1"/>
  <c r="U26" i="37" s="1"/>
  <c r="W26" i="37" s="1"/>
  <c r="Y26" i="37" s="1"/>
  <c r="AA26" i="37" s="1"/>
  <c r="AE31" i="37"/>
  <c r="J35" i="2"/>
  <c r="E32" i="37"/>
  <c r="G32" i="37" s="1"/>
  <c r="I32" i="37" s="1"/>
  <c r="K32" i="37" s="1"/>
  <c r="M32" i="37" s="1"/>
  <c r="O32" i="37" s="1"/>
  <c r="Q32" i="37" s="1"/>
  <c r="S32" i="37" s="1"/>
  <c r="U32" i="37" s="1"/>
  <c r="W32" i="37" s="1"/>
  <c r="Y32" i="37" s="1"/>
  <c r="AA32" i="37" s="1"/>
  <c r="AB32" i="37" s="1"/>
  <c r="F37" i="41"/>
  <c r="AE30" i="37"/>
  <c r="E30" i="37"/>
  <c r="G30" i="37" s="1"/>
  <c r="I30" i="37" s="1"/>
  <c r="K30" i="37" s="1"/>
  <c r="M30" i="37" s="1"/>
  <c r="O30" i="37" s="1"/>
  <c r="Q30" i="37" s="1"/>
  <c r="S30" i="37" s="1"/>
  <c r="U30" i="37" s="1"/>
  <c r="W30" i="37" s="1"/>
  <c r="Y30" i="37" s="1"/>
  <c r="AA30" i="37" s="1"/>
  <c r="AE29" i="37"/>
  <c r="E29" i="37"/>
  <c r="F11" i="37"/>
  <c r="T11" i="37"/>
  <c r="AB11" i="37"/>
  <c r="Z11" i="37"/>
  <c r="X11" i="37"/>
  <c r="J11" i="37"/>
  <c r="P11" i="37"/>
  <c r="H11" i="37"/>
  <c r="J14" i="2"/>
  <c r="N11" i="37"/>
  <c r="P60" i="14"/>
  <c r="O49" i="14"/>
  <c r="P34" i="14"/>
  <c r="P65" i="14"/>
  <c r="N22" i="14"/>
  <c r="L33" i="2"/>
  <c r="L29" i="2"/>
  <c r="D89" i="50"/>
  <c r="I154" i="16"/>
  <c r="L35" i="2"/>
  <c r="AE33" i="38"/>
  <c r="AE28" i="38"/>
  <c r="K13" i="2"/>
  <c r="J82" i="21" s="1"/>
  <c r="E122" i="50" s="1"/>
  <c r="L13" i="17"/>
  <c r="K34" i="21"/>
  <c r="F10" i="38"/>
  <c r="H82" i="21"/>
  <c r="D122" i="50" s="1"/>
  <c r="I34" i="21"/>
  <c r="V47" i="14"/>
  <c r="Q49" i="14"/>
  <c r="R49" i="14" s="1"/>
  <c r="Q73" i="14"/>
  <c r="T74" i="14"/>
  <c r="U74" i="14" s="1"/>
  <c r="J22" i="21" s="1"/>
  <c r="V69" i="14"/>
  <c r="E34" i="35"/>
  <c r="U34" i="35"/>
  <c r="S34" i="35"/>
  <c r="O34" i="35"/>
  <c r="M34" i="35"/>
  <c r="K34" i="35"/>
  <c r="Q34" i="35"/>
  <c r="Y34" i="35"/>
  <c r="I34" i="35"/>
  <c r="W34" i="35"/>
  <c r="G34" i="35"/>
  <c r="U23" i="35"/>
  <c r="E23" i="35"/>
  <c r="S23" i="35"/>
  <c r="S58" i="35" s="1"/>
  <c r="Q23" i="35"/>
  <c r="O23" i="35"/>
  <c r="M23" i="35"/>
  <c r="M58" i="35" s="1"/>
  <c r="K23" i="35"/>
  <c r="K58" i="35" s="1"/>
  <c r="Y23" i="35"/>
  <c r="I23" i="35"/>
  <c r="I58" i="35" s="1"/>
  <c r="W23" i="35"/>
  <c r="G23" i="35"/>
  <c r="I13" i="32"/>
  <c r="E10" i="34"/>
  <c r="Z37" i="35"/>
  <c r="F37" i="35"/>
  <c r="R37" i="35"/>
  <c r="T37" i="35"/>
  <c r="AB37" i="35"/>
  <c r="H37" i="35"/>
  <c r="P37" i="35"/>
  <c r="AC37" i="35"/>
  <c r="AD37" i="35" s="1"/>
  <c r="AF37" i="35" s="1"/>
  <c r="N37" i="35"/>
  <c r="L37" i="35"/>
  <c r="J37" i="35"/>
  <c r="AA58" i="35"/>
  <c r="K44" i="30"/>
  <c r="AE38" i="35"/>
  <c r="L38" i="35" s="1"/>
  <c r="B109" i="50"/>
  <c r="F44" i="32"/>
  <c r="I44" i="32" s="1"/>
  <c r="AE38" i="34"/>
  <c r="F38" i="34" s="1"/>
  <c r="I44" i="30"/>
  <c r="E43" i="2"/>
  <c r="H43" i="2" s="1"/>
  <c r="I44" i="41"/>
  <c r="E44" i="43"/>
  <c r="I44" i="43" s="1"/>
  <c r="E44" i="17"/>
  <c r="H44" i="17" s="1"/>
  <c r="E43" i="43"/>
  <c r="I43" i="43" s="1"/>
  <c r="G44" i="30"/>
  <c r="K33" i="32"/>
  <c r="G33" i="32"/>
  <c r="V31" i="35"/>
  <c r="I35" i="32"/>
  <c r="G34" i="32"/>
  <c r="G35" i="32"/>
  <c r="I32" i="41"/>
  <c r="E44" i="32"/>
  <c r="G44" i="32" s="1"/>
  <c r="B104" i="49"/>
  <c r="G37" i="31"/>
  <c r="E115" i="49"/>
  <c r="K31" i="32"/>
  <c r="E82" i="49"/>
  <c r="J37" i="32"/>
  <c r="D104" i="49"/>
  <c r="I37" i="30"/>
  <c r="B107" i="50"/>
  <c r="K30" i="32"/>
  <c r="E26" i="30"/>
  <c r="B81" i="49" s="1"/>
  <c r="G84" i="30"/>
  <c r="E21" i="32"/>
  <c r="G21" i="32" s="1"/>
  <c r="G21" i="30"/>
  <c r="G108" i="30"/>
  <c r="AB26" i="34"/>
  <c r="R26" i="34"/>
  <c r="V26" i="34"/>
  <c r="K37" i="30"/>
  <c r="K29" i="32"/>
  <c r="AE28" i="35"/>
  <c r="N28" i="35" s="1"/>
  <c r="H37" i="32"/>
  <c r="Z26" i="35"/>
  <c r="I29" i="32"/>
  <c r="R26" i="35"/>
  <c r="Z28" i="34"/>
  <c r="H28" i="34"/>
  <c r="R28" i="34"/>
  <c r="N28" i="34"/>
  <c r="AC28" i="34"/>
  <c r="AD28" i="34" s="1"/>
  <c r="AF28" i="34" s="1"/>
  <c r="T28" i="34"/>
  <c r="AB28" i="34"/>
  <c r="F28" i="34"/>
  <c r="V28" i="34"/>
  <c r="J28" i="34"/>
  <c r="X28" i="34"/>
  <c r="L28" i="34"/>
  <c r="AE34" i="34"/>
  <c r="Z34" i="34" s="1"/>
  <c r="P28" i="34"/>
  <c r="G31" i="32"/>
  <c r="I31" i="32"/>
  <c r="F37" i="32"/>
  <c r="G29" i="32"/>
  <c r="P26" i="34"/>
  <c r="N26" i="34"/>
  <c r="Z26" i="34"/>
  <c r="E37" i="32"/>
  <c r="AE14" i="46"/>
  <c r="M17" i="43"/>
  <c r="R10" i="45"/>
  <c r="X10" i="45"/>
  <c r="AB10" i="45"/>
  <c r="P10" i="45"/>
  <c r="T10" i="45"/>
  <c r="Z10" i="45"/>
  <c r="L10" i="45"/>
  <c r="AF37" i="34"/>
  <c r="B98" i="51"/>
  <c r="I31" i="41"/>
  <c r="V39" i="38"/>
  <c r="J18" i="45"/>
  <c r="H38" i="38"/>
  <c r="R38" i="38"/>
  <c r="V21" i="45"/>
  <c r="L28" i="46"/>
  <c r="V28" i="46"/>
  <c r="Z31" i="35"/>
  <c r="H31" i="35"/>
  <c r="AC21" i="38"/>
  <c r="AD21" i="38" s="1"/>
  <c r="AF21" i="38" s="1"/>
  <c r="H21" i="38"/>
  <c r="N29" i="46"/>
  <c r="T29" i="46"/>
  <c r="N32" i="45"/>
  <c r="AC32" i="45"/>
  <c r="AD32" i="45" s="1"/>
  <c r="P12" i="45"/>
  <c r="T12" i="45"/>
  <c r="AB32" i="45"/>
  <c r="H13" i="2"/>
  <c r="I13" i="43"/>
  <c r="AB13" i="35"/>
  <c r="C46" i="51"/>
  <c r="AA58" i="46"/>
  <c r="M24" i="43"/>
  <c r="AE21" i="46"/>
  <c r="S47" i="39"/>
  <c r="L13" i="43"/>
  <c r="J82" i="40" s="1"/>
  <c r="E122" i="51" s="1"/>
  <c r="E70" i="51"/>
  <c r="J31" i="35"/>
  <c r="P21" i="38"/>
  <c r="N21" i="38"/>
  <c r="P29" i="46"/>
  <c r="J29" i="46"/>
  <c r="L32" i="45"/>
  <c r="T32" i="45"/>
  <c r="H12" i="45"/>
  <c r="AE18" i="46"/>
  <c r="E36" i="43"/>
  <c r="I36" i="43" s="1"/>
  <c r="V13" i="35"/>
  <c r="X26" i="34"/>
  <c r="H53" i="43"/>
  <c r="F33" i="38"/>
  <c r="AC33" i="38"/>
  <c r="AD33" i="38" s="1"/>
  <c r="AF33" i="38" s="1"/>
  <c r="X33" i="38"/>
  <c r="M32" i="43"/>
  <c r="G13" i="32"/>
  <c r="S58" i="46"/>
  <c r="L44" i="43"/>
  <c r="I34" i="41"/>
  <c r="B101" i="51"/>
  <c r="P60" i="39"/>
  <c r="V37" i="35"/>
  <c r="X37" i="35"/>
  <c r="F38" i="38"/>
  <c r="Z28" i="46"/>
  <c r="H39" i="38"/>
  <c r="N18" i="45"/>
  <c r="L18" i="45"/>
  <c r="AB38" i="38"/>
  <c r="H21" i="45"/>
  <c r="J28" i="46"/>
  <c r="AC31" i="35"/>
  <c r="AD31" i="35" s="1"/>
  <c r="AF31" i="35" s="1"/>
  <c r="X31" i="35"/>
  <c r="E44" i="2"/>
  <c r="Z21" i="38"/>
  <c r="V21" i="38"/>
  <c r="K13" i="43"/>
  <c r="L29" i="46"/>
  <c r="AB12" i="45"/>
  <c r="I10" i="17"/>
  <c r="I10" i="16" s="1"/>
  <c r="I10" i="2" s="1"/>
  <c r="K21" i="40"/>
  <c r="T26" i="46"/>
  <c r="T13" i="35"/>
  <c r="L26" i="34"/>
  <c r="V32" i="34"/>
  <c r="H30" i="35"/>
  <c r="L30" i="35"/>
  <c r="Q58" i="46"/>
  <c r="H25" i="42"/>
  <c r="K146" i="42"/>
  <c r="B72" i="51"/>
  <c r="I15" i="41"/>
  <c r="R61" i="39"/>
  <c r="Q62" i="39"/>
  <c r="V62" i="39" s="1"/>
  <c r="R21" i="39"/>
  <c r="V21" i="39"/>
  <c r="Q22" i="39"/>
  <c r="V22" i="39" s="1"/>
  <c r="F25" i="2"/>
  <c r="E70" i="49"/>
  <c r="J13" i="32"/>
  <c r="K13" i="32" s="1"/>
  <c r="J39" i="38"/>
  <c r="AB39" i="38"/>
  <c r="P18" i="45"/>
  <c r="AC38" i="38"/>
  <c r="AD38" i="38" s="1"/>
  <c r="AF38" i="38" s="1"/>
  <c r="Z38" i="38"/>
  <c r="N28" i="46"/>
  <c r="N31" i="35"/>
  <c r="R31" i="35"/>
  <c r="G82" i="21"/>
  <c r="R21" i="38"/>
  <c r="AB29" i="46"/>
  <c r="G82" i="40"/>
  <c r="L12" i="45"/>
  <c r="AE31" i="46"/>
  <c r="I36" i="42"/>
  <c r="N13" i="35"/>
  <c r="I21" i="2"/>
  <c r="M47" i="39"/>
  <c r="V48" i="39"/>
  <c r="R48" i="39"/>
  <c r="L37" i="17"/>
  <c r="D82" i="50"/>
  <c r="AB28" i="46"/>
  <c r="F39" i="38"/>
  <c r="P39" i="38"/>
  <c r="AC18" i="45"/>
  <c r="AD18" i="45" s="1"/>
  <c r="AF18" i="45" s="1"/>
  <c r="T38" i="38"/>
  <c r="AB21" i="45"/>
  <c r="AF29" i="46"/>
  <c r="F28" i="46"/>
  <c r="F31" i="35"/>
  <c r="AB31" i="35"/>
  <c r="X21" i="38"/>
  <c r="AB21" i="38"/>
  <c r="Z29" i="46"/>
  <c r="R12" i="45"/>
  <c r="AC12" i="45"/>
  <c r="AD12" i="45" s="1"/>
  <c r="AF12" i="45" s="1"/>
  <c r="H33" i="46"/>
  <c r="H17" i="43"/>
  <c r="E154" i="16"/>
  <c r="J13" i="35"/>
  <c r="AC26" i="34"/>
  <c r="AD26" i="34" s="1"/>
  <c r="AF26" i="34" s="1"/>
  <c r="B82" i="51"/>
  <c r="I37" i="41"/>
  <c r="D115" i="50"/>
  <c r="D85" i="50"/>
  <c r="B51" i="50"/>
  <c r="H59" i="17"/>
  <c r="E59" i="2"/>
  <c r="H59" i="2" s="1"/>
  <c r="S69" i="14"/>
  <c r="N73" i="14"/>
  <c r="S73" i="14" s="1"/>
  <c r="A2" i="16"/>
  <c r="A2" i="41"/>
  <c r="A5" i="9"/>
  <c r="Z39" i="38"/>
  <c r="AC28" i="46"/>
  <c r="AD28" i="46" s="1"/>
  <c r="AF28" i="46" s="1"/>
  <c r="T28" i="46"/>
  <c r="T31" i="35"/>
  <c r="F21" i="38"/>
  <c r="J21" i="38"/>
  <c r="F29" i="46"/>
  <c r="X29" i="46"/>
  <c r="R32" i="45"/>
  <c r="H32" i="45"/>
  <c r="X12" i="45"/>
  <c r="Z12" i="45"/>
  <c r="AE10" i="37"/>
  <c r="K15" i="43"/>
  <c r="AC13" i="35"/>
  <c r="AD13" i="35" s="1"/>
  <c r="AF13" i="35" s="1"/>
  <c r="Z13" i="35"/>
  <c r="H26" i="34"/>
  <c r="J26" i="34"/>
  <c r="AE20" i="45"/>
  <c r="K23" i="43"/>
  <c r="L17" i="43"/>
  <c r="F26" i="17"/>
  <c r="F39" i="17" s="1"/>
  <c r="F46" i="17" s="1"/>
  <c r="F80" i="2" s="1"/>
  <c r="B82" i="50"/>
  <c r="H37" i="17"/>
  <c r="X28" i="46"/>
  <c r="L31" i="35"/>
  <c r="R29" i="46"/>
  <c r="AF32" i="45"/>
  <c r="J32" i="45"/>
  <c r="Z32" i="45"/>
  <c r="F12" i="45"/>
  <c r="P32" i="45"/>
  <c r="E25" i="32"/>
  <c r="G25" i="32" s="1"/>
  <c r="E53" i="2"/>
  <c r="B66" i="50"/>
  <c r="L33" i="35"/>
  <c r="F33" i="35"/>
  <c r="Z33" i="35"/>
  <c r="E113" i="16"/>
  <c r="H113" i="16" s="1"/>
  <c r="V61" i="14"/>
  <c r="T49" i="14"/>
  <c r="U49" i="14" s="1"/>
  <c r="O21" i="14"/>
  <c r="N2" i="10"/>
  <c r="B64" i="49"/>
  <c r="AD48" i="46"/>
  <c r="T22" i="39"/>
  <c r="M58" i="46"/>
  <c r="U58" i="46"/>
  <c r="E58" i="46"/>
  <c r="E14" i="2"/>
  <c r="H14" i="2" s="1"/>
  <c r="B45" i="49"/>
  <c r="N62" i="28"/>
  <c r="Q22" i="28"/>
  <c r="R22" i="28" s="1"/>
  <c r="B55" i="51"/>
  <c r="N22" i="28"/>
  <c r="AD56" i="34"/>
  <c r="E35" i="43"/>
  <c r="I35" i="43" s="1"/>
  <c r="O58" i="45"/>
  <c r="G58" i="45"/>
  <c r="K84" i="41"/>
  <c r="P65" i="39"/>
  <c r="AE48" i="38"/>
  <c r="F50" i="2"/>
  <c r="P69" i="14"/>
  <c r="T22" i="14"/>
  <c r="P20" i="14"/>
  <c r="D64" i="50"/>
  <c r="AE44" i="34"/>
  <c r="AG45" i="37"/>
  <c r="F53" i="43"/>
  <c r="B100" i="51"/>
  <c r="T73" i="39"/>
  <c r="O48" i="39"/>
  <c r="P47" i="39"/>
  <c r="H14" i="17"/>
  <c r="K23" i="32"/>
  <c r="J17" i="32"/>
  <c r="G13" i="30"/>
  <c r="AG43" i="46"/>
  <c r="E30" i="43"/>
  <c r="I30" i="43" s="1"/>
  <c r="G17" i="43"/>
  <c r="AD48" i="34"/>
  <c r="E36" i="2"/>
  <c r="H36" i="2" s="1"/>
  <c r="A2" i="44"/>
  <c r="F36" i="43"/>
  <c r="D4" i="42"/>
  <c r="F117" i="41"/>
  <c r="F34" i="43"/>
  <c r="B58" i="50"/>
  <c r="G25" i="17"/>
  <c r="Q62" i="14"/>
  <c r="I14" i="32"/>
  <c r="I113" i="31"/>
  <c r="M43" i="14"/>
  <c r="Q74" i="28"/>
  <c r="R74" i="28" s="1"/>
  <c r="J22" i="29" s="1"/>
  <c r="K66" i="14"/>
  <c r="P66" i="14" s="1"/>
  <c r="M13" i="14"/>
  <c r="M61" i="39"/>
  <c r="I61" i="14"/>
  <c r="M70" i="39"/>
  <c r="I70" i="14"/>
  <c r="I70" i="39"/>
  <c r="E39" i="30"/>
  <c r="G82" i="29"/>
  <c r="C122" i="49" s="1"/>
  <c r="I14" i="41"/>
  <c r="E14" i="43"/>
  <c r="I14" i="43" s="1"/>
  <c r="K34" i="29"/>
  <c r="I34" i="29"/>
  <c r="K13" i="30"/>
  <c r="B11" i="50"/>
  <c r="B70" i="50"/>
  <c r="H13" i="17"/>
  <c r="S62" i="28"/>
  <c r="P60" i="28"/>
  <c r="O62" i="28"/>
  <c r="K62" i="28"/>
  <c r="L62" i="28" s="1"/>
  <c r="M60" i="28"/>
  <c r="M60" i="14" s="1"/>
  <c r="L61" i="28"/>
  <c r="S47" i="28"/>
  <c r="S49" i="28"/>
  <c r="O49" i="28"/>
  <c r="P47" i="28"/>
  <c r="O48" i="28"/>
  <c r="L49" i="14"/>
  <c r="L49" i="39"/>
  <c r="S36" i="28"/>
  <c r="S34" i="28"/>
  <c r="P69" i="28"/>
  <c r="K36" i="28"/>
  <c r="M34" i="28"/>
  <c r="M34" i="39" s="1"/>
  <c r="S69" i="28"/>
  <c r="S65" i="28"/>
  <c r="S22" i="28"/>
  <c r="Q73" i="28"/>
  <c r="O21" i="28"/>
  <c r="P65" i="28"/>
  <c r="S20" i="28"/>
  <c r="O22" i="28"/>
  <c r="P21" i="28"/>
  <c r="L21" i="14"/>
  <c r="L21" i="39"/>
  <c r="K22" i="28"/>
  <c r="K22" i="39" s="1"/>
  <c r="P22" i="39" s="1"/>
  <c r="M20" i="28"/>
  <c r="M20" i="14" s="1"/>
  <c r="K20" i="39"/>
  <c r="P20" i="39" s="1"/>
  <c r="P20" i="28"/>
  <c r="I62" i="28"/>
  <c r="I61" i="39"/>
  <c r="I48" i="14"/>
  <c r="I36" i="28"/>
  <c r="I36" i="14" s="1"/>
  <c r="I35" i="39"/>
  <c r="J35" i="28"/>
  <c r="M35" i="39"/>
  <c r="M35" i="14"/>
  <c r="M34" i="14"/>
  <c r="J21" i="28"/>
  <c r="M69" i="28"/>
  <c r="M21" i="39"/>
  <c r="M21" i="14"/>
  <c r="I65" i="39"/>
  <c r="M65" i="28"/>
  <c r="J22" i="28"/>
  <c r="I20" i="39"/>
  <c r="I20" i="14"/>
  <c r="A3" i="17"/>
  <c r="A3" i="21"/>
  <c r="F1" i="45"/>
  <c r="U1" i="45" s="1"/>
  <c r="A1" i="21"/>
  <c r="A1" i="16"/>
  <c r="F1" i="37"/>
  <c r="A1" i="2"/>
  <c r="A1" i="43"/>
  <c r="I1" i="39"/>
  <c r="A1" i="29"/>
  <c r="A3" i="15"/>
  <c r="F1" i="38"/>
  <c r="T1" i="38" s="1"/>
  <c r="A1" i="41"/>
  <c r="A3" i="44"/>
  <c r="A4" i="9"/>
  <c r="I1" i="14"/>
  <c r="A1" i="42"/>
  <c r="T1" i="37"/>
  <c r="F1" i="46"/>
  <c r="T1" i="46" s="1"/>
  <c r="AF38" i="45"/>
  <c r="AF39" i="45" s="1"/>
  <c r="AD39" i="45"/>
  <c r="P12" i="37"/>
  <c r="N12" i="37"/>
  <c r="X12" i="37"/>
  <c r="R12" i="37"/>
  <c r="H12" i="37"/>
  <c r="J12" i="37"/>
  <c r="L12" i="37"/>
  <c r="N18" i="35"/>
  <c r="F18" i="35"/>
  <c r="R18" i="35"/>
  <c r="L18" i="35"/>
  <c r="AB18" i="35"/>
  <c r="H18" i="35"/>
  <c r="AC18" i="35"/>
  <c r="AD18" i="35" s="1"/>
  <c r="AF18" i="35" s="1"/>
  <c r="X18" i="35"/>
  <c r="AC12" i="37"/>
  <c r="AD12" i="37" s="1"/>
  <c r="AF12" i="37" s="1"/>
  <c r="AC39" i="45"/>
  <c r="V14" i="46"/>
  <c r="H14" i="46"/>
  <c r="N14" i="46"/>
  <c r="Z14" i="46"/>
  <c r="P14" i="46"/>
  <c r="T14" i="46"/>
  <c r="AC14" i="46"/>
  <c r="AD14" i="46" s="1"/>
  <c r="X14" i="46"/>
  <c r="AF14" i="46"/>
  <c r="AB14" i="46"/>
  <c r="L14" i="46"/>
  <c r="J14" i="46"/>
  <c r="F14" i="46"/>
  <c r="R14" i="46"/>
  <c r="I34" i="42"/>
  <c r="B112" i="51"/>
  <c r="E34" i="43"/>
  <c r="T12" i="37"/>
  <c r="F12" i="37"/>
  <c r="D92" i="50"/>
  <c r="L154" i="16"/>
  <c r="AE39" i="35"/>
  <c r="R38" i="35"/>
  <c r="X34" i="34"/>
  <c r="AB12" i="37"/>
  <c r="I22" i="14"/>
  <c r="N27" i="35"/>
  <c r="J27" i="35"/>
  <c r="R27" i="35"/>
  <c r="AB27" i="35"/>
  <c r="AC27" i="35"/>
  <c r="AD27" i="35" s="1"/>
  <c r="AF27" i="35" s="1"/>
  <c r="P27" i="35"/>
  <c r="H27" i="35"/>
  <c r="X27" i="35"/>
  <c r="Z27" i="35"/>
  <c r="F27" i="35"/>
  <c r="L27" i="35"/>
  <c r="E17" i="32"/>
  <c r="E26" i="31"/>
  <c r="G17" i="31"/>
  <c r="F10" i="45"/>
  <c r="AC10" i="45"/>
  <c r="V73" i="39"/>
  <c r="V22" i="38"/>
  <c r="P22" i="38"/>
  <c r="N22" i="38"/>
  <c r="Z22" i="38"/>
  <c r="H22" i="38"/>
  <c r="F22" i="38"/>
  <c r="X22" i="38"/>
  <c r="L22" i="38"/>
  <c r="AB22" i="38"/>
  <c r="J22" i="38"/>
  <c r="T27" i="35"/>
  <c r="X12" i="46"/>
  <c r="J12" i="46"/>
  <c r="AC12" i="46"/>
  <c r="AD12" i="46" s="1"/>
  <c r="AF12" i="46" s="1"/>
  <c r="L12" i="46"/>
  <c r="P12" i="46"/>
  <c r="T12" i="46"/>
  <c r="E17" i="42"/>
  <c r="E17" i="16"/>
  <c r="H17" i="16" s="1"/>
  <c r="I17" i="31"/>
  <c r="F17" i="32"/>
  <c r="R37" i="46"/>
  <c r="J37" i="46"/>
  <c r="T37" i="46"/>
  <c r="N37" i="46"/>
  <c r="AB37" i="46"/>
  <c r="P37" i="46"/>
  <c r="V37" i="46"/>
  <c r="H37" i="46"/>
  <c r="X37" i="46"/>
  <c r="AE39" i="46"/>
  <c r="AC37" i="46"/>
  <c r="Z37" i="46"/>
  <c r="S58" i="45"/>
  <c r="D70" i="51"/>
  <c r="M13" i="41"/>
  <c r="J13" i="43"/>
  <c r="Z18" i="37"/>
  <c r="AF18" i="37"/>
  <c r="V10" i="45"/>
  <c r="J10" i="45"/>
  <c r="AC22" i="38"/>
  <c r="AD22" i="38" s="1"/>
  <c r="AF22" i="38" s="1"/>
  <c r="V27" i="35"/>
  <c r="AE10" i="35"/>
  <c r="H82" i="29"/>
  <c r="I82" i="29" s="1"/>
  <c r="I42" i="41"/>
  <c r="E42" i="43"/>
  <c r="I42" i="43" s="1"/>
  <c r="F18" i="37"/>
  <c r="N10" i="45"/>
  <c r="K17" i="42"/>
  <c r="H33" i="45"/>
  <c r="AC33" i="45"/>
  <c r="L33" i="45"/>
  <c r="F33" i="45"/>
  <c r="P33" i="45"/>
  <c r="AE34" i="45"/>
  <c r="J33" i="45"/>
  <c r="X33" i="45"/>
  <c r="Z33" i="45"/>
  <c r="V33" i="45"/>
  <c r="R22" i="38"/>
  <c r="F28" i="35"/>
  <c r="Z28" i="35"/>
  <c r="X18" i="37"/>
  <c r="H10" i="45"/>
  <c r="L21" i="2"/>
  <c r="AE18" i="38"/>
  <c r="P28" i="38"/>
  <c r="Z28" i="38"/>
  <c r="AC28" i="38"/>
  <c r="F28" i="38"/>
  <c r="AB28" i="38"/>
  <c r="N28" i="38"/>
  <c r="L28" i="38"/>
  <c r="AE34" i="38"/>
  <c r="X28" i="38"/>
  <c r="V32" i="46"/>
  <c r="P32" i="46"/>
  <c r="N32" i="46"/>
  <c r="G21" i="43"/>
  <c r="G26" i="43" s="1"/>
  <c r="G39" i="43" s="1"/>
  <c r="G46" i="43" s="1"/>
  <c r="G26" i="41"/>
  <c r="G39" i="41" s="1"/>
  <c r="G46" i="41" s="1"/>
  <c r="G80" i="43" s="1"/>
  <c r="AE10" i="34"/>
  <c r="Z11" i="34"/>
  <c r="R11" i="34"/>
  <c r="AB11" i="34"/>
  <c r="T11" i="34"/>
  <c r="J11" i="34"/>
  <c r="X11" i="34"/>
  <c r="AF11" i="34"/>
  <c r="J21" i="17"/>
  <c r="Q49" i="39"/>
  <c r="V49" i="39" s="1"/>
  <c r="V47" i="39"/>
  <c r="M21" i="42"/>
  <c r="Z37" i="38"/>
  <c r="J37" i="38"/>
  <c r="F37" i="38"/>
  <c r="V37" i="38"/>
  <c r="P37" i="38"/>
  <c r="R37" i="38"/>
  <c r="T37" i="38"/>
  <c r="AC37" i="38"/>
  <c r="H37" i="38"/>
  <c r="Z30" i="46"/>
  <c r="L30" i="46"/>
  <c r="AE27" i="46"/>
  <c r="M30" i="43"/>
  <c r="AC13" i="46"/>
  <c r="AD13" i="46" s="1"/>
  <c r="AF13" i="46"/>
  <c r="J13" i="46"/>
  <c r="J32" i="34"/>
  <c r="R32" i="34"/>
  <c r="AC32" i="34"/>
  <c r="P30" i="38"/>
  <c r="AB30" i="38"/>
  <c r="X30" i="38"/>
  <c r="W58" i="46"/>
  <c r="G58" i="46"/>
  <c r="AE48" i="45"/>
  <c r="U58" i="45"/>
  <c r="E58" i="45"/>
  <c r="E60" i="45" s="1"/>
  <c r="E108" i="41"/>
  <c r="I108" i="41" s="1"/>
  <c r="T62" i="39"/>
  <c r="U61" i="39"/>
  <c r="E17" i="17"/>
  <c r="I17" i="30"/>
  <c r="E117" i="41"/>
  <c r="I117" i="41" s="1"/>
  <c r="I111" i="41"/>
  <c r="I36" i="41"/>
  <c r="B103" i="51"/>
  <c r="AE32" i="35"/>
  <c r="K35" i="32"/>
  <c r="V26" i="35"/>
  <c r="L26" i="35"/>
  <c r="N26" i="35"/>
  <c r="X26" i="35"/>
  <c r="AC26" i="35"/>
  <c r="J26" i="35"/>
  <c r="H25" i="30"/>
  <c r="K117" i="30"/>
  <c r="K84" i="30"/>
  <c r="H17" i="30"/>
  <c r="T32" i="34"/>
  <c r="N32" i="34"/>
  <c r="P13" i="35"/>
  <c r="H13" i="35"/>
  <c r="AE14" i="37"/>
  <c r="J17" i="2"/>
  <c r="K49" i="39"/>
  <c r="P49" i="39" s="1"/>
  <c r="K49" i="14"/>
  <c r="P49" i="14" s="1"/>
  <c r="P49" i="28"/>
  <c r="I29" i="42"/>
  <c r="B107" i="51"/>
  <c r="F84" i="41"/>
  <c r="K37" i="41"/>
  <c r="C104" i="51"/>
  <c r="C82" i="51"/>
  <c r="S70" i="39"/>
  <c r="N74" i="39"/>
  <c r="R26" i="38"/>
  <c r="L26" i="38"/>
  <c r="V26" i="38"/>
  <c r="F26" i="38"/>
  <c r="B100" i="50"/>
  <c r="E33" i="2"/>
  <c r="H33" i="2" s="1"/>
  <c r="AB26" i="46"/>
  <c r="F26" i="46"/>
  <c r="Z32" i="34"/>
  <c r="H32" i="34"/>
  <c r="AC30" i="38"/>
  <c r="AD30" i="38" s="1"/>
  <c r="AF30" i="38" s="1"/>
  <c r="O58" i="46"/>
  <c r="M58" i="45"/>
  <c r="K117" i="41"/>
  <c r="B51" i="51"/>
  <c r="I59" i="41"/>
  <c r="Q74" i="39"/>
  <c r="Q75" i="39" s="1"/>
  <c r="H67" i="17"/>
  <c r="E67" i="2"/>
  <c r="H67" i="2" s="1"/>
  <c r="F13" i="35"/>
  <c r="X32" i="34"/>
  <c r="F32" i="34"/>
  <c r="T30" i="38"/>
  <c r="H30" i="38"/>
  <c r="F26" i="34"/>
  <c r="T26" i="34"/>
  <c r="V32" i="38"/>
  <c r="H32" i="38"/>
  <c r="AC20" i="38"/>
  <c r="AD20" i="38" s="1"/>
  <c r="AF20" i="38" s="1"/>
  <c r="F20" i="38"/>
  <c r="J20" i="38"/>
  <c r="L20" i="38"/>
  <c r="H37" i="16"/>
  <c r="B115" i="50"/>
  <c r="M84" i="41"/>
  <c r="B54" i="51"/>
  <c r="I62" i="41"/>
  <c r="N73" i="39"/>
  <c r="K37" i="2"/>
  <c r="L37" i="2" s="1"/>
  <c r="Y58" i="46"/>
  <c r="I58" i="46"/>
  <c r="F108" i="41"/>
  <c r="E67" i="43"/>
  <c r="I67" i="43" s="1"/>
  <c r="I67" i="41"/>
  <c r="N62" i="39"/>
  <c r="S62" i="39" s="1"/>
  <c r="I37" i="31"/>
  <c r="E37" i="42"/>
  <c r="C115" i="49"/>
  <c r="K74" i="28"/>
  <c r="P68" i="28"/>
  <c r="K68" i="14"/>
  <c r="P68" i="14" s="1"/>
  <c r="K68" i="39"/>
  <c r="P68" i="39" s="1"/>
  <c r="Q58" i="35"/>
  <c r="Y58" i="45"/>
  <c r="I58" i="45"/>
  <c r="M117" i="41"/>
  <c r="J25" i="41"/>
  <c r="B58" i="51"/>
  <c r="I69" i="41"/>
  <c r="E69" i="43"/>
  <c r="T74" i="39"/>
  <c r="U74" i="39" s="1"/>
  <c r="V66" i="14"/>
  <c r="Q74" i="14"/>
  <c r="Q75" i="14" s="1"/>
  <c r="R75" i="14" s="1"/>
  <c r="H21" i="21" s="1"/>
  <c r="O35" i="14"/>
  <c r="S35" i="14"/>
  <c r="N36" i="14"/>
  <c r="F21" i="30"/>
  <c r="I108" i="30"/>
  <c r="J21" i="14"/>
  <c r="J21" i="39"/>
  <c r="H154" i="42"/>
  <c r="C89" i="51"/>
  <c r="E84" i="41"/>
  <c r="I84" i="41" s="1"/>
  <c r="F42" i="43"/>
  <c r="F44" i="43" s="1"/>
  <c r="B96" i="51"/>
  <c r="I29" i="41"/>
  <c r="L35" i="39"/>
  <c r="L35" i="14"/>
  <c r="AE37" i="37"/>
  <c r="J42" i="2"/>
  <c r="K73" i="28"/>
  <c r="P67" i="28"/>
  <c r="K67" i="14"/>
  <c r="P67" i="14" s="1"/>
  <c r="K67" i="39"/>
  <c r="P67" i="39" s="1"/>
  <c r="G44" i="2"/>
  <c r="J44" i="2" s="1"/>
  <c r="F30" i="43"/>
  <c r="F37" i="43" s="1"/>
  <c r="I34" i="40"/>
  <c r="S61" i="39"/>
  <c r="S35" i="39"/>
  <c r="O35" i="39"/>
  <c r="Q36" i="39"/>
  <c r="V36" i="39" s="1"/>
  <c r="F17" i="2"/>
  <c r="F26" i="2" s="1"/>
  <c r="F39" i="2" s="1"/>
  <c r="F46" i="2" s="1"/>
  <c r="T62" i="14"/>
  <c r="J48" i="28"/>
  <c r="M48" i="28"/>
  <c r="AG44" i="45"/>
  <c r="AD48" i="45"/>
  <c r="AD56" i="37"/>
  <c r="M16" i="43"/>
  <c r="L42" i="2"/>
  <c r="H60" i="17"/>
  <c r="N74" i="14"/>
  <c r="T73" i="14"/>
  <c r="Y58" i="35"/>
  <c r="B11" i="51"/>
  <c r="I73" i="28"/>
  <c r="AD56" i="46"/>
  <c r="B57" i="51"/>
  <c r="B56" i="51"/>
  <c r="O61" i="14"/>
  <c r="S61" i="14"/>
  <c r="J82" i="29"/>
  <c r="E122" i="49" s="1"/>
  <c r="O61" i="28"/>
  <c r="S61" i="28"/>
  <c r="AD56" i="45"/>
  <c r="H31" i="17"/>
  <c r="E31" i="2"/>
  <c r="N74" i="28"/>
  <c r="S70" i="28"/>
  <c r="AD56" i="38"/>
  <c r="D4" i="41"/>
  <c r="R48" i="14"/>
  <c r="V48" i="14"/>
  <c r="T36" i="14"/>
  <c r="U36" i="14" s="1"/>
  <c r="K37" i="31"/>
  <c r="D85" i="49"/>
  <c r="K70" i="14"/>
  <c r="P70" i="14" s="1"/>
  <c r="P70" i="28"/>
  <c r="M66" i="28"/>
  <c r="I66" i="14"/>
  <c r="I74" i="28"/>
  <c r="I49" i="28"/>
  <c r="J49" i="28" s="1"/>
  <c r="I47" i="14"/>
  <c r="O35" i="28"/>
  <c r="S35" i="28"/>
  <c r="AD48" i="35"/>
  <c r="AG44" i="35"/>
  <c r="AE44" i="35"/>
  <c r="AE48" i="35" s="1"/>
  <c r="AG46" i="37"/>
  <c r="AD48" i="37"/>
  <c r="AD48" i="38"/>
  <c r="R2" i="10"/>
  <c r="N73" i="28"/>
  <c r="J61" i="28"/>
  <c r="AG43" i="34"/>
  <c r="R21" i="14"/>
  <c r="Q2" i="10"/>
  <c r="L48" i="28"/>
  <c r="AE43" i="34"/>
  <c r="AE48" i="34" s="1"/>
  <c r="P2" i="10"/>
  <c r="K82" i="21" l="1"/>
  <c r="AB13" i="37"/>
  <c r="F13" i="37"/>
  <c r="V13" i="37"/>
  <c r="P13" i="37"/>
  <c r="J13" i="37"/>
  <c r="Z13" i="37"/>
  <c r="T13" i="37"/>
  <c r="H13" i="37"/>
  <c r="X13" i="37"/>
  <c r="L13" i="37"/>
  <c r="R13" i="37"/>
  <c r="AC13" i="37"/>
  <c r="AD13" i="37" s="1"/>
  <c r="AF13" i="37" s="1"/>
  <c r="N13" i="37"/>
  <c r="R11" i="37"/>
  <c r="V11" i="37"/>
  <c r="AC11" i="37"/>
  <c r="AD11" i="37" s="1"/>
  <c r="AF11" i="37" s="1"/>
  <c r="L11" i="37"/>
  <c r="C93" i="50"/>
  <c r="F155" i="42"/>
  <c r="J155" i="16"/>
  <c r="V62" i="14"/>
  <c r="R62" i="14"/>
  <c r="S62" i="14"/>
  <c r="S49" i="14"/>
  <c r="V36" i="14"/>
  <c r="V22" i="14"/>
  <c r="U22" i="14"/>
  <c r="S22" i="14"/>
  <c r="O22" i="14"/>
  <c r="G10" i="37"/>
  <c r="G10" i="38"/>
  <c r="X39" i="38"/>
  <c r="N39" i="38"/>
  <c r="R39" i="38"/>
  <c r="T39" i="38"/>
  <c r="H44" i="2"/>
  <c r="Z28" i="37"/>
  <c r="AC28" i="37"/>
  <c r="AD28" i="37" s="1"/>
  <c r="AF28" i="37" s="1"/>
  <c r="H28" i="37"/>
  <c r="V28" i="37"/>
  <c r="F28" i="37"/>
  <c r="X28" i="37"/>
  <c r="R28" i="37"/>
  <c r="P28" i="37"/>
  <c r="AB28" i="37"/>
  <c r="T28" i="37"/>
  <c r="L28" i="37"/>
  <c r="J28" i="37"/>
  <c r="N28" i="37"/>
  <c r="G27" i="37"/>
  <c r="F27" i="37"/>
  <c r="Z26" i="37"/>
  <c r="AC26" i="37"/>
  <c r="AD26" i="37" s="1"/>
  <c r="AF26" i="37" s="1"/>
  <c r="H26" i="37"/>
  <c r="T26" i="37"/>
  <c r="L26" i="37"/>
  <c r="J26" i="37"/>
  <c r="AB26" i="37"/>
  <c r="V26" i="37"/>
  <c r="F26" i="37"/>
  <c r="X26" i="37"/>
  <c r="N26" i="37"/>
  <c r="R26" i="37"/>
  <c r="P26" i="37"/>
  <c r="AB31" i="37"/>
  <c r="F31" i="37"/>
  <c r="P31" i="37"/>
  <c r="H31" i="37"/>
  <c r="V31" i="37"/>
  <c r="X31" i="37"/>
  <c r="AC31" i="37"/>
  <c r="AD31" i="37" s="1"/>
  <c r="AF31" i="37" s="1"/>
  <c r="L31" i="37"/>
  <c r="J31" i="37"/>
  <c r="R31" i="37"/>
  <c r="Z31" i="37"/>
  <c r="T31" i="37"/>
  <c r="N31" i="37"/>
  <c r="AC32" i="37"/>
  <c r="AD32" i="37" s="1"/>
  <c r="AF32" i="37" s="1"/>
  <c r="R32" i="37"/>
  <c r="F32" i="37"/>
  <c r="X32" i="37"/>
  <c r="J32" i="37"/>
  <c r="V32" i="37"/>
  <c r="H32" i="37"/>
  <c r="N32" i="37"/>
  <c r="T32" i="37"/>
  <c r="P32" i="37"/>
  <c r="L32" i="37"/>
  <c r="Z32" i="37"/>
  <c r="P30" i="37"/>
  <c r="F30" i="37"/>
  <c r="H30" i="37"/>
  <c r="L30" i="37"/>
  <c r="R30" i="37"/>
  <c r="AB30" i="37"/>
  <c r="AC30" i="37"/>
  <c r="AD30" i="37" s="1"/>
  <c r="AF30" i="37" s="1"/>
  <c r="T30" i="37"/>
  <c r="X30" i="37"/>
  <c r="V30" i="37"/>
  <c r="N30" i="37"/>
  <c r="J30" i="37"/>
  <c r="Z30" i="37"/>
  <c r="G29" i="37"/>
  <c r="E34" i="37"/>
  <c r="F29" i="37"/>
  <c r="H29" i="37"/>
  <c r="AE34" i="37"/>
  <c r="F10" i="37"/>
  <c r="S36" i="14"/>
  <c r="O36" i="14"/>
  <c r="J28" i="38"/>
  <c r="R28" i="38"/>
  <c r="T28" i="38"/>
  <c r="V28" i="38"/>
  <c r="H28" i="38"/>
  <c r="R33" i="38"/>
  <c r="L33" i="38"/>
  <c r="J33" i="38"/>
  <c r="N33" i="38"/>
  <c r="T33" i="38"/>
  <c r="P33" i="38"/>
  <c r="AB33" i="38"/>
  <c r="V33" i="38"/>
  <c r="Z33" i="38"/>
  <c r="H33" i="38"/>
  <c r="L13" i="2"/>
  <c r="W58" i="35"/>
  <c r="O58" i="35"/>
  <c r="G58" i="35"/>
  <c r="U58" i="35"/>
  <c r="V49" i="14"/>
  <c r="T75" i="14"/>
  <c r="V73" i="14"/>
  <c r="E58" i="35"/>
  <c r="T38" i="34"/>
  <c r="J38" i="34"/>
  <c r="L38" i="34"/>
  <c r="G10" i="34"/>
  <c r="E23" i="34"/>
  <c r="E58" i="34" s="1"/>
  <c r="E60" i="34" s="1"/>
  <c r="C141" i="49" s="1"/>
  <c r="N38" i="35"/>
  <c r="AB38" i="35"/>
  <c r="F38" i="35"/>
  <c r="AC38" i="35"/>
  <c r="AD38" i="35" s="1"/>
  <c r="J38" i="35"/>
  <c r="H38" i="35"/>
  <c r="Z38" i="35"/>
  <c r="P38" i="35"/>
  <c r="X38" i="35"/>
  <c r="V38" i="35"/>
  <c r="T38" i="35"/>
  <c r="AB38" i="34"/>
  <c r="H38" i="34"/>
  <c r="Z38" i="34"/>
  <c r="V38" i="34"/>
  <c r="P38" i="34"/>
  <c r="X38" i="34"/>
  <c r="AC38" i="34"/>
  <c r="AE39" i="34"/>
  <c r="R38" i="34"/>
  <c r="N38" i="34"/>
  <c r="K37" i="32"/>
  <c r="V34" i="34"/>
  <c r="R34" i="34"/>
  <c r="F34" i="34"/>
  <c r="T34" i="34"/>
  <c r="P34" i="34"/>
  <c r="N34" i="34"/>
  <c r="H34" i="34"/>
  <c r="L34" i="34"/>
  <c r="J34" i="34"/>
  <c r="AB34" i="34"/>
  <c r="V28" i="35"/>
  <c r="T28" i="35"/>
  <c r="H28" i="35"/>
  <c r="AE34" i="35"/>
  <c r="R34" i="35" s="1"/>
  <c r="R28" i="35"/>
  <c r="L28" i="35"/>
  <c r="AC28" i="35"/>
  <c r="AD28" i="35" s="1"/>
  <c r="AF28" i="35" s="1"/>
  <c r="J28" i="35"/>
  <c r="I37" i="32"/>
  <c r="AB28" i="35"/>
  <c r="X28" i="35"/>
  <c r="P28" i="35"/>
  <c r="G37" i="32"/>
  <c r="J25" i="17"/>
  <c r="G25" i="2"/>
  <c r="F25" i="41"/>
  <c r="F25" i="43" s="1"/>
  <c r="N21" i="46"/>
  <c r="V21" i="46"/>
  <c r="X21" i="46"/>
  <c r="J21" i="46"/>
  <c r="T21" i="46"/>
  <c r="AB21" i="46"/>
  <c r="Z21" i="46"/>
  <c r="AC21" i="46"/>
  <c r="AD21" i="46" s="1"/>
  <c r="AF21" i="46" s="1"/>
  <c r="F21" i="46"/>
  <c r="L21" i="46"/>
  <c r="P21" i="46"/>
  <c r="H21" i="46"/>
  <c r="R21" i="46"/>
  <c r="G6" i="34"/>
  <c r="C122" i="50"/>
  <c r="I82" i="21"/>
  <c r="P18" i="46"/>
  <c r="L18" i="46"/>
  <c r="AC18" i="46"/>
  <c r="AD18" i="46" s="1"/>
  <c r="N18" i="46"/>
  <c r="X18" i="46"/>
  <c r="R18" i="46"/>
  <c r="AF18" i="46"/>
  <c r="AB18" i="46"/>
  <c r="H18" i="46"/>
  <c r="Z18" i="46"/>
  <c r="V18" i="46"/>
  <c r="T18" i="46"/>
  <c r="J18" i="46"/>
  <c r="F18" i="46"/>
  <c r="Q75" i="28"/>
  <c r="J20" i="29" s="1"/>
  <c r="AE14" i="45"/>
  <c r="K17" i="43"/>
  <c r="I82" i="40"/>
  <c r="C122" i="51"/>
  <c r="H10" i="37"/>
  <c r="H25" i="43"/>
  <c r="K25" i="42"/>
  <c r="AC31" i="46"/>
  <c r="AD31" i="46" s="1"/>
  <c r="L31" i="46"/>
  <c r="R31" i="46"/>
  <c r="V31" i="46"/>
  <c r="AF31" i="46"/>
  <c r="H31" i="46"/>
  <c r="F31" i="46"/>
  <c r="AB31" i="46"/>
  <c r="Z31" i="46"/>
  <c r="X31" i="46"/>
  <c r="N31" i="46"/>
  <c r="J31" i="46"/>
  <c r="P31" i="46"/>
  <c r="T31" i="46"/>
  <c r="AB20" i="45"/>
  <c r="P20" i="45"/>
  <c r="J20" i="45"/>
  <c r="H20" i="45"/>
  <c r="N20" i="45"/>
  <c r="Z20" i="45"/>
  <c r="F20" i="45"/>
  <c r="T20" i="45"/>
  <c r="X20" i="45"/>
  <c r="AC20" i="45"/>
  <c r="AD20" i="45" s="1"/>
  <c r="AF20" i="45" s="1"/>
  <c r="V20" i="45"/>
  <c r="R20" i="45"/>
  <c r="L20" i="45"/>
  <c r="M20" i="39"/>
  <c r="M60" i="39"/>
  <c r="M36" i="28"/>
  <c r="M36" i="14" s="1"/>
  <c r="E46" i="30"/>
  <c r="K62" i="14"/>
  <c r="P62" i="14" s="1"/>
  <c r="P62" i="28"/>
  <c r="K62" i="39"/>
  <c r="P62" i="39" s="1"/>
  <c r="L61" i="39"/>
  <c r="L61" i="14"/>
  <c r="L62" i="14"/>
  <c r="L62" i="39"/>
  <c r="L36" i="28"/>
  <c r="K36" i="39"/>
  <c r="P36" i="39" s="1"/>
  <c r="P36" i="28"/>
  <c r="K36" i="14"/>
  <c r="P36" i="14" s="1"/>
  <c r="K22" i="14"/>
  <c r="P22" i="14" s="1"/>
  <c r="L22" i="28"/>
  <c r="P22" i="28"/>
  <c r="M22" i="28"/>
  <c r="M22" i="39" s="1"/>
  <c r="M62" i="28"/>
  <c r="J62" i="28"/>
  <c r="I62" i="39"/>
  <c r="I62" i="14"/>
  <c r="J49" i="14"/>
  <c r="J49" i="39"/>
  <c r="J35" i="14"/>
  <c r="J35" i="39"/>
  <c r="I36" i="39"/>
  <c r="J36" i="28"/>
  <c r="M69" i="14"/>
  <c r="M69" i="39"/>
  <c r="J22" i="39"/>
  <c r="J22" i="14"/>
  <c r="M65" i="14"/>
  <c r="M65" i="39"/>
  <c r="AC39" i="46"/>
  <c r="AD37" i="46"/>
  <c r="AB27" i="46"/>
  <c r="J27" i="46"/>
  <c r="Z27" i="46"/>
  <c r="L27" i="46"/>
  <c r="F27" i="46"/>
  <c r="H27" i="46"/>
  <c r="AE34" i="46"/>
  <c r="V27" i="46"/>
  <c r="AC27" i="46"/>
  <c r="P27" i="46"/>
  <c r="R27" i="46"/>
  <c r="T27" i="46"/>
  <c r="X27" i="46"/>
  <c r="N27" i="46"/>
  <c r="G17" i="32"/>
  <c r="E26" i="32"/>
  <c r="I49" i="14"/>
  <c r="M49" i="28"/>
  <c r="I49" i="39"/>
  <c r="C92" i="51"/>
  <c r="K154" i="42"/>
  <c r="S74" i="39"/>
  <c r="O74" i="39"/>
  <c r="C141" i="51"/>
  <c r="G6" i="45"/>
  <c r="G60" i="45" s="1"/>
  <c r="AD32" i="34"/>
  <c r="AC34" i="34"/>
  <c r="I34" i="43"/>
  <c r="E37" i="43"/>
  <c r="I37" i="43" s="1"/>
  <c r="K82" i="29"/>
  <c r="D122" i="49"/>
  <c r="V39" i="46"/>
  <c r="AB39" i="46"/>
  <c r="X39" i="46"/>
  <c r="L39" i="46"/>
  <c r="J39" i="46"/>
  <c r="H39" i="46"/>
  <c r="P39" i="46"/>
  <c r="F39" i="46"/>
  <c r="Z39" i="46"/>
  <c r="N39" i="46"/>
  <c r="R39" i="46"/>
  <c r="T39" i="46"/>
  <c r="V75" i="39"/>
  <c r="H20" i="40"/>
  <c r="M74" i="28"/>
  <c r="I74" i="14"/>
  <c r="J74" i="28"/>
  <c r="I74" i="39"/>
  <c r="H31" i="2"/>
  <c r="E37" i="2"/>
  <c r="H37" i="2" s="1"/>
  <c r="R74" i="14"/>
  <c r="V74" i="14"/>
  <c r="M25" i="41"/>
  <c r="J25" i="43"/>
  <c r="P74" i="28"/>
  <c r="K74" i="14"/>
  <c r="P74" i="14" s="1"/>
  <c r="L74" i="28"/>
  <c r="K74" i="39"/>
  <c r="P74" i="39" s="1"/>
  <c r="AD37" i="38"/>
  <c r="AC39" i="38"/>
  <c r="AD28" i="38"/>
  <c r="AC34" i="38"/>
  <c r="V10" i="35"/>
  <c r="X10" i="35"/>
  <c r="AC10" i="35"/>
  <c r="P10" i="35"/>
  <c r="J10" i="35"/>
  <c r="T10" i="35"/>
  <c r="Z10" i="35"/>
  <c r="L10" i="35"/>
  <c r="N10" i="35"/>
  <c r="F10" i="35"/>
  <c r="H10" i="35"/>
  <c r="AB10" i="35"/>
  <c r="R10" i="35"/>
  <c r="AE10" i="46"/>
  <c r="M13" i="43"/>
  <c r="H82" i="40"/>
  <c r="AE14" i="34"/>
  <c r="T39" i="35"/>
  <c r="R39" i="35"/>
  <c r="V39" i="35"/>
  <c r="N39" i="35"/>
  <c r="X39" i="35"/>
  <c r="L39" i="35"/>
  <c r="F39" i="35"/>
  <c r="Z39" i="35"/>
  <c r="AB39" i="35"/>
  <c r="J39" i="35"/>
  <c r="P39" i="35"/>
  <c r="H39" i="35"/>
  <c r="L48" i="14"/>
  <c r="L48" i="39"/>
  <c r="H20" i="21"/>
  <c r="P73" i="28"/>
  <c r="K73" i="14"/>
  <c r="P73" i="14" s="1"/>
  <c r="K75" i="28"/>
  <c r="L75" i="28" s="1"/>
  <c r="K73" i="39"/>
  <c r="P73" i="39" s="1"/>
  <c r="K17" i="30"/>
  <c r="H17" i="32"/>
  <c r="I17" i="32" s="1"/>
  <c r="Z34" i="45"/>
  <c r="V34" i="45"/>
  <c r="P34" i="45"/>
  <c r="F34" i="45"/>
  <c r="AB34" i="45"/>
  <c r="L34" i="45"/>
  <c r="T34" i="45"/>
  <c r="N34" i="45"/>
  <c r="J34" i="45"/>
  <c r="H34" i="45"/>
  <c r="R34" i="45"/>
  <c r="X34" i="45"/>
  <c r="I73" i="14"/>
  <c r="I73" i="39"/>
  <c r="I75" i="28"/>
  <c r="J75" i="28" s="1"/>
  <c r="M73" i="28"/>
  <c r="E39" i="31"/>
  <c r="B84" i="49"/>
  <c r="M48" i="14"/>
  <c r="M48" i="39"/>
  <c r="I37" i="42"/>
  <c r="B85" i="51"/>
  <c r="B115" i="51"/>
  <c r="H17" i="17"/>
  <c r="E17" i="2"/>
  <c r="L34" i="38"/>
  <c r="AB34" i="38"/>
  <c r="V34" i="38"/>
  <c r="P34" i="38"/>
  <c r="F34" i="38"/>
  <c r="J34" i="38"/>
  <c r="Z34" i="38"/>
  <c r="T34" i="38"/>
  <c r="H34" i="38"/>
  <c r="N34" i="38"/>
  <c r="X34" i="38"/>
  <c r="R34" i="38"/>
  <c r="AD10" i="45"/>
  <c r="I69" i="43"/>
  <c r="O74" i="14"/>
  <c r="S74" i="14"/>
  <c r="N75" i="14"/>
  <c r="O75" i="14" s="1"/>
  <c r="G21" i="21" s="1"/>
  <c r="I21" i="21" s="1"/>
  <c r="J48" i="14"/>
  <c r="J48" i="39"/>
  <c r="R37" i="37"/>
  <c r="AC37" i="37"/>
  <c r="X37" i="37"/>
  <c r="F37" i="37"/>
  <c r="J37" i="37"/>
  <c r="L37" i="37"/>
  <c r="N37" i="37"/>
  <c r="AB37" i="37"/>
  <c r="P37" i="37"/>
  <c r="Z37" i="37"/>
  <c r="H37" i="37"/>
  <c r="V37" i="37"/>
  <c r="T37" i="37"/>
  <c r="AE39" i="37"/>
  <c r="I21" i="30"/>
  <c r="E21" i="41"/>
  <c r="E21" i="17"/>
  <c r="F21" i="32"/>
  <c r="N75" i="39"/>
  <c r="S73" i="39"/>
  <c r="R74" i="39"/>
  <c r="V74" i="39"/>
  <c r="H10" i="34"/>
  <c r="F10" i="34"/>
  <c r="L18" i="38"/>
  <c r="Z18" i="38"/>
  <c r="P18" i="38"/>
  <c r="T18" i="38"/>
  <c r="N18" i="38"/>
  <c r="V18" i="38"/>
  <c r="R18" i="38"/>
  <c r="AB18" i="38"/>
  <c r="X18" i="38"/>
  <c r="AC18" i="38"/>
  <c r="AD18" i="38" s="1"/>
  <c r="AF18" i="38" s="1"/>
  <c r="F18" i="38"/>
  <c r="J18" i="38"/>
  <c r="H18" i="38"/>
  <c r="E17" i="43"/>
  <c r="I17" i="42"/>
  <c r="S74" i="28"/>
  <c r="O74" i="28"/>
  <c r="AD33" i="45"/>
  <c r="AC34" i="45"/>
  <c r="AD26" i="35"/>
  <c r="M66" i="14"/>
  <c r="M66" i="39"/>
  <c r="J61" i="14"/>
  <c r="J61" i="39"/>
  <c r="N75" i="28"/>
  <c r="O75" i="28" s="1"/>
  <c r="H21" i="29" s="1"/>
  <c r="S73" i="28"/>
  <c r="J22" i="40"/>
  <c r="U76" i="39"/>
  <c r="T75" i="39"/>
  <c r="J20" i="40" s="1"/>
  <c r="K20" i="40" s="1"/>
  <c r="P14" i="37"/>
  <c r="V14" i="37"/>
  <c r="J14" i="37"/>
  <c r="Z14" i="37"/>
  <c r="L14" i="37"/>
  <c r="X14" i="37"/>
  <c r="R14" i="37"/>
  <c r="F14" i="37"/>
  <c r="H14" i="37"/>
  <c r="N14" i="37"/>
  <c r="T14" i="37"/>
  <c r="AC14" i="37"/>
  <c r="AD14" i="37" s="1"/>
  <c r="AF14" i="37" s="1"/>
  <c r="AB14" i="37"/>
  <c r="K25" i="30"/>
  <c r="H25" i="32"/>
  <c r="N32" i="35"/>
  <c r="X32" i="35"/>
  <c r="H32" i="35"/>
  <c r="AC32" i="35"/>
  <c r="AD32" i="35" s="1"/>
  <c r="AF32" i="35" s="1"/>
  <c r="Z32" i="35"/>
  <c r="T32" i="35"/>
  <c r="AB32" i="35"/>
  <c r="R32" i="35"/>
  <c r="J32" i="35"/>
  <c r="F32" i="35"/>
  <c r="V32" i="35"/>
  <c r="P32" i="35"/>
  <c r="L32" i="35"/>
  <c r="J20" i="21" l="1"/>
  <c r="K20" i="21" s="1"/>
  <c r="U75" i="14"/>
  <c r="I10" i="38"/>
  <c r="H10" i="38"/>
  <c r="I10" i="37"/>
  <c r="I27" i="37"/>
  <c r="H27" i="37"/>
  <c r="F34" i="37"/>
  <c r="I29" i="37"/>
  <c r="G34" i="37"/>
  <c r="V75" i="14"/>
  <c r="G60" i="34"/>
  <c r="I6" i="34" s="1"/>
  <c r="I10" i="34"/>
  <c r="G23" i="34"/>
  <c r="G58" i="34" s="1"/>
  <c r="AC39" i="35"/>
  <c r="F39" i="34"/>
  <c r="Z39" i="34"/>
  <c r="L39" i="34"/>
  <c r="R39" i="34"/>
  <c r="V39" i="34"/>
  <c r="N39" i="34"/>
  <c r="P39" i="34"/>
  <c r="AB39" i="34"/>
  <c r="X39" i="34"/>
  <c r="H39" i="34"/>
  <c r="J39" i="34"/>
  <c r="T39" i="34"/>
  <c r="AD38" i="34"/>
  <c r="AC39" i="34"/>
  <c r="T34" i="35"/>
  <c r="N34" i="35"/>
  <c r="H34" i="35"/>
  <c r="X34" i="35"/>
  <c r="L34" i="35"/>
  <c r="V34" i="35"/>
  <c r="P34" i="35"/>
  <c r="Z34" i="35"/>
  <c r="AB34" i="35"/>
  <c r="J34" i="35"/>
  <c r="F34" i="35"/>
  <c r="R75" i="28"/>
  <c r="J25" i="2"/>
  <c r="AE22" i="37"/>
  <c r="X14" i="45"/>
  <c r="AB14" i="45"/>
  <c r="AC14" i="45"/>
  <c r="AD14" i="45" s="1"/>
  <c r="AF14" i="45" s="1"/>
  <c r="T14" i="45"/>
  <c r="V14" i="45"/>
  <c r="L14" i="45"/>
  <c r="Z14" i="45"/>
  <c r="J14" i="45"/>
  <c r="F14" i="45"/>
  <c r="N14" i="45"/>
  <c r="H14" i="45"/>
  <c r="R14" i="45"/>
  <c r="P14" i="45"/>
  <c r="M36" i="39"/>
  <c r="AE22" i="45"/>
  <c r="K25" i="43"/>
  <c r="M22" i="14"/>
  <c r="E55" i="30"/>
  <c r="E80" i="32"/>
  <c r="B79" i="49" s="1"/>
  <c r="L36" i="14"/>
  <c r="L36" i="39"/>
  <c r="J21" i="29"/>
  <c r="J23" i="29" s="1"/>
  <c r="J26" i="29" s="1"/>
  <c r="R76" i="28"/>
  <c r="G21" i="29"/>
  <c r="I21" i="29" s="1"/>
  <c r="L75" i="39"/>
  <c r="L75" i="14"/>
  <c r="L22" i="14"/>
  <c r="L22" i="39"/>
  <c r="J62" i="14"/>
  <c r="J62" i="39"/>
  <c r="M62" i="14"/>
  <c r="M62" i="39"/>
  <c r="J36" i="39"/>
  <c r="J36" i="14"/>
  <c r="J75" i="14"/>
  <c r="J75" i="39"/>
  <c r="AF33" i="45"/>
  <c r="AF34" i="45" s="1"/>
  <c r="AD34" i="45"/>
  <c r="AD34" i="38"/>
  <c r="AF28" i="38"/>
  <c r="AF34" i="38" s="1"/>
  <c r="L39" i="37"/>
  <c r="T39" i="37"/>
  <c r="F39" i="37"/>
  <c r="Z39" i="37"/>
  <c r="H39" i="37"/>
  <c r="X39" i="37"/>
  <c r="V39" i="37"/>
  <c r="AB39" i="37"/>
  <c r="R39" i="37"/>
  <c r="J39" i="37"/>
  <c r="P39" i="37"/>
  <c r="N39" i="37"/>
  <c r="M73" i="14"/>
  <c r="M73" i="39"/>
  <c r="AD39" i="38"/>
  <c r="AF37" i="38"/>
  <c r="AF39" i="38" s="1"/>
  <c r="S75" i="28"/>
  <c r="H20" i="29"/>
  <c r="AD39" i="35"/>
  <c r="AF38" i="35"/>
  <c r="AF39" i="35" s="1"/>
  <c r="G22" i="29"/>
  <c r="L74" i="14"/>
  <c r="L74" i="39"/>
  <c r="L76" i="28"/>
  <c r="F24" i="31" s="1"/>
  <c r="H22" i="40"/>
  <c r="K22" i="40" s="1"/>
  <c r="R76" i="39"/>
  <c r="G20" i="21"/>
  <c r="I20" i="21" s="1"/>
  <c r="S75" i="14"/>
  <c r="AF10" i="45"/>
  <c r="M75" i="28"/>
  <c r="I75" i="14"/>
  <c r="I75" i="39"/>
  <c r="AE14" i="35"/>
  <c r="K17" i="32"/>
  <c r="V14" i="34"/>
  <c r="P14" i="34"/>
  <c r="AB14" i="34"/>
  <c r="X14" i="34"/>
  <c r="F14" i="34"/>
  <c r="H14" i="34"/>
  <c r="AC14" i="34"/>
  <c r="AD14" i="34" s="1"/>
  <c r="AF14" i="34" s="1"/>
  <c r="J14" i="34"/>
  <c r="L14" i="34"/>
  <c r="R14" i="34"/>
  <c r="T14" i="34"/>
  <c r="Z14" i="34"/>
  <c r="N14" i="34"/>
  <c r="J74" i="14"/>
  <c r="J74" i="39"/>
  <c r="J76" i="28"/>
  <c r="AF32" i="34"/>
  <c r="AF34" i="34" s="1"/>
  <c r="AD34" i="34"/>
  <c r="M49" i="39"/>
  <c r="M49" i="14"/>
  <c r="H22" i="29"/>
  <c r="O76" i="28"/>
  <c r="K25" i="32"/>
  <c r="AE22" i="35"/>
  <c r="AD10" i="35"/>
  <c r="AE22" i="46"/>
  <c r="M25" i="43"/>
  <c r="I6" i="45"/>
  <c r="I60" i="45" s="1"/>
  <c r="C142" i="51"/>
  <c r="L116" i="42"/>
  <c r="L20" i="42" s="1"/>
  <c r="L73" i="43"/>
  <c r="E75" i="51" s="1"/>
  <c r="E6" i="51"/>
  <c r="L87" i="41"/>
  <c r="L19" i="41" s="1"/>
  <c r="AC34" i="35"/>
  <c r="S75" i="39"/>
  <c r="G20" i="40"/>
  <c r="G22" i="21"/>
  <c r="G23" i="21" s="1"/>
  <c r="G26" i="21" s="1"/>
  <c r="O76" i="14"/>
  <c r="G24" i="16" s="1"/>
  <c r="H17" i="2"/>
  <c r="D122" i="51"/>
  <c r="K82" i="40"/>
  <c r="M74" i="14"/>
  <c r="M74" i="39"/>
  <c r="E39" i="32"/>
  <c r="AD27" i="46"/>
  <c r="AC34" i="46"/>
  <c r="I17" i="43"/>
  <c r="I21" i="41"/>
  <c r="E21" i="43"/>
  <c r="I21" i="43" s="1"/>
  <c r="J23" i="40"/>
  <c r="I21" i="32"/>
  <c r="AE18" i="34"/>
  <c r="K75" i="39"/>
  <c r="P75" i="39" s="1"/>
  <c r="K75" i="14"/>
  <c r="P75" i="14" s="1"/>
  <c r="P75" i="28"/>
  <c r="G20" i="29"/>
  <c r="I20" i="40"/>
  <c r="G22" i="40"/>
  <c r="G23" i="40" s="1"/>
  <c r="G26" i="40" s="1"/>
  <c r="O76" i="39"/>
  <c r="AD39" i="46"/>
  <c r="AF37" i="46"/>
  <c r="AF39" i="46" s="1"/>
  <c r="E46" i="31"/>
  <c r="AF26" i="35"/>
  <c r="AF34" i="35" s="1"/>
  <c r="AD34" i="35"/>
  <c r="H21" i="17"/>
  <c r="E21" i="2"/>
  <c r="H21" i="2" s="1"/>
  <c r="AC39" i="37"/>
  <c r="AD37" i="37"/>
  <c r="N10" i="46"/>
  <c r="H10" i="46"/>
  <c r="F10" i="46"/>
  <c r="R10" i="46"/>
  <c r="X10" i="46"/>
  <c r="P10" i="46"/>
  <c r="AB10" i="46"/>
  <c r="L10" i="46"/>
  <c r="T10" i="46"/>
  <c r="Z10" i="46"/>
  <c r="V10" i="46"/>
  <c r="J10" i="46"/>
  <c r="AC10" i="46"/>
  <c r="H22" i="21"/>
  <c r="R76" i="14"/>
  <c r="P34" i="46"/>
  <c r="Z34" i="46"/>
  <c r="T34" i="46"/>
  <c r="V34" i="46"/>
  <c r="N34" i="46"/>
  <c r="H34" i="46"/>
  <c r="X34" i="46"/>
  <c r="AB34" i="46"/>
  <c r="L34" i="46"/>
  <c r="F34" i="46"/>
  <c r="R34" i="46"/>
  <c r="J34" i="46"/>
  <c r="U76" i="14" l="1"/>
  <c r="J21" i="21"/>
  <c r="F24" i="42"/>
  <c r="J24" i="16"/>
  <c r="G24" i="2"/>
  <c r="G151" i="16"/>
  <c r="K10" i="37"/>
  <c r="J10" i="37"/>
  <c r="K10" i="38"/>
  <c r="J10" i="38"/>
  <c r="K27" i="37"/>
  <c r="J27" i="37"/>
  <c r="H34" i="37"/>
  <c r="K29" i="37"/>
  <c r="I34" i="37"/>
  <c r="J29" i="37"/>
  <c r="C142" i="49"/>
  <c r="K10" i="34"/>
  <c r="I23" i="34"/>
  <c r="I58" i="34" s="1"/>
  <c r="I60" i="34" s="1"/>
  <c r="J10" i="34"/>
  <c r="AF38" i="34"/>
  <c r="AF39" i="34" s="1"/>
  <c r="AD39" i="34"/>
  <c r="F22" i="37"/>
  <c r="H22" i="37"/>
  <c r="AC22" i="37"/>
  <c r="AD22" i="37" s="1"/>
  <c r="AF22" i="37" s="1"/>
  <c r="T22" i="37"/>
  <c r="X22" i="37"/>
  <c r="J22" i="37"/>
  <c r="L22" i="37"/>
  <c r="N22" i="37"/>
  <c r="R22" i="37"/>
  <c r="AB22" i="37"/>
  <c r="Z22" i="37"/>
  <c r="V22" i="37"/>
  <c r="P22" i="37"/>
  <c r="P22" i="45"/>
  <c r="N22" i="45"/>
  <c r="AB22" i="45"/>
  <c r="V22" i="45"/>
  <c r="F22" i="45"/>
  <c r="X22" i="45"/>
  <c r="T22" i="45"/>
  <c r="H22" i="45"/>
  <c r="AC22" i="45"/>
  <c r="AD22" i="45" s="1"/>
  <c r="AF22" i="45" s="1"/>
  <c r="R22" i="45"/>
  <c r="J22" i="45"/>
  <c r="Z22" i="45"/>
  <c r="L22" i="45"/>
  <c r="H24" i="31"/>
  <c r="I24" i="31" s="1"/>
  <c r="G24" i="31"/>
  <c r="F24" i="32"/>
  <c r="E24" i="16"/>
  <c r="E24" i="42"/>
  <c r="F151" i="31"/>
  <c r="E70" i="30"/>
  <c r="B49" i="49"/>
  <c r="F49" i="30"/>
  <c r="G49" i="30" s="1"/>
  <c r="G23" i="29"/>
  <c r="G26" i="29" s="1"/>
  <c r="E6" i="49"/>
  <c r="J116" i="31"/>
  <c r="J20" i="31" s="1"/>
  <c r="J87" i="30"/>
  <c r="J19" i="30" s="1"/>
  <c r="J73" i="32"/>
  <c r="E75" i="49" s="1"/>
  <c r="K21" i="29"/>
  <c r="J26" i="40"/>
  <c r="C143" i="51"/>
  <c r="K6" i="45"/>
  <c r="K60" i="45" s="1"/>
  <c r="AD39" i="37"/>
  <c r="AF37" i="37"/>
  <c r="AF39" i="37" s="1"/>
  <c r="E46" i="32"/>
  <c r="C6" i="50"/>
  <c r="G116" i="16"/>
  <c r="F73" i="2"/>
  <c r="G73" i="2"/>
  <c r="C75" i="50" s="1"/>
  <c r="G87" i="17"/>
  <c r="B6" i="49"/>
  <c r="E73" i="32"/>
  <c r="B75" i="49" s="1"/>
  <c r="F26" i="29"/>
  <c r="J76" i="14"/>
  <c r="J76" i="39"/>
  <c r="I22" i="40"/>
  <c r="H23" i="40"/>
  <c r="E55" i="31"/>
  <c r="L76" i="39"/>
  <c r="E73" i="43" s="1"/>
  <c r="B75" i="51" s="1"/>
  <c r="F73" i="32"/>
  <c r="C6" i="49"/>
  <c r="F87" i="30"/>
  <c r="G87" i="30" s="1"/>
  <c r="F116" i="31"/>
  <c r="L76" i="14"/>
  <c r="AD10" i="46"/>
  <c r="AC22" i="46"/>
  <c r="AD22" i="46" s="1"/>
  <c r="AF22" i="46" s="1"/>
  <c r="Z22" i="46"/>
  <c r="V22" i="46"/>
  <c r="T22" i="46"/>
  <c r="X22" i="46"/>
  <c r="L22" i="46"/>
  <c r="N22" i="46"/>
  <c r="AB22" i="46"/>
  <c r="R22" i="46"/>
  <c r="H22" i="46"/>
  <c r="P22" i="46"/>
  <c r="J22" i="46"/>
  <c r="F22" i="46"/>
  <c r="AF10" i="35"/>
  <c r="F22" i="35"/>
  <c r="Z22" i="35"/>
  <c r="X22" i="35"/>
  <c r="V22" i="35"/>
  <c r="H22" i="35"/>
  <c r="R22" i="35"/>
  <c r="L22" i="35"/>
  <c r="T22" i="35"/>
  <c r="P22" i="35"/>
  <c r="AB22" i="35"/>
  <c r="N22" i="35"/>
  <c r="J22" i="35"/>
  <c r="AC22" i="35"/>
  <c r="AD22" i="35" s="1"/>
  <c r="AF22" i="35" s="1"/>
  <c r="AD34" i="46"/>
  <c r="AF27" i="46"/>
  <c r="AF34" i="46" s="1"/>
  <c r="H116" i="31"/>
  <c r="H87" i="30"/>
  <c r="H73" i="32"/>
  <c r="D75" i="49" s="1"/>
  <c r="D6" i="49"/>
  <c r="K22" i="29"/>
  <c r="I22" i="29"/>
  <c r="H23" i="29"/>
  <c r="T14" i="35"/>
  <c r="P14" i="35"/>
  <c r="Z14" i="35"/>
  <c r="AB14" i="35"/>
  <c r="V14" i="35"/>
  <c r="AC14" i="35"/>
  <c r="J14" i="35"/>
  <c r="X14" i="35"/>
  <c r="F14" i="35"/>
  <c r="L14" i="35"/>
  <c r="R14" i="35"/>
  <c r="H14" i="35"/>
  <c r="N14" i="35"/>
  <c r="L26" i="42"/>
  <c r="L20" i="43"/>
  <c r="N18" i="34"/>
  <c r="P18" i="34"/>
  <c r="X18" i="34"/>
  <c r="T18" i="34"/>
  <c r="Z18" i="34"/>
  <c r="J18" i="34"/>
  <c r="R18" i="34"/>
  <c r="V18" i="34"/>
  <c r="AB18" i="34"/>
  <c r="F18" i="34"/>
  <c r="H18" i="34"/>
  <c r="L18" i="34"/>
  <c r="AC18" i="34"/>
  <c r="AD18" i="34" s="1"/>
  <c r="AF18" i="34" s="1"/>
  <c r="M75" i="14"/>
  <c r="M75" i="39"/>
  <c r="L26" i="41"/>
  <c r="L19" i="43"/>
  <c r="L26" i="43" s="1"/>
  <c r="L39" i="43" s="1"/>
  <c r="L46" i="43" s="1"/>
  <c r="D6" i="50"/>
  <c r="I116" i="16"/>
  <c r="I73" i="2"/>
  <c r="D75" i="50" s="1"/>
  <c r="I87" i="17"/>
  <c r="I22" i="21"/>
  <c r="H23" i="21"/>
  <c r="K22" i="21"/>
  <c r="H116" i="42"/>
  <c r="H73" i="43"/>
  <c r="C75" i="51" s="1"/>
  <c r="F73" i="43"/>
  <c r="H87" i="41"/>
  <c r="C6" i="51"/>
  <c r="G73" i="43"/>
  <c r="J87" i="41"/>
  <c r="J116" i="42"/>
  <c r="J73" i="43"/>
  <c r="D75" i="51" s="1"/>
  <c r="D6" i="51"/>
  <c r="K20" i="29"/>
  <c r="I20" i="29"/>
  <c r="K73" i="2" l="1"/>
  <c r="E75" i="50" s="1"/>
  <c r="E6" i="50"/>
  <c r="K87" i="17"/>
  <c r="K19" i="17" s="1"/>
  <c r="K116" i="16"/>
  <c r="K20" i="16" s="1"/>
  <c r="K21" i="21"/>
  <c r="J23" i="21"/>
  <c r="J26" i="21" s="1"/>
  <c r="G154" i="16"/>
  <c r="C89" i="50"/>
  <c r="H151" i="16"/>
  <c r="J151" i="16"/>
  <c r="J24" i="2"/>
  <c r="E21" i="37"/>
  <c r="G21" i="37" s="1"/>
  <c r="I21" i="37" s="1"/>
  <c r="K21" i="37" s="1"/>
  <c r="M21" i="37" s="1"/>
  <c r="O21" i="37" s="1"/>
  <c r="Q21" i="37" s="1"/>
  <c r="S21" i="37" s="1"/>
  <c r="U21" i="37" s="1"/>
  <c r="W21" i="37" s="1"/>
  <c r="Y21" i="37" s="1"/>
  <c r="AA21" i="37" s="1"/>
  <c r="AE21" i="37"/>
  <c r="F24" i="43"/>
  <c r="F151" i="42"/>
  <c r="F154" i="42" s="1"/>
  <c r="M10" i="38"/>
  <c r="L10" i="38"/>
  <c r="M10" i="37"/>
  <c r="L10" i="37"/>
  <c r="M27" i="37"/>
  <c r="L27" i="37"/>
  <c r="J34" i="37"/>
  <c r="M29" i="37"/>
  <c r="K34" i="37"/>
  <c r="L29" i="37"/>
  <c r="C143" i="49"/>
  <c r="K6" i="34"/>
  <c r="M10" i="34"/>
  <c r="K23" i="34"/>
  <c r="K58" i="34" s="1"/>
  <c r="L10" i="34"/>
  <c r="F154" i="31"/>
  <c r="C92" i="49" s="1"/>
  <c r="G151" i="31"/>
  <c r="C89" i="49"/>
  <c r="I24" i="42"/>
  <c r="E151" i="42"/>
  <c r="E24" i="43"/>
  <c r="I24" i="43" s="1"/>
  <c r="E24" i="2"/>
  <c r="H24" i="2" s="1"/>
  <c r="H24" i="16"/>
  <c r="AE21" i="34"/>
  <c r="G24" i="32"/>
  <c r="J24" i="31"/>
  <c r="H24" i="32"/>
  <c r="H151" i="31"/>
  <c r="K24" i="31"/>
  <c r="C43" i="49"/>
  <c r="C45" i="49" s="1"/>
  <c r="E49" i="41"/>
  <c r="E49" i="17"/>
  <c r="E70" i="32"/>
  <c r="B59" i="49"/>
  <c r="J26" i="30"/>
  <c r="J19" i="32"/>
  <c r="J20" i="32"/>
  <c r="J26" i="31"/>
  <c r="E81" i="51"/>
  <c r="L39" i="41"/>
  <c r="L46" i="41" s="1"/>
  <c r="L80" i="43" s="1"/>
  <c r="L39" i="42"/>
  <c r="L46" i="42" s="1"/>
  <c r="E84" i="51"/>
  <c r="H26" i="29"/>
  <c r="K23" i="29"/>
  <c r="I23" i="29"/>
  <c r="H19" i="30"/>
  <c r="K87" i="30"/>
  <c r="H26" i="40"/>
  <c r="I23" i="40"/>
  <c r="J87" i="17"/>
  <c r="G19" i="17"/>
  <c r="F87" i="41"/>
  <c r="L87" i="17"/>
  <c r="I19" i="17"/>
  <c r="K116" i="31"/>
  <c r="H20" i="31"/>
  <c r="E116" i="16"/>
  <c r="H116" i="16" s="1"/>
  <c r="F20" i="31"/>
  <c r="E116" i="42"/>
  <c r="I116" i="31"/>
  <c r="H19" i="41"/>
  <c r="K87" i="41"/>
  <c r="AD14" i="35"/>
  <c r="I87" i="30"/>
  <c r="F19" i="30"/>
  <c r="G19" i="30" s="1"/>
  <c r="E87" i="41"/>
  <c r="I87" i="41" s="1"/>
  <c r="F26" i="40"/>
  <c r="B6" i="51"/>
  <c r="F116" i="42"/>
  <c r="I116" i="42" s="1"/>
  <c r="G20" i="16"/>
  <c r="J116" i="16"/>
  <c r="M6" i="45"/>
  <c r="M60" i="45" s="1"/>
  <c r="C144" i="51"/>
  <c r="F49" i="31"/>
  <c r="E63" i="31"/>
  <c r="B68" i="49"/>
  <c r="E55" i="32"/>
  <c r="L116" i="16"/>
  <c r="I20" i="16"/>
  <c r="F26" i="21"/>
  <c r="B6" i="50"/>
  <c r="M87" i="41"/>
  <c r="J19" i="41"/>
  <c r="C75" i="49"/>
  <c r="E73" i="2"/>
  <c r="B75" i="50" s="1"/>
  <c r="K23" i="40"/>
  <c r="AF10" i="46"/>
  <c r="H26" i="21"/>
  <c r="I23" i="21"/>
  <c r="J20" i="42"/>
  <c r="M116" i="42"/>
  <c r="K116" i="42"/>
  <c r="H20" i="42"/>
  <c r="K26" i="16" l="1"/>
  <c r="K20" i="2"/>
  <c r="K26" i="17"/>
  <c r="K19" i="2"/>
  <c r="K26" i="2" s="1"/>
  <c r="K39" i="2" s="1"/>
  <c r="K46" i="2" s="1"/>
  <c r="K23" i="21"/>
  <c r="J21" i="37"/>
  <c r="X21" i="37"/>
  <c r="Z21" i="37"/>
  <c r="T21" i="37"/>
  <c r="P21" i="37"/>
  <c r="AB21" i="37"/>
  <c r="V21" i="37"/>
  <c r="H21" i="37"/>
  <c r="L21" i="37"/>
  <c r="F21" i="37"/>
  <c r="R21" i="37"/>
  <c r="AC21" i="37"/>
  <c r="AD21" i="37" s="1"/>
  <c r="AF21" i="37" s="1"/>
  <c r="N21" i="37"/>
  <c r="J154" i="16"/>
  <c r="C92" i="50"/>
  <c r="H154" i="16"/>
  <c r="O10" i="37"/>
  <c r="N10" i="37"/>
  <c r="O10" i="38"/>
  <c r="N10" i="38"/>
  <c r="O27" i="37"/>
  <c r="N27" i="37"/>
  <c r="L34" i="37"/>
  <c r="O29" i="37"/>
  <c r="M34" i="37"/>
  <c r="N29" i="37"/>
  <c r="O10" i="34"/>
  <c r="M23" i="34"/>
  <c r="M58" i="34" s="1"/>
  <c r="N10" i="34"/>
  <c r="K60" i="34"/>
  <c r="AE21" i="35"/>
  <c r="I151" i="42"/>
  <c r="E154" i="42"/>
  <c r="I154" i="42" s="1"/>
  <c r="I24" i="32"/>
  <c r="I151" i="31"/>
  <c r="D89" i="49"/>
  <c r="H154" i="31"/>
  <c r="D92" i="49" s="1"/>
  <c r="J151" i="31"/>
  <c r="J24" i="32"/>
  <c r="K24" i="32" s="1"/>
  <c r="F21" i="34"/>
  <c r="N21" i="34"/>
  <c r="L21" i="34"/>
  <c r="T21" i="34"/>
  <c r="X21" i="34"/>
  <c r="J21" i="34"/>
  <c r="V21" i="34"/>
  <c r="AB21" i="34"/>
  <c r="P21" i="34"/>
  <c r="H21" i="34"/>
  <c r="Z21" i="34"/>
  <c r="AC21" i="34"/>
  <c r="AD21" i="34" s="1"/>
  <c r="AF21" i="34" s="1"/>
  <c r="R21" i="34"/>
  <c r="E71" i="32"/>
  <c r="B43" i="50"/>
  <c r="F49" i="17"/>
  <c r="G49" i="41"/>
  <c r="G51" i="41" s="1"/>
  <c r="G54" i="41" s="1"/>
  <c r="B43" i="51"/>
  <c r="H49" i="41"/>
  <c r="J39" i="31"/>
  <c r="J46" i="31" s="1"/>
  <c r="E84" i="49"/>
  <c r="J39" i="30"/>
  <c r="J46" i="30" s="1"/>
  <c r="J80" i="32" s="1"/>
  <c r="E79" i="49" s="1"/>
  <c r="E81" i="49"/>
  <c r="F26" i="30"/>
  <c r="G26" i="30" s="1"/>
  <c r="F19" i="32"/>
  <c r="G19" i="32" s="1"/>
  <c r="E19" i="17"/>
  <c r="I19" i="30"/>
  <c r="E19" i="41"/>
  <c r="J26" i="42"/>
  <c r="J20" i="43"/>
  <c r="M20" i="42"/>
  <c r="H19" i="43"/>
  <c r="H26" i="41"/>
  <c r="K19" i="41"/>
  <c r="L20" i="16"/>
  <c r="I20" i="2"/>
  <c r="E17" i="38" s="1"/>
  <c r="G17" i="38" s="1"/>
  <c r="I17" i="38" s="1"/>
  <c r="K17" i="38" s="1"/>
  <c r="M17" i="38" s="1"/>
  <c r="O17" i="38" s="1"/>
  <c r="Q17" i="38" s="1"/>
  <c r="S17" i="38" s="1"/>
  <c r="U17" i="38" s="1"/>
  <c r="W17" i="38" s="1"/>
  <c r="Y17" i="38" s="1"/>
  <c r="AA17" i="38" s="1"/>
  <c r="I26" i="16"/>
  <c r="C145" i="51"/>
  <c r="O6" i="45"/>
  <c r="O60" i="45" s="1"/>
  <c r="I26" i="17"/>
  <c r="I19" i="2"/>
  <c r="E16" i="38" s="1"/>
  <c r="L19" i="17"/>
  <c r="E79" i="51"/>
  <c r="E89" i="31"/>
  <c r="E63" i="32"/>
  <c r="H20" i="43"/>
  <c r="H26" i="42"/>
  <c r="K20" i="42"/>
  <c r="E20" i="42"/>
  <c r="F26" i="31"/>
  <c r="G26" i="31" s="1"/>
  <c r="E20" i="16"/>
  <c r="F20" i="32"/>
  <c r="G20" i="2"/>
  <c r="E17" i="37" s="1"/>
  <c r="G17" i="37" s="1"/>
  <c r="I17" i="37" s="1"/>
  <c r="K17" i="37" s="1"/>
  <c r="M17" i="37" s="1"/>
  <c r="O17" i="37" s="1"/>
  <c r="Q17" i="37" s="1"/>
  <c r="S17" i="37" s="1"/>
  <c r="U17" i="37" s="1"/>
  <c r="W17" i="37" s="1"/>
  <c r="Y17" i="37" s="1"/>
  <c r="AA17" i="37" s="1"/>
  <c r="J20" i="16"/>
  <c r="G26" i="16"/>
  <c r="F20" i="42"/>
  <c r="H19" i="32"/>
  <c r="K19" i="30"/>
  <c r="H26" i="30"/>
  <c r="K20" i="31"/>
  <c r="H26" i="31"/>
  <c r="H20" i="32"/>
  <c r="J19" i="17"/>
  <c r="G19" i="2"/>
  <c r="E16" i="37" s="1"/>
  <c r="F19" i="41"/>
  <c r="G26" i="17"/>
  <c r="C62" i="49"/>
  <c r="C64" i="49" s="1"/>
  <c r="E49" i="16"/>
  <c r="E49" i="42"/>
  <c r="F49" i="32"/>
  <c r="G49" i="32" s="1"/>
  <c r="J26" i="41"/>
  <c r="M19" i="41"/>
  <c r="J19" i="43"/>
  <c r="AF14" i="35"/>
  <c r="E81" i="50" l="1"/>
  <c r="K39" i="17"/>
  <c r="K46" i="17" s="1"/>
  <c r="K80" i="2" s="1"/>
  <c r="E79" i="50" s="1"/>
  <c r="E84" i="50"/>
  <c r="K39" i="16"/>
  <c r="K46" i="16" s="1"/>
  <c r="G16" i="37"/>
  <c r="E23" i="37"/>
  <c r="E58" i="37" s="1"/>
  <c r="E60" i="37" s="1"/>
  <c r="Q10" i="38"/>
  <c r="P10" i="38"/>
  <c r="G16" i="38"/>
  <c r="E23" i="38"/>
  <c r="E58" i="38" s="1"/>
  <c r="Q10" i="37"/>
  <c r="P10" i="37"/>
  <c r="Q27" i="37"/>
  <c r="P27" i="37"/>
  <c r="N34" i="37"/>
  <c r="Q29" i="37"/>
  <c r="O34" i="37"/>
  <c r="P29" i="37"/>
  <c r="M6" i="34"/>
  <c r="M60" i="34" s="1"/>
  <c r="C144" i="49"/>
  <c r="Q10" i="34"/>
  <c r="O23" i="34"/>
  <c r="O58" i="34" s="1"/>
  <c r="P10" i="34"/>
  <c r="J26" i="32"/>
  <c r="J39" i="32" s="1"/>
  <c r="J46" i="32" s="1"/>
  <c r="J154" i="31"/>
  <c r="E92" i="49" s="1"/>
  <c r="E89" i="49"/>
  <c r="K151" i="31"/>
  <c r="H21" i="35"/>
  <c r="R21" i="35"/>
  <c r="T21" i="35"/>
  <c r="P21" i="35"/>
  <c r="AB21" i="35"/>
  <c r="X21" i="35"/>
  <c r="F21" i="35"/>
  <c r="AC21" i="35"/>
  <c r="AD21" i="35" s="1"/>
  <c r="AF21" i="35" s="1"/>
  <c r="Z21" i="35"/>
  <c r="J21" i="35"/>
  <c r="L21" i="35"/>
  <c r="N21" i="35"/>
  <c r="V21" i="35"/>
  <c r="H51" i="41"/>
  <c r="C43" i="51"/>
  <c r="F51" i="17"/>
  <c r="F54" i="17" s="1"/>
  <c r="F55" i="17" s="1"/>
  <c r="G49" i="17"/>
  <c r="E75" i="32"/>
  <c r="E81" i="32"/>
  <c r="B77" i="49"/>
  <c r="M26" i="41"/>
  <c r="D81" i="51"/>
  <c r="J39" i="41"/>
  <c r="C81" i="50"/>
  <c r="J26" i="17"/>
  <c r="G39" i="17"/>
  <c r="I20" i="42"/>
  <c r="E20" i="43"/>
  <c r="I20" i="43" s="1"/>
  <c r="AE16" i="38"/>
  <c r="L19" i="2"/>
  <c r="I26" i="2"/>
  <c r="C81" i="51"/>
  <c r="H39" i="41"/>
  <c r="K26" i="41"/>
  <c r="F19" i="43"/>
  <c r="F26" i="41"/>
  <c r="F39" i="41" s="1"/>
  <c r="F46" i="41" s="1"/>
  <c r="D81" i="49"/>
  <c r="K26" i="30"/>
  <c r="H39" i="30"/>
  <c r="I39" i="17"/>
  <c r="L26" i="17"/>
  <c r="D81" i="50"/>
  <c r="H26" i="43"/>
  <c r="K19" i="43"/>
  <c r="AE16" i="45"/>
  <c r="E19" i="43"/>
  <c r="I19" i="41"/>
  <c r="C84" i="49"/>
  <c r="E26" i="16"/>
  <c r="I26" i="31"/>
  <c r="F39" i="31"/>
  <c r="G39" i="31" s="1"/>
  <c r="E26" i="42"/>
  <c r="Q6" i="45"/>
  <c r="Q60" i="45" s="1"/>
  <c r="C146" i="51"/>
  <c r="K19" i="32"/>
  <c r="AE16" i="35"/>
  <c r="H26" i="32"/>
  <c r="AE17" i="45"/>
  <c r="K20" i="43"/>
  <c r="M20" i="43"/>
  <c r="AE17" i="46"/>
  <c r="E19" i="2"/>
  <c r="H19" i="17"/>
  <c r="E20" i="2"/>
  <c r="H20" i="2" s="1"/>
  <c r="H20" i="16"/>
  <c r="J20" i="2"/>
  <c r="AE17" i="37"/>
  <c r="G26" i="2"/>
  <c r="J19" i="2"/>
  <c r="AE16" i="37"/>
  <c r="C84" i="51"/>
  <c r="K26" i="42"/>
  <c r="H39" i="42"/>
  <c r="B62" i="51"/>
  <c r="B64" i="51" s="1"/>
  <c r="F49" i="42"/>
  <c r="F51" i="42" s="1"/>
  <c r="F54" i="42" s="1"/>
  <c r="G49" i="42"/>
  <c r="H49" i="42"/>
  <c r="E49" i="43"/>
  <c r="AE16" i="46"/>
  <c r="M19" i="43"/>
  <c r="J26" i="43"/>
  <c r="AE17" i="35"/>
  <c r="K20" i="32"/>
  <c r="F20" i="43"/>
  <c r="F26" i="42"/>
  <c r="F39" i="42" s="1"/>
  <c r="F46" i="42" s="1"/>
  <c r="I39" i="16"/>
  <c r="L26" i="16"/>
  <c r="D84" i="50"/>
  <c r="J39" i="42"/>
  <c r="M26" i="42"/>
  <c r="D84" i="51"/>
  <c r="I19" i="32"/>
  <c r="AE16" i="34"/>
  <c r="F26" i="32"/>
  <c r="G26" i="32" s="1"/>
  <c r="F49" i="16"/>
  <c r="G49" i="16"/>
  <c r="B62" i="50"/>
  <c r="B64" i="50" s="1"/>
  <c r="E49" i="2"/>
  <c r="H39" i="31"/>
  <c r="K26" i="31"/>
  <c r="D84" i="49"/>
  <c r="J26" i="16"/>
  <c r="G39" i="16"/>
  <c r="C84" i="50"/>
  <c r="AE17" i="34"/>
  <c r="I20" i="32"/>
  <c r="G55" i="41"/>
  <c r="L20" i="2"/>
  <c r="AE17" i="38"/>
  <c r="E26" i="41"/>
  <c r="I26" i="30"/>
  <c r="C81" i="49"/>
  <c r="F39" i="30"/>
  <c r="G39" i="30" s="1"/>
  <c r="E26" i="17"/>
  <c r="I16" i="38" l="1"/>
  <c r="G23" i="38"/>
  <c r="G58" i="38" s="1"/>
  <c r="S10" i="38"/>
  <c r="R10" i="38"/>
  <c r="G6" i="37"/>
  <c r="C141" i="50"/>
  <c r="S10" i="37"/>
  <c r="R10" i="37"/>
  <c r="I16" i="37"/>
  <c r="J16" i="37" s="1"/>
  <c r="G23" i="37"/>
  <c r="G58" i="37" s="1"/>
  <c r="S27" i="37"/>
  <c r="R27" i="37"/>
  <c r="P34" i="37"/>
  <c r="S29" i="37"/>
  <c r="Q34" i="37"/>
  <c r="R29" i="37"/>
  <c r="F55" i="42"/>
  <c r="F63" i="42" s="1"/>
  <c r="F89" i="42" s="1"/>
  <c r="F26" i="43"/>
  <c r="F39" i="43" s="1"/>
  <c r="F46" i="43" s="1"/>
  <c r="S10" i="34"/>
  <c r="Q23" i="34"/>
  <c r="Q58" i="34" s="1"/>
  <c r="R10" i="34"/>
  <c r="O6" i="34"/>
  <c r="O60" i="34" s="1"/>
  <c r="C145" i="49"/>
  <c r="G51" i="17"/>
  <c r="C43" i="50"/>
  <c r="F49" i="41"/>
  <c r="B78" i="49"/>
  <c r="E82" i="32"/>
  <c r="H54" i="41"/>
  <c r="C48" i="51" s="1"/>
  <c r="C45" i="51"/>
  <c r="I19" i="43"/>
  <c r="E26" i="43"/>
  <c r="F16" i="37"/>
  <c r="H16" i="37"/>
  <c r="AE23" i="37"/>
  <c r="V16" i="34"/>
  <c r="AB16" i="34"/>
  <c r="R16" i="34"/>
  <c r="T16" i="34"/>
  <c r="H16" i="34"/>
  <c r="N16" i="34"/>
  <c r="X16" i="34"/>
  <c r="J16" i="34"/>
  <c r="P16" i="34"/>
  <c r="L16" i="34"/>
  <c r="AC16" i="34"/>
  <c r="F16" i="34"/>
  <c r="Z16" i="34"/>
  <c r="AE23" i="34"/>
  <c r="C62" i="51"/>
  <c r="C64" i="51" s="1"/>
  <c r="H51" i="42"/>
  <c r="H49" i="43"/>
  <c r="I49" i="43" s="1"/>
  <c r="X17" i="46"/>
  <c r="J17" i="46"/>
  <c r="H17" i="46"/>
  <c r="Z17" i="46"/>
  <c r="N17" i="46"/>
  <c r="P17" i="46"/>
  <c r="T17" i="46"/>
  <c r="AC17" i="46"/>
  <c r="AD17" i="46" s="1"/>
  <c r="AF17" i="46" s="1"/>
  <c r="F17" i="46"/>
  <c r="L17" i="46"/>
  <c r="V17" i="46"/>
  <c r="AB17" i="46"/>
  <c r="R17" i="46"/>
  <c r="I26" i="42"/>
  <c r="B84" i="51"/>
  <c r="G46" i="16"/>
  <c r="J46" i="16" s="1"/>
  <c r="J39" i="16"/>
  <c r="B81" i="50"/>
  <c r="H26" i="17"/>
  <c r="I39" i="30"/>
  <c r="F46" i="30"/>
  <c r="G46" i="30" s="1"/>
  <c r="E39" i="41"/>
  <c r="I39" i="41" s="1"/>
  <c r="E39" i="17"/>
  <c r="H39" i="17" s="1"/>
  <c r="G51" i="42"/>
  <c r="G49" i="43"/>
  <c r="J26" i="2"/>
  <c r="G39" i="2"/>
  <c r="I39" i="31"/>
  <c r="E39" i="42"/>
  <c r="I39" i="42" s="1"/>
  <c r="F46" i="31"/>
  <c r="G46" i="31" s="1"/>
  <c r="E39" i="16"/>
  <c r="H39" i="16" s="1"/>
  <c r="K26" i="43"/>
  <c r="H39" i="43"/>
  <c r="L16" i="46"/>
  <c r="V16" i="46"/>
  <c r="Z16" i="46"/>
  <c r="F16" i="46"/>
  <c r="X16" i="46"/>
  <c r="P16" i="46"/>
  <c r="T16" i="46"/>
  <c r="J16" i="46"/>
  <c r="N16" i="46"/>
  <c r="AB16" i="46"/>
  <c r="H16" i="46"/>
  <c r="AC16" i="46"/>
  <c r="R16" i="46"/>
  <c r="AE23" i="46"/>
  <c r="F39" i="32"/>
  <c r="G39" i="32" s="1"/>
  <c r="I26" i="32"/>
  <c r="H19" i="2"/>
  <c r="E26" i="2"/>
  <c r="H16" i="38"/>
  <c r="F16" i="38"/>
  <c r="AE23" i="38"/>
  <c r="J16" i="38"/>
  <c r="K39" i="31"/>
  <c r="H46" i="31"/>
  <c r="K46" i="31" s="1"/>
  <c r="P17" i="37"/>
  <c r="AC17" i="37"/>
  <c r="AD17" i="37" s="1"/>
  <c r="AF17" i="37" s="1"/>
  <c r="H17" i="37"/>
  <c r="N17" i="37"/>
  <c r="J17" i="37"/>
  <c r="AB17" i="37"/>
  <c r="F17" i="37"/>
  <c r="X17" i="37"/>
  <c r="V17" i="37"/>
  <c r="L17" i="37"/>
  <c r="R17" i="37"/>
  <c r="Z17" i="37"/>
  <c r="T17" i="37"/>
  <c r="F49" i="43"/>
  <c r="T17" i="35"/>
  <c r="AC17" i="35"/>
  <c r="AD17" i="35" s="1"/>
  <c r="AF17" i="35" s="1"/>
  <c r="R17" i="35"/>
  <c r="N17" i="35"/>
  <c r="F17" i="35"/>
  <c r="J17" i="35"/>
  <c r="Z17" i="35"/>
  <c r="V17" i="35"/>
  <c r="L17" i="35"/>
  <c r="H17" i="35"/>
  <c r="X17" i="35"/>
  <c r="AB17" i="35"/>
  <c r="P17" i="35"/>
  <c r="Z16" i="35"/>
  <c r="T16" i="35"/>
  <c r="J16" i="35"/>
  <c r="L16" i="35"/>
  <c r="R16" i="35"/>
  <c r="V16" i="35"/>
  <c r="AB16" i="35"/>
  <c r="P16" i="35"/>
  <c r="H16" i="35"/>
  <c r="F16" i="35"/>
  <c r="AC16" i="35"/>
  <c r="X16" i="35"/>
  <c r="N16" i="35"/>
  <c r="AE23" i="35"/>
  <c r="H26" i="16"/>
  <c r="B84" i="50"/>
  <c r="H46" i="41"/>
  <c r="K39" i="41"/>
  <c r="J46" i="41"/>
  <c r="M39" i="41"/>
  <c r="R16" i="45"/>
  <c r="V16" i="45"/>
  <c r="H16" i="45"/>
  <c r="AB16" i="45"/>
  <c r="Z16" i="45"/>
  <c r="L16" i="45"/>
  <c r="AC16" i="45"/>
  <c r="J16" i="45"/>
  <c r="N16" i="45"/>
  <c r="F16" i="45"/>
  <c r="P16" i="45"/>
  <c r="X16" i="45"/>
  <c r="AE23" i="45"/>
  <c r="T16" i="45"/>
  <c r="H39" i="32"/>
  <c r="K26" i="32"/>
  <c r="B81" i="51"/>
  <c r="I26" i="41"/>
  <c r="J17" i="34"/>
  <c r="Z17" i="34"/>
  <c r="P17" i="34"/>
  <c r="AB17" i="34"/>
  <c r="R17" i="34"/>
  <c r="L17" i="34"/>
  <c r="F17" i="34"/>
  <c r="V17" i="34"/>
  <c r="T17" i="34"/>
  <c r="H17" i="34"/>
  <c r="N17" i="34"/>
  <c r="X17" i="34"/>
  <c r="AC17" i="34"/>
  <c r="AD17" i="34" s="1"/>
  <c r="AF17" i="34" s="1"/>
  <c r="J46" i="42"/>
  <c r="M46" i="42" s="1"/>
  <c r="M39" i="42"/>
  <c r="M26" i="43"/>
  <c r="J39" i="43"/>
  <c r="K39" i="42"/>
  <c r="H46" i="42"/>
  <c r="K46" i="42" s="1"/>
  <c r="L39" i="17"/>
  <c r="I46" i="17"/>
  <c r="F70" i="17"/>
  <c r="F70" i="2" s="1"/>
  <c r="F71" i="2" s="1"/>
  <c r="F51" i="16"/>
  <c r="F49" i="2"/>
  <c r="L39" i="16"/>
  <c r="I46" i="16"/>
  <c r="L46" i="16" s="1"/>
  <c r="C147" i="51"/>
  <c r="S6" i="45"/>
  <c r="S60" i="45" s="1"/>
  <c r="G70" i="41"/>
  <c r="G70" i="43" s="1"/>
  <c r="G71" i="43" s="1"/>
  <c r="T17" i="38"/>
  <c r="N17" i="38"/>
  <c r="J17" i="38"/>
  <c r="Z17" i="38"/>
  <c r="F17" i="38"/>
  <c r="P17" i="38"/>
  <c r="V17" i="38"/>
  <c r="L17" i="38"/>
  <c r="X17" i="38"/>
  <c r="H17" i="38"/>
  <c r="AC17" i="38"/>
  <c r="AD17" i="38" s="1"/>
  <c r="AF17" i="38" s="1"/>
  <c r="R17" i="38"/>
  <c r="AB17" i="38"/>
  <c r="G51" i="16"/>
  <c r="C62" i="50"/>
  <c r="C64" i="50" s="1"/>
  <c r="G49" i="2"/>
  <c r="J49" i="2" s="1"/>
  <c r="L17" i="45"/>
  <c r="N17" i="45"/>
  <c r="H17" i="45"/>
  <c r="F17" i="45"/>
  <c r="P17" i="45"/>
  <c r="J17" i="45"/>
  <c r="AC17" i="45"/>
  <c r="AD17" i="45" s="1"/>
  <c r="AF17" i="45" s="1"/>
  <c r="R17" i="45"/>
  <c r="V17" i="45"/>
  <c r="T17" i="45"/>
  <c r="X17" i="45"/>
  <c r="Z17" i="45"/>
  <c r="AB17" i="45"/>
  <c r="H46" i="30"/>
  <c r="K39" i="30"/>
  <c r="L26" i="2"/>
  <c r="I39" i="2"/>
  <c r="G46" i="17"/>
  <c r="J39" i="17"/>
  <c r="G60" i="37" l="1"/>
  <c r="I6" i="37" s="1"/>
  <c r="U10" i="37"/>
  <c r="T10" i="37"/>
  <c r="K16" i="37"/>
  <c r="I23" i="37"/>
  <c r="I58" i="37" s="1"/>
  <c r="U10" i="38"/>
  <c r="T10" i="38"/>
  <c r="K16" i="38"/>
  <c r="I23" i="38"/>
  <c r="I58" i="38" s="1"/>
  <c r="U27" i="37"/>
  <c r="T27" i="37"/>
  <c r="R34" i="37"/>
  <c r="U29" i="37"/>
  <c r="S34" i="37"/>
  <c r="T29" i="37"/>
  <c r="F63" i="43"/>
  <c r="C146" i="49"/>
  <c r="Q6" i="34"/>
  <c r="Q60" i="34" s="1"/>
  <c r="U10" i="34"/>
  <c r="S23" i="34"/>
  <c r="S58" i="34" s="1"/>
  <c r="T10" i="34"/>
  <c r="F51" i="41"/>
  <c r="F51" i="43" s="1"/>
  <c r="G54" i="17"/>
  <c r="C45" i="50"/>
  <c r="H49" i="2"/>
  <c r="H80" i="43"/>
  <c r="K46" i="41"/>
  <c r="H55" i="41"/>
  <c r="E46" i="41"/>
  <c r="I46" i="41" s="1"/>
  <c r="E46" i="17"/>
  <c r="H46" i="17" s="1"/>
  <c r="F80" i="32"/>
  <c r="I46" i="30"/>
  <c r="F55" i="30"/>
  <c r="G55" i="30" s="1"/>
  <c r="AD16" i="34"/>
  <c r="C148" i="51"/>
  <c r="U6" i="45"/>
  <c r="U60" i="45" s="1"/>
  <c r="L46" i="17"/>
  <c r="I80" i="2"/>
  <c r="H26" i="2"/>
  <c r="E39" i="2"/>
  <c r="F54" i="16"/>
  <c r="F51" i="2"/>
  <c r="K46" i="30"/>
  <c r="H80" i="32"/>
  <c r="AD16" i="46"/>
  <c r="AC23" i="46"/>
  <c r="AC58" i="46" s="1"/>
  <c r="G54" i="16"/>
  <c r="G51" i="2"/>
  <c r="H46" i="32"/>
  <c r="K46" i="32" s="1"/>
  <c r="K39" i="32"/>
  <c r="AB23" i="35"/>
  <c r="J23" i="35"/>
  <c r="L23" i="35"/>
  <c r="F23" i="35"/>
  <c r="N23" i="35"/>
  <c r="V23" i="35"/>
  <c r="P23" i="35"/>
  <c r="Z23" i="35"/>
  <c r="R23" i="35"/>
  <c r="H23" i="35"/>
  <c r="T23" i="35"/>
  <c r="X23" i="35"/>
  <c r="J39" i="2"/>
  <c r="G46" i="2"/>
  <c r="E46" i="16"/>
  <c r="H46" i="16" s="1"/>
  <c r="I46" i="31"/>
  <c r="E46" i="42"/>
  <c r="I46" i="42" s="1"/>
  <c r="F55" i="31"/>
  <c r="G55" i="31" s="1"/>
  <c r="F81" i="2"/>
  <c r="F82" i="2" s="1"/>
  <c r="F75" i="2"/>
  <c r="G80" i="2"/>
  <c r="J46" i="17"/>
  <c r="H54" i="42"/>
  <c r="H51" i="43"/>
  <c r="L39" i="2"/>
  <c r="I46" i="2"/>
  <c r="L46" i="2" s="1"/>
  <c r="AD16" i="45"/>
  <c r="AC23" i="45"/>
  <c r="AC58" i="45" s="1"/>
  <c r="I39" i="32"/>
  <c r="F46" i="32"/>
  <c r="H46" i="43"/>
  <c r="K46" i="43" s="1"/>
  <c r="K39" i="43"/>
  <c r="F23" i="37"/>
  <c r="H23" i="37"/>
  <c r="L23" i="45"/>
  <c r="T23" i="45"/>
  <c r="X23" i="45"/>
  <c r="P23" i="45"/>
  <c r="Z23" i="45"/>
  <c r="H23" i="45"/>
  <c r="F23" i="45"/>
  <c r="N23" i="45"/>
  <c r="R23" i="45"/>
  <c r="AB23" i="45"/>
  <c r="V23" i="45"/>
  <c r="J23" i="45"/>
  <c r="G75" i="43"/>
  <c r="G81" i="43"/>
  <c r="G82" i="43" s="1"/>
  <c r="M39" i="43"/>
  <c r="J46" i="43"/>
  <c r="M46" i="43" s="1"/>
  <c r="J80" i="43"/>
  <c r="M46" i="41"/>
  <c r="AD16" i="35"/>
  <c r="AC23" i="35"/>
  <c r="AC58" i="35" s="1"/>
  <c r="H23" i="38"/>
  <c r="F23" i="38"/>
  <c r="AB23" i="46"/>
  <c r="F23" i="46"/>
  <c r="L23" i="46"/>
  <c r="R23" i="46"/>
  <c r="Z23" i="46"/>
  <c r="P23" i="46"/>
  <c r="J23" i="46"/>
  <c r="X23" i="46"/>
  <c r="V23" i="46"/>
  <c r="T23" i="46"/>
  <c r="H23" i="46"/>
  <c r="N23" i="46"/>
  <c r="G54" i="42"/>
  <c r="G51" i="43"/>
  <c r="T23" i="34"/>
  <c r="P23" i="34"/>
  <c r="J23" i="34"/>
  <c r="L23" i="34"/>
  <c r="F23" i="34"/>
  <c r="H23" i="34"/>
  <c r="R23" i="34"/>
  <c r="N23" i="34"/>
  <c r="I26" i="43"/>
  <c r="E39" i="43"/>
  <c r="I60" i="37" l="1"/>
  <c r="K6" i="37" s="1"/>
  <c r="C142" i="50"/>
  <c r="J23" i="37"/>
  <c r="M16" i="38"/>
  <c r="K23" i="38"/>
  <c r="L16" i="38"/>
  <c r="M16" i="37"/>
  <c r="K23" i="37"/>
  <c r="L16" i="37"/>
  <c r="J23" i="38"/>
  <c r="W10" i="38"/>
  <c r="V10" i="38"/>
  <c r="W10" i="37"/>
  <c r="V10" i="37"/>
  <c r="J46" i="2"/>
  <c r="W27" i="37"/>
  <c r="V27" i="37"/>
  <c r="T34" i="37"/>
  <c r="W29" i="37"/>
  <c r="U34" i="37"/>
  <c r="V29" i="37"/>
  <c r="W10" i="34"/>
  <c r="U23" i="34"/>
  <c r="V10" i="34"/>
  <c r="C147" i="49"/>
  <c r="S6" i="34"/>
  <c r="S60" i="34" s="1"/>
  <c r="F54" i="41"/>
  <c r="C48" i="50"/>
  <c r="G55" i="17"/>
  <c r="I46" i="32"/>
  <c r="G46" i="32"/>
  <c r="F55" i="16"/>
  <c r="F54" i="2"/>
  <c r="H39" i="2"/>
  <c r="E46" i="2"/>
  <c r="H46" i="2" s="1"/>
  <c r="AD23" i="45"/>
  <c r="AD58" i="45" s="1"/>
  <c r="AF16" i="45"/>
  <c r="AF23" i="45" s="1"/>
  <c r="C79" i="50"/>
  <c r="G55" i="16"/>
  <c r="C67" i="50"/>
  <c r="G54" i="2"/>
  <c r="AF16" i="34"/>
  <c r="C79" i="51"/>
  <c r="G55" i="42"/>
  <c r="G54" i="43"/>
  <c r="K55" i="41"/>
  <c r="C49" i="51"/>
  <c r="J54" i="41"/>
  <c r="H70" i="41"/>
  <c r="C49" i="49"/>
  <c r="F55" i="32"/>
  <c r="G55" i="32" s="1"/>
  <c r="E55" i="17"/>
  <c r="H49" i="30"/>
  <c r="I49" i="30" s="1"/>
  <c r="F70" i="30"/>
  <c r="G70" i="30" s="1"/>
  <c r="E55" i="41"/>
  <c r="AD23" i="35"/>
  <c r="AD58" i="35" s="1"/>
  <c r="AF16" i="35"/>
  <c r="AF23" i="35" s="1"/>
  <c r="AD23" i="46"/>
  <c r="AD58" i="46" s="1"/>
  <c r="AF16" i="46"/>
  <c r="AF23" i="46" s="1"/>
  <c r="E55" i="42"/>
  <c r="C68" i="49"/>
  <c r="H49" i="31"/>
  <c r="I49" i="31" s="1"/>
  <c r="E55" i="16"/>
  <c r="F63" i="31"/>
  <c r="G63" i="31" s="1"/>
  <c r="D79" i="50"/>
  <c r="D79" i="51"/>
  <c r="H55" i="42"/>
  <c r="H55" i="43" s="1"/>
  <c r="C67" i="51"/>
  <c r="H54" i="43"/>
  <c r="D79" i="49"/>
  <c r="C79" i="49"/>
  <c r="E80" i="43"/>
  <c r="B79" i="51" s="1"/>
  <c r="E80" i="2"/>
  <c r="B79" i="50" s="1"/>
  <c r="E46" i="43"/>
  <c r="I46" i="43" s="1"/>
  <c r="I39" i="43"/>
  <c r="C149" i="51"/>
  <c r="W6" i="45"/>
  <c r="W60" i="45" s="1"/>
  <c r="C143" i="50" l="1"/>
  <c r="O16" i="37"/>
  <c r="M23" i="37"/>
  <c r="N16" i="37"/>
  <c r="K58" i="37"/>
  <c r="L23" i="37"/>
  <c r="Y10" i="38"/>
  <c r="X10" i="38"/>
  <c r="K58" i="38"/>
  <c r="L23" i="38"/>
  <c r="O16" i="38"/>
  <c r="M23" i="38"/>
  <c r="N16" i="38"/>
  <c r="Y10" i="37"/>
  <c r="X10" i="37"/>
  <c r="K60" i="37"/>
  <c r="Y27" i="37"/>
  <c r="X27" i="37"/>
  <c r="Y29" i="37"/>
  <c r="W34" i="37"/>
  <c r="X29" i="37"/>
  <c r="V34" i="37"/>
  <c r="C148" i="49"/>
  <c r="U6" i="34"/>
  <c r="U58" i="34"/>
  <c r="V23" i="34"/>
  <c r="Y10" i="34"/>
  <c r="W23" i="34"/>
  <c r="X10" i="34"/>
  <c r="C49" i="50"/>
  <c r="G70" i="17"/>
  <c r="I54" i="17"/>
  <c r="F54" i="43"/>
  <c r="F55" i="41"/>
  <c r="F55" i="43" s="1"/>
  <c r="I55" i="42"/>
  <c r="B68" i="51"/>
  <c r="E63" i="42"/>
  <c r="J55" i="41"/>
  <c r="D48" i="51"/>
  <c r="Y6" i="45"/>
  <c r="Y60" i="45" s="1"/>
  <c r="C150" i="51"/>
  <c r="C59" i="49"/>
  <c r="F70" i="32"/>
  <c r="G70" i="32" s="1"/>
  <c r="AC62" i="45"/>
  <c r="K55" i="43"/>
  <c r="J54" i="43"/>
  <c r="D43" i="49"/>
  <c r="D45" i="49" s="1"/>
  <c r="H49" i="32"/>
  <c r="I49" i="32" s="1"/>
  <c r="H55" i="30"/>
  <c r="I55" i="30" s="1"/>
  <c r="D62" i="49"/>
  <c r="D64" i="49" s="1"/>
  <c r="H55" i="31"/>
  <c r="I55" i="31" s="1"/>
  <c r="C59" i="51"/>
  <c r="K70" i="41"/>
  <c r="H70" i="43"/>
  <c r="H63" i="42"/>
  <c r="J54" i="42"/>
  <c r="K55" i="42"/>
  <c r="C68" i="51"/>
  <c r="F63" i="32"/>
  <c r="G63" i="32" s="1"/>
  <c r="F89" i="31"/>
  <c r="E70" i="17"/>
  <c r="B49" i="50"/>
  <c r="H55" i="17"/>
  <c r="E55" i="2"/>
  <c r="I54" i="16"/>
  <c r="C68" i="50"/>
  <c r="G63" i="16"/>
  <c r="G55" i="2"/>
  <c r="E55" i="43"/>
  <c r="I55" i="43" s="1"/>
  <c r="I55" i="41"/>
  <c r="E70" i="41"/>
  <c r="B49" i="51"/>
  <c r="AC62" i="34"/>
  <c r="G63" i="42"/>
  <c r="G63" i="43" s="1"/>
  <c r="G55" i="43"/>
  <c r="B68" i="50"/>
  <c r="H55" i="16"/>
  <c r="E63" i="16"/>
  <c r="F63" i="16"/>
  <c r="F55" i="2"/>
  <c r="AA10" i="38" l="1"/>
  <c r="Z10" i="38"/>
  <c r="Q16" i="38"/>
  <c r="O23" i="38"/>
  <c r="P16" i="38"/>
  <c r="C144" i="50"/>
  <c r="M6" i="37"/>
  <c r="M58" i="38"/>
  <c r="N23" i="38"/>
  <c r="AC10" i="38"/>
  <c r="M58" i="37"/>
  <c r="N23" i="37"/>
  <c r="AA10" i="37"/>
  <c r="Z10" i="37"/>
  <c r="Q16" i="37"/>
  <c r="O23" i="37"/>
  <c r="P16" i="37"/>
  <c r="AA27" i="37"/>
  <c r="Z27" i="37"/>
  <c r="AC27" i="37"/>
  <c r="X34" i="37"/>
  <c r="AA29" i="37"/>
  <c r="Y34" i="37"/>
  <c r="Z29" i="37"/>
  <c r="AC29" i="37"/>
  <c r="W58" i="34"/>
  <c r="X23" i="34"/>
  <c r="AA10" i="34"/>
  <c r="Y23" i="34"/>
  <c r="Z10" i="34"/>
  <c r="U60" i="34"/>
  <c r="AC10" i="34"/>
  <c r="AC23" i="34" s="1"/>
  <c r="AC58" i="34" s="1"/>
  <c r="I55" i="17"/>
  <c r="J55" i="17" s="1"/>
  <c r="D48" i="50"/>
  <c r="F70" i="41"/>
  <c r="F70" i="43" s="1"/>
  <c r="F71" i="43" s="1"/>
  <c r="F75" i="43" s="1"/>
  <c r="C59" i="50"/>
  <c r="G70" i="2"/>
  <c r="H55" i="2"/>
  <c r="F63" i="2"/>
  <c r="F89" i="16"/>
  <c r="E70" i="43"/>
  <c r="I70" i="41"/>
  <c r="B59" i="51"/>
  <c r="F71" i="32"/>
  <c r="C151" i="51"/>
  <c r="AA6" i="45"/>
  <c r="AA60" i="45" s="1"/>
  <c r="D67" i="50"/>
  <c r="I55" i="16"/>
  <c r="J55" i="16" s="1"/>
  <c r="I54" i="2"/>
  <c r="H63" i="16"/>
  <c r="E63" i="2"/>
  <c r="E89" i="16"/>
  <c r="J55" i="42"/>
  <c r="D67" i="51"/>
  <c r="D49" i="49"/>
  <c r="H55" i="32"/>
  <c r="I55" i="32" s="1"/>
  <c r="J49" i="30"/>
  <c r="K49" i="30" s="1"/>
  <c r="H70" i="30"/>
  <c r="I70" i="30" s="1"/>
  <c r="AC62" i="37"/>
  <c r="H70" i="17"/>
  <c r="B59" i="50"/>
  <c r="E70" i="2"/>
  <c r="K70" i="43"/>
  <c r="H71" i="43"/>
  <c r="E63" i="43"/>
  <c r="I63" i="42"/>
  <c r="E89" i="42"/>
  <c r="J49" i="31"/>
  <c r="K49" i="31" s="1"/>
  <c r="D68" i="49"/>
  <c r="H63" i="31"/>
  <c r="I63" i="31" s="1"/>
  <c r="M55" i="41"/>
  <c r="D49" i="51"/>
  <c r="J70" i="41"/>
  <c r="L54" i="41"/>
  <c r="G63" i="2"/>
  <c r="G89" i="16"/>
  <c r="H89" i="42"/>
  <c r="K63" i="42"/>
  <c r="H63" i="43"/>
  <c r="K63" i="43" s="1"/>
  <c r="M54" i="43"/>
  <c r="J55" i="43"/>
  <c r="O58" i="38" l="1"/>
  <c r="P23" i="38"/>
  <c r="AD10" i="38"/>
  <c r="S16" i="38"/>
  <c r="Q23" i="38"/>
  <c r="R16" i="38"/>
  <c r="O58" i="37"/>
  <c r="P23" i="37"/>
  <c r="AB10" i="37"/>
  <c r="AC10" i="37"/>
  <c r="AD10" i="37"/>
  <c r="S16" i="37"/>
  <c r="Q23" i="37"/>
  <c r="R16" i="37"/>
  <c r="M60" i="37"/>
  <c r="AB10" i="38"/>
  <c r="AB27" i="37"/>
  <c r="AD27" i="37"/>
  <c r="AF27" i="37" s="1"/>
  <c r="Z34" i="37"/>
  <c r="AD29" i="37"/>
  <c r="AC34" i="37"/>
  <c r="AA34" i="37"/>
  <c r="AB29" i="37"/>
  <c r="AD10" i="34"/>
  <c r="C149" i="49"/>
  <c r="W6" i="34"/>
  <c r="W60" i="34" s="1"/>
  <c r="Y58" i="34"/>
  <c r="Z23" i="34"/>
  <c r="AA23" i="34"/>
  <c r="AB10" i="34"/>
  <c r="H63" i="2"/>
  <c r="G71" i="2"/>
  <c r="I70" i="17"/>
  <c r="J70" i="17" s="1"/>
  <c r="D49" i="50"/>
  <c r="K54" i="17"/>
  <c r="J54" i="2"/>
  <c r="I63" i="43"/>
  <c r="J70" i="43"/>
  <c r="M70" i="41"/>
  <c r="D59" i="51"/>
  <c r="E71" i="2"/>
  <c r="B77" i="50" s="1"/>
  <c r="H70" i="2"/>
  <c r="AC62" i="35"/>
  <c r="M55" i="42"/>
  <c r="D68" i="51"/>
  <c r="J63" i="42"/>
  <c r="L54" i="42"/>
  <c r="J55" i="30"/>
  <c r="K55" i="30" s="1"/>
  <c r="E43" i="49"/>
  <c r="E45" i="49" s="1"/>
  <c r="J49" i="32"/>
  <c r="K49" i="32" s="1"/>
  <c r="H70" i="32"/>
  <c r="I70" i="32" s="1"/>
  <c r="D59" i="49"/>
  <c r="AC62" i="46"/>
  <c r="L54" i="43"/>
  <c r="L55" i="43" s="1"/>
  <c r="M55" i="43"/>
  <c r="D68" i="50"/>
  <c r="I63" i="16"/>
  <c r="J63" i="16" s="1"/>
  <c r="K54" i="16"/>
  <c r="I55" i="2"/>
  <c r="J55" i="2" s="1"/>
  <c r="I70" i="43"/>
  <c r="E71" i="43"/>
  <c r="B77" i="51" s="1"/>
  <c r="J55" i="31"/>
  <c r="K55" i="31" s="1"/>
  <c r="E62" i="49"/>
  <c r="E64" i="49" s="1"/>
  <c r="H63" i="32"/>
  <c r="H89" i="31"/>
  <c r="H81" i="43"/>
  <c r="H75" i="43"/>
  <c r="C77" i="51"/>
  <c r="F81" i="32"/>
  <c r="F75" i="32"/>
  <c r="C77" i="49"/>
  <c r="L55" i="41"/>
  <c r="E48" i="51"/>
  <c r="E6" i="46"/>
  <c r="AC6" i="45"/>
  <c r="AC60" i="45" s="1"/>
  <c r="AC63" i="45" s="1"/>
  <c r="C152" i="51"/>
  <c r="Q58" i="37" l="1"/>
  <c r="R23" i="37"/>
  <c r="U16" i="37"/>
  <c r="T16" i="37"/>
  <c r="S23" i="37"/>
  <c r="AF10" i="37"/>
  <c r="Q58" i="38"/>
  <c r="R23" i="38"/>
  <c r="U16" i="38"/>
  <c r="T16" i="38"/>
  <c r="S23" i="38"/>
  <c r="C145" i="50"/>
  <c r="O6" i="37"/>
  <c r="O60" i="37" s="1"/>
  <c r="AF10" i="38"/>
  <c r="AB34" i="37"/>
  <c r="AF29" i="37"/>
  <c r="AF34" i="37" s="1"/>
  <c r="AD34" i="37"/>
  <c r="AA58" i="34"/>
  <c r="AB23" i="34"/>
  <c r="C150" i="49"/>
  <c r="Y6" i="34"/>
  <c r="Y60" i="34" s="1"/>
  <c r="AF10" i="34"/>
  <c r="AF23" i="34" s="1"/>
  <c r="AD23" i="34"/>
  <c r="AD58" i="34" s="1"/>
  <c r="E48" i="50"/>
  <c r="K55" i="17"/>
  <c r="L55" i="17" s="1"/>
  <c r="I70" i="2"/>
  <c r="J70" i="2" s="1"/>
  <c r="D59" i="50"/>
  <c r="G81" i="2"/>
  <c r="C77" i="50"/>
  <c r="G75" i="2"/>
  <c r="I63" i="32"/>
  <c r="AC62" i="38"/>
  <c r="E75" i="2"/>
  <c r="E75" i="43"/>
  <c r="I89" i="16"/>
  <c r="I63" i="2"/>
  <c r="J63" i="2" s="1"/>
  <c r="K55" i="16"/>
  <c r="L55" i="16" s="1"/>
  <c r="E67" i="50"/>
  <c r="K54" i="2"/>
  <c r="L54" i="2" s="1"/>
  <c r="E81" i="43"/>
  <c r="B78" i="51" s="1"/>
  <c r="E81" i="2"/>
  <c r="B78" i="50" s="1"/>
  <c r="C78" i="49"/>
  <c r="F82" i="32"/>
  <c r="H71" i="32"/>
  <c r="E68" i="49"/>
  <c r="J63" i="31"/>
  <c r="K63" i="31" s="1"/>
  <c r="E67" i="51"/>
  <c r="L55" i="42"/>
  <c r="C78" i="51"/>
  <c r="H82" i="43"/>
  <c r="J63" i="43"/>
  <c r="M63" i="43" s="1"/>
  <c r="M63" i="42"/>
  <c r="J89" i="42"/>
  <c r="E49" i="51"/>
  <c r="L70" i="41"/>
  <c r="D140" i="51"/>
  <c r="E60" i="46"/>
  <c r="E49" i="49"/>
  <c r="J70" i="30"/>
  <c r="K70" i="30" s="1"/>
  <c r="J55" i="32"/>
  <c r="K55" i="32" s="1"/>
  <c r="J71" i="43"/>
  <c r="M70" i="43"/>
  <c r="S58" i="38" l="1"/>
  <c r="T23" i="38"/>
  <c r="T23" i="37"/>
  <c r="S58" i="37"/>
  <c r="W16" i="38"/>
  <c r="V16" i="38"/>
  <c r="U23" i="38"/>
  <c r="W16" i="37"/>
  <c r="V16" i="37"/>
  <c r="U23" i="37"/>
  <c r="C146" i="50"/>
  <c r="Q6" i="37"/>
  <c r="Q60" i="37" s="1"/>
  <c r="AA6" i="34"/>
  <c r="AA60" i="34" s="1"/>
  <c r="C151" i="49"/>
  <c r="C78" i="50"/>
  <c r="G82" i="2"/>
  <c r="I71" i="2"/>
  <c r="K70" i="17"/>
  <c r="L70" i="17" s="1"/>
  <c r="E49" i="50"/>
  <c r="E82" i="2"/>
  <c r="E82" i="43"/>
  <c r="L70" i="43"/>
  <c r="L71" i="43" s="1"/>
  <c r="E59" i="51"/>
  <c r="E68" i="50"/>
  <c r="K63" i="16"/>
  <c r="L63" i="16" s="1"/>
  <c r="K55" i="2"/>
  <c r="L55" i="2" s="1"/>
  <c r="J70" i="32"/>
  <c r="E59" i="49"/>
  <c r="J81" i="43"/>
  <c r="D77" i="51"/>
  <c r="J75" i="43"/>
  <c r="D141" i="51"/>
  <c r="G6" i="46"/>
  <c r="G60" i="46" s="1"/>
  <c r="J89" i="31"/>
  <c r="J63" i="32"/>
  <c r="K63" i="32" s="1"/>
  <c r="L63" i="42"/>
  <c r="E68" i="51"/>
  <c r="H81" i="32"/>
  <c r="H75" i="32"/>
  <c r="D77" i="49"/>
  <c r="U58" i="38" l="1"/>
  <c r="V23" i="38"/>
  <c r="C147" i="50"/>
  <c r="S6" i="37"/>
  <c r="S60" i="37" s="1"/>
  <c r="Y16" i="38"/>
  <c r="X16" i="38"/>
  <c r="W23" i="38"/>
  <c r="V23" i="37"/>
  <c r="U58" i="37"/>
  <c r="Y16" i="37"/>
  <c r="X16" i="37"/>
  <c r="W23" i="37"/>
  <c r="E6" i="35"/>
  <c r="C152" i="49"/>
  <c r="AC6" i="34"/>
  <c r="AC60" i="34" s="1"/>
  <c r="AC63" i="34" s="1"/>
  <c r="K70" i="2"/>
  <c r="E59" i="50"/>
  <c r="I81" i="2"/>
  <c r="I75" i="2"/>
  <c r="D77" i="50"/>
  <c r="J71" i="32"/>
  <c r="J75" i="32" s="1"/>
  <c r="K70" i="32"/>
  <c r="K63" i="2"/>
  <c r="L63" i="2" s="1"/>
  <c r="K89" i="16"/>
  <c r="L75" i="43"/>
  <c r="L81" i="43"/>
  <c r="E77" i="51"/>
  <c r="D78" i="51"/>
  <c r="J82" i="43"/>
  <c r="D142" i="51"/>
  <c r="I6" i="46"/>
  <c r="I60" i="46" s="1"/>
  <c r="L89" i="42"/>
  <c r="L63" i="43"/>
  <c r="D78" i="49"/>
  <c r="H82" i="32"/>
  <c r="W58" i="38" l="1"/>
  <c r="X23" i="38"/>
  <c r="U6" i="37"/>
  <c r="U60" i="37" s="1"/>
  <c r="C148" i="50"/>
  <c r="X23" i="37"/>
  <c r="W58" i="37"/>
  <c r="AA16" i="37"/>
  <c r="Z16" i="37"/>
  <c r="Y23" i="37"/>
  <c r="AA16" i="38"/>
  <c r="Z16" i="38"/>
  <c r="Y23" i="38"/>
  <c r="K71" i="2"/>
  <c r="K81" i="2" s="1"/>
  <c r="L70" i="2"/>
  <c r="E60" i="35"/>
  <c r="D140" i="49"/>
  <c r="J81" i="32"/>
  <c r="E78" i="49" s="1"/>
  <c r="D78" i="50"/>
  <c r="I82" i="2"/>
  <c r="E77" i="49"/>
  <c r="E78" i="51"/>
  <c r="L82" i="43"/>
  <c r="K6" i="46"/>
  <c r="K60" i="46" s="1"/>
  <c r="D143" i="51"/>
  <c r="C149" i="50" l="1"/>
  <c r="W6" i="37"/>
  <c r="W60" i="37" s="1"/>
  <c r="AB16" i="38"/>
  <c r="AA23" i="38"/>
  <c r="AC16" i="38"/>
  <c r="AB16" i="37"/>
  <c r="AA23" i="37"/>
  <c r="AC16" i="37"/>
  <c r="AC23" i="37" s="1"/>
  <c r="AC58" i="37" s="1"/>
  <c r="Y58" i="38"/>
  <c r="Z23" i="38"/>
  <c r="Z23" i="37"/>
  <c r="Y58" i="37"/>
  <c r="E77" i="50"/>
  <c r="K75" i="2"/>
  <c r="G6" i="35"/>
  <c r="G60" i="35" s="1"/>
  <c r="D141" i="49"/>
  <c r="J82" i="32"/>
  <c r="K82" i="2"/>
  <c r="E78" i="50"/>
  <c r="D144" i="51"/>
  <c r="M6" i="46"/>
  <c r="M60" i="46" s="1"/>
  <c r="AB23" i="37" l="1"/>
  <c r="AA58" i="37"/>
  <c r="AC23" i="38"/>
  <c r="AC58" i="38" s="1"/>
  <c r="AD16" i="38"/>
  <c r="Y6" i="37"/>
  <c r="Y60" i="37" s="1"/>
  <c r="C150" i="50"/>
  <c r="AA58" i="38"/>
  <c r="AB23" i="38"/>
  <c r="AD16" i="37"/>
  <c r="I6" i="35"/>
  <c r="I60" i="35" s="1"/>
  <c r="D142" i="49"/>
  <c r="D145" i="51"/>
  <c r="O6" i="46"/>
  <c r="O60" i="46" s="1"/>
  <c r="C151" i="50" l="1"/>
  <c r="AA6" i="37"/>
  <c r="AA60" i="37" s="1"/>
  <c r="AF16" i="38"/>
  <c r="AF23" i="38" s="1"/>
  <c r="AD23" i="38"/>
  <c r="AD58" i="38" s="1"/>
  <c r="AF16" i="37"/>
  <c r="AF23" i="37" s="1"/>
  <c r="AD23" i="37"/>
  <c r="AD58" i="37" s="1"/>
  <c r="D143" i="49"/>
  <c r="K6" i="35"/>
  <c r="K60" i="35" s="1"/>
  <c r="Q6" i="46"/>
  <c r="Q60" i="46" s="1"/>
  <c r="D146" i="51"/>
  <c r="C152" i="50" l="1"/>
  <c r="E6" i="38"/>
  <c r="AC6" i="37"/>
  <c r="AC60" i="37" s="1"/>
  <c r="AC63" i="37" s="1"/>
  <c r="M6" i="35"/>
  <c r="M60" i="35" s="1"/>
  <c r="D144" i="49"/>
  <c r="D147" i="51"/>
  <c r="S6" i="46"/>
  <c r="S60" i="46" s="1"/>
  <c r="E60" i="38" l="1"/>
  <c r="D140" i="50"/>
  <c r="D145" i="49"/>
  <c r="O6" i="35"/>
  <c r="O60" i="35" s="1"/>
  <c r="D148" i="51"/>
  <c r="U6" i="46"/>
  <c r="U60" i="46" s="1"/>
  <c r="G6" i="38" l="1"/>
  <c r="G60" i="38" s="1"/>
  <c r="D141" i="50"/>
  <c r="Q6" i="35"/>
  <c r="Q60" i="35" s="1"/>
  <c r="D146" i="49"/>
  <c r="D149" i="51"/>
  <c r="W6" i="46"/>
  <c r="W60" i="46" s="1"/>
  <c r="I6" i="38" l="1"/>
  <c r="I60" i="38" s="1"/>
  <c r="D142" i="50"/>
  <c r="S6" i="35"/>
  <c r="S60" i="35" s="1"/>
  <c r="D147" i="49"/>
  <c r="D150" i="51"/>
  <c r="Y6" i="46"/>
  <c r="Y60" i="46" s="1"/>
  <c r="K6" i="38" l="1"/>
  <c r="K60" i="38" s="1"/>
  <c r="D143" i="50"/>
  <c r="D148" i="49"/>
  <c r="U6" i="35"/>
  <c r="U60" i="35" s="1"/>
  <c r="D151" i="51"/>
  <c r="AA6" i="46"/>
  <c r="AA60" i="46" s="1"/>
  <c r="D144" i="50" l="1"/>
  <c r="M6" i="38"/>
  <c r="M60" i="38" s="1"/>
  <c r="W6" i="35"/>
  <c r="W60" i="35" s="1"/>
  <c r="D149" i="49"/>
  <c r="AC6" i="46"/>
  <c r="AC60" i="46" s="1"/>
  <c r="AC63" i="46" s="1"/>
  <c r="D152" i="51"/>
  <c r="D145" i="50" l="1"/>
  <c r="O6" i="38"/>
  <c r="O60" i="38" s="1"/>
  <c r="D150" i="49"/>
  <c r="Y6" i="35"/>
  <c r="Y60" i="35" s="1"/>
  <c r="D146" i="50" l="1"/>
  <c r="Q6" i="38"/>
  <c r="Q60" i="38" s="1"/>
  <c r="D151" i="49"/>
  <c r="AA6" i="35"/>
  <c r="AA60" i="35" s="1"/>
  <c r="S6" i="38" l="1"/>
  <c r="S60" i="38" s="1"/>
  <c r="D147" i="50"/>
  <c r="D152" i="49"/>
  <c r="AC6" i="35"/>
  <c r="AC60" i="35" s="1"/>
  <c r="AC63" i="35" s="1"/>
  <c r="D148" i="50" l="1"/>
  <c r="U6" i="38"/>
  <c r="U60" i="38" s="1"/>
  <c r="W6" i="38" l="1"/>
  <c r="W60" i="38" s="1"/>
  <c r="D149" i="50"/>
  <c r="Y6" i="38" l="1"/>
  <c r="Y60" i="38" s="1"/>
  <c r="D150" i="50"/>
  <c r="AA6" i="38" l="1"/>
  <c r="AA60" i="38" s="1"/>
  <c r="D151" i="50"/>
  <c r="D152" i="50" l="1"/>
  <c r="AC6" i="38"/>
  <c r="AC60" i="38" s="1"/>
  <c r="AC63"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 Kerber</author>
  </authors>
  <commentList>
    <comment ref="E49" authorId="0" shapeId="0" xr:uid="{00000000-0006-0000-0500-000001000000}">
      <text>
        <r>
          <rPr>
            <b/>
            <sz val="9"/>
            <color indexed="81"/>
            <rFont val="Tahoma"/>
            <family val="2"/>
          </rPr>
          <t>A. Baker:</t>
        </r>
        <r>
          <rPr>
            <sz val="9"/>
            <color indexed="81"/>
            <rFont val="Tahoma"/>
            <family val="2"/>
          </rPr>
          <t xml:space="preserve">
Input prior year estimated ending fund balance.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 Kerber</author>
  </authors>
  <commentList>
    <comment ref="E49" authorId="0" shapeId="0" xr:uid="{00000000-0006-0000-0600-000001000000}">
      <text>
        <r>
          <rPr>
            <b/>
            <sz val="9"/>
            <color indexed="81"/>
            <rFont val="Tahoma"/>
            <family val="2"/>
          </rPr>
          <t>A. Baker:</t>
        </r>
        <r>
          <rPr>
            <sz val="9"/>
            <color indexed="81"/>
            <rFont val="Tahoma"/>
            <family val="2"/>
          </rPr>
          <t xml:space="preserve">
Input prior year estimated ending fund balance.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 Kerber</author>
    <author>Annette Baker</author>
  </authors>
  <commentList>
    <comment ref="E6" authorId="0" shapeId="0" xr:uid="{00000000-0006-0000-0900-000001000000}">
      <text>
        <r>
          <rPr>
            <b/>
            <sz val="9"/>
            <color indexed="81"/>
            <rFont val="Tahoma"/>
            <family val="2"/>
          </rPr>
          <t>A. Kerber:</t>
        </r>
        <r>
          <rPr>
            <sz val="9"/>
            <color indexed="81"/>
            <rFont val="Tahoma"/>
            <family val="2"/>
          </rPr>
          <t xml:space="preserve">
Enter </t>
        </r>
      </text>
    </comment>
    <comment ref="A51" authorId="1" shapeId="0" xr:uid="{00000000-0006-0000-0900-000002000000}">
      <text>
        <r>
          <rPr>
            <b/>
            <sz val="9"/>
            <color indexed="81"/>
            <rFont val="Tahoma"/>
            <family val="2"/>
          </rPr>
          <t>Annette Baker:</t>
        </r>
        <r>
          <rPr>
            <sz val="9"/>
            <color indexed="81"/>
            <rFont val="Tahoma"/>
            <family val="2"/>
          </rPr>
          <t xml:space="preserve">
</t>
        </r>
        <r>
          <rPr>
            <sz val="11"/>
            <color indexed="81"/>
            <rFont val="Tahoma"/>
            <family val="2"/>
          </rPr>
          <t>Enter Capital Assets as a negative amount, as payment reduced/reduces cash balance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Annette Baker</author>
  </authors>
  <commentList>
    <comment ref="A51" authorId="0" shapeId="0" xr:uid="{00000000-0006-0000-0A00-000001000000}">
      <text>
        <r>
          <rPr>
            <b/>
            <sz val="9"/>
            <color indexed="81"/>
            <rFont val="Tahoma"/>
            <family val="2"/>
          </rPr>
          <t>Annette Baker:</t>
        </r>
        <r>
          <rPr>
            <sz val="9"/>
            <color indexed="81"/>
            <rFont val="Tahoma"/>
            <family val="2"/>
          </rPr>
          <t xml:space="preserve">
</t>
        </r>
        <r>
          <rPr>
            <sz val="11"/>
            <color indexed="81"/>
            <rFont val="Tahoma"/>
            <family val="2"/>
          </rPr>
          <t>Enter Capital Assets as a negative amount, as payment reduced/reduces cash balance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 Baker</author>
  </authors>
  <commentList>
    <comment ref="G50" authorId="0" shapeId="0" xr:uid="{00000000-0006-0000-1000-000001000000}">
      <text>
        <r>
          <rPr>
            <b/>
            <sz val="9"/>
            <color indexed="81"/>
            <rFont val="Tahoma"/>
            <family val="2"/>
          </rPr>
          <t>A. Baker:</t>
        </r>
        <r>
          <rPr>
            <sz val="9"/>
            <color indexed="81"/>
            <rFont val="Tahoma"/>
            <family val="2"/>
          </rPr>
          <t xml:space="preserve">
Input difference between Beg Bal at Adopted Budget and Unaudited Actual ending Fund Balance reported at year end.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 Baker</author>
  </authors>
  <commentList>
    <comment ref="G50" authorId="0" shapeId="0" xr:uid="{00000000-0006-0000-1100-000001000000}">
      <text>
        <r>
          <rPr>
            <b/>
            <sz val="9"/>
            <color indexed="81"/>
            <rFont val="Tahoma"/>
            <family val="2"/>
          </rPr>
          <t xml:space="preserve">A. Baker:  </t>
        </r>
        <r>
          <rPr>
            <sz val="9"/>
            <color indexed="81"/>
            <rFont val="Tahoma"/>
            <family val="2"/>
          </rPr>
          <t>Input difference between Beg Bal at Adopted Budget and  Unaudited Actual ending Fund Balance reported at year end.</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 Kerber</author>
    <author>Annette Baker</author>
  </authors>
  <commentList>
    <comment ref="E6" authorId="0" shapeId="0" xr:uid="{00000000-0006-0000-1400-000001000000}">
      <text>
        <r>
          <rPr>
            <b/>
            <sz val="9"/>
            <color indexed="81"/>
            <rFont val="Tahoma"/>
            <family val="2"/>
          </rPr>
          <t>A. Kerber:</t>
        </r>
        <r>
          <rPr>
            <sz val="9"/>
            <color indexed="81"/>
            <rFont val="Tahoma"/>
            <family val="2"/>
          </rPr>
          <t xml:space="preserve">
Enter </t>
        </r>
      </text>
    </comment>
    <comment ref="A51" authorId="1" shapeId="0" xr:uid="{00000000-0006-0000-1400-000002000000}">
      <text>
        <r>
          <rPr>
            <b/>
            <sz val="9"/>
            <color indexed="81"/>
            <rFont val="Tahoma"/>
            <family val="2"/>
          </rPr>
          <t>Annette Baker:</t>
        </r>
        <r>
          <rPr>
            <sz val="9"/>
            <color indexed="81"/>
            <rFont val="Tahoma"/>
            <family val="2"/>
          </rPr>
          <t xml:space="preserve">
</t>
        </r>
        <r>
          <rPr>
            <sz val="11"/>
            <color indexed="81"/>
            <rFont val="Tahoma"/>
            <family val="2"/>
          </rPr>
          <t>Enter Capital Assets as a negative amount, as payment reduced/reduces cash balance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Annette Baker</author>
  </authors>
  <commentList>
    <comment ref="A51" authorId="0" shapeId="0" xr:uid="{00000000-0006-0000-1500-000001000000}">
      <text>
        <r>
          <rPr>
            <b/>
            <sz val="9"/>
            <color indexed="81"/>
            <rFont val="Tahoma"/>
            <family val="2"/>
          </rPr>
          <t>Annette Baker:</t>
        </r>
        <r>
          <rPr>
            <sz val="9"/>
            <color indexed="81"/>
            <rFont val="Tahoma"/>
            <family val="2"/>
          </rPr>
          <t xml:space="preserve">
</t>
        </r>
        <r>
          <rPr>
            <sz val="11"/>
            <color indexed="81"/>
            <rFont val="Tahoma"/>
            <family val="2"/>
          </rPr>
          <t>Enter Capital Assets as a negative amount, as payment reduced/reduces cash balance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 Kerber</author>
    <author>Annette Baker</author>
  </authors>
  <commentList>
    <comment ref="E6" authorId="0" shapeId="0" xr:uid="{00000000-0006-0000-1D00-000001000000}">
      <text>
        <r>
          <rPr>
            <b/>
            <sz val="9"/>
            <color indexed="81"/>
            <rFont val="Tahoma"/>
            <family val="2"/>
          </rPr>
          <t>A. Kerber:</t>
        </r>
        <r>
          <rPr>
            <sz val="9"/>
            <color indexed="81"/>
            <rFont val="Tahoma"/>
            <family val="2"/>
          </rPr>
          <t xml:space="preserve">
Enter </t>
        </r>
      </text>
    </comment>
    <comment ref="A51" authorId="1" shapeId="0" xr:uid="{00000000-0006-0000-1D00-000002000000}">
      <text>
        <r>
          <rPr>
            <b/>
            <sz val="9"/>
            <color indexed="81"/>
            <rFont val="Tahoma"/>
            <family val="2"/>
          </rPr>
          <t>Annette Baker:</t>
        </r>
        <r>
          <rPr>
            <sz val="9"/>
            <color indexed="81"/>
            <rFont val="Tahoma"/>
            <family val="2"/>
          </rPr>
          <t xml:space="preserve">
</t>
        </r>
        <r>
          <rPr>
            <sz val="11"/>
            <color indexed="81"/>
            <rFont val="Tahoma"/>
            <family val="2"/>
          </rPr>
          <t>Enter Capital Assets as a negative amount, as payment reduced/reduces cash balance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Annette Baker</author>
  </authors>
  <commentList>
    <comment ref="A51" authorId="0" shapeId="0" xr:uid="{00000000-0006-0000-1E00-000001000000}">
      <text>
        <r>
          <rPr>
            <b/>
            <sz val="9"/>
            <color indexed="81"/>
            <rFont val="Tahoma"/>
            <family val="2"/>
          </rPr>
          <t>Annette Baker:</t>
        </r>
        <r>
          <rPr>
            <sz val="9"/>
            <color indexed="81"/>
            <rFont val="Tahoma"/>
            <family val="2"/>
          </rPr>
          <t xml:space="preserve">
</t>
        </r>
        <r>
          <rPr>
            <sz val="11"/>
            <color indexed="81"/>
            <rFont val="Tahoma"/>
            <family val="2"/>
          </rPr>
          <t>Enter Capital Assets as a negative amount, as payment reduced/reduces cash balance</t>
        </r>
      </text>
    </comment>
  </commentList>
</comments>
</file>

<file path=xl/sharedStrings.xml><?xml version="1.0" encoding="utf-8"?>
<sst xmlns="http://schemas.openxmlformats.org/spreadsheetml/2006/main" count="3279" uniqueCount="542">
  <si>
    <t>Total</t>
  </si>
  <si>
    <t>REVENUES</t>
  </si>
  <si>
    <t xml:space="preserve"> </t>
  </si>
  <si>
    <t>EXPENDITURES</t>
  </si>
  <si>
    <t>Certificated Salaries</t>
  </si>
  <si>
    <t>Capital Outlay</t>
  </si>
  <si>
    <t>FUND BALANCE, RESERVES</t>
  </si>
  <si>
    <t>a.</t>
  </si>
  <si>
    <t>b.</t>
  </si>
  <si>
    <t>c.</t>
  </si>
  <si>
    <t>Stores</t>
  </si>
  <si>
    <t>Prepaid Expenditures</t>
  </si>
  <si>
    <t>Charter School Name:</t>
  </si>
  <si>
    <t>CDS #:</t>
  </si>
  <si>
    <t>County:</t>
  </si>
  <si>
    <t>Charter #:</t>
  </si>
  <si>
    <t>Budget</t>
  </si>
  <si>
    <t>Adopted</t>
  </si>
  <si>
    <t>Percent</t>
  </si>
  <si>
    <t>Projected</t>
  </si>
  <si>
    <t>Actuals</t>
  </si>
  <si>
    <t>DESCRIPTION</t>
  </si>
  <si>
    <t>Change</t>
  </si>
  <si>
    <t>Classified Salaries</t>
  </si>
  <si>
    <t>Benefits</t>
  </si>
  <si>
    <t>Books &amp; Supplies</t>
  </si>
  <si>
    <t>Contracts &amp; Services</t>
  </si>
  <si>
    <t>Other Outgo</t>
  </si>
  <si>
    <t>Total Expenditures</t>
  </si>
  <si>
    <t>OTHER SOURCES &amp; USES</t>
  </si>
  <si>
    <t>Other Uses</t>
  </si>
  <si>
    <t>Net Sources &amp; Uses</t>
  </si>
  <si>
    <t>NET INCREASE (DECREASE) IN FUND BALANCE</t>
  </si>
  <si>
    <t>Ending Balance</t>
  </si>
  <si>
    <t>Revolving Cash</t>
  </si>
  <si>
    <t>ASSUMPTIONS:</t>
  </si>
  <si>
    <t>Total Funded P-2 Attendance</t>
  </si>
  <si>
    <t>Line</t>
  </si>
  <si>
    <t>d.</t>
  </si>
  <si>
    <t>Charter School Attendance</t>
  </si>
  <si>
    <t>e.</t>
  </si>
  <si>
    <t>Oversight Fees to Sponsor</t>
  </si>
  <si>
    <t>Charter Schools</t>
  </si>
  <si>
    <t>CHARTER SCHOOL CERTIFICATION</t>
  </si>
  <si>
    <t>(</t>
  </si>
  <si>
    <t>Signed:</t>
  </si>
  <si>
    <t xml:space="preserve">      Date:</t>
  </si>
  <si>
    <t>Charter School Official</t>
  </si>
  <si>
    <t>(Original signature required)</t>
  </si>
  <si>
    <t>Printed
Name:</t>
  </si>
  <si>
    <t xml:space="preserve">       Title:</t>
  </si>
  <si>
    <t>To the County Superintendent of Schools:</t>
  </si>
  <si>
    <t>Authorized Representative of
Charter Approving Entity</t>
  </si>
  <si>
    <t>County Superintendent/Designee</t>
  </si>
  <si>
    <t>For Charter School:</t>
  </si>
  <si>
    <t>Name</t>
  </si>
  <si>
    <t>Title</t>
  </si>
  <si>
    <t>Telephone</t>
  </si>
  <si>
    <t>E-mail address</t>
  </si>
  <si>
    <t>For additional information on the budget report, please contact:</t>
  </si>
  <si>
    <t>CHARTER SCHOOL INTERIM REPORT</t>
  </si>
  <si>
    <t>Actual</t>
  </si>
  <si>
    <t>Revised</t>
  </si>
  <si>
    <t>Latest</t>
  </si>
  <si>
    <t>CERTIFICATION OF FINANCIAL CONDITION:</t>
  </si>
  <si>
    <t>)   NEGATIVE</t>
  </si>
  <si>
    <t>) QUALIFIED</t>
  </si>
  <si>
    <t>) POSITIVE</t>
  </si>
  <si>
    <t>As the Charter School Official, I certify that</t>
  </si>
  <si>
    <t>this Charter will be able to meet its financial</t>
  </si>
  <si>
    <t>subsequent fiscal years.</t>
  </si>
  <si>
    <t xml:space="preserve">this Charter may not meet its financial </t>
  </si>
  <si>
    <t>obligations for the current fiscal year or two</t>
  </si>
  <si>
    <t>obligations for the current fiscal year and two</t>
  </si>
  <si>
    <t>based upon current projections this charter</t>
  </si>
  <si>
    <t xml:space="preserve">will be unable to meet its financial </t>
  </si>
  <si>
    <t>or for the subsequent fiscal year.</t>
  </si>
  <si>
    <t>obligations for remainder of the fiscal year</t>
  </si>
  <si>
    <t>Interim Check List</t>
  </si>
  <si>
    <t>July</t>
  </si>
  <si>
    <t xml:space="preserve">% </t>
  </si>
  <si>
    <t>August</t>
  </si>
  <si>
    <t>%</t>
  </si>
  <si>
    <t>September</t>
  </si>
  <si>
    <t>October</t>
  </si>
  <si>
    <t>November</t>
  </si>
  <si>
    <t>December</t>
  </si>
  <si>
    <t>January</t>
  </si>
  <si>
    <t>February</t>
  </si>
  <si>
    <t>March</t>
  </si>
  <si>
    <t>April</t>
  </si>
  <si>
    <t>May</t>
  </si>
  <si>
    <t>June</t>
  </si>
  <si>
    <t>Estimated</t>
  </si>
  <si>
    <t>Bud</t>
  </si>
  <si>
    <t>Accrual</t>
  </si>
  <si>
    <t>Difference</t>
  </si>
  <si>
    <t>Beginning Cash Balance</t>
  </si>
  <si>
    <t>REVENUE</t>
  </si>
  <si>
    <t>8100-8299</t>
  </si>
  <si>
    <t>8300-8599</t>
  </si>
  <si>
    <t>8600-8799</t>
  </si>
  <si>
    <t>1000-1999</t>
  </si>
  <si>
    <t>2000-2999</t>
  </si>
  <si>
    <t>3000-3999</t>
  </si>
  <si>
    <t>4000-4999</t>
  </si>
  <si>
    <t>5000-5999</t>
  </si>
  <si>
    <t>6000-6599</t>
  </si>
  <si>
    <t>7100-7299</t>
  </si>
  <si>
    <t>OTHER SOURCES/USES</t>
  </si>
  <si>
    <t>PRIOR YEAR TRANSACTIONS</t>
  </si>
  <si>
    <t>NET PRIOR YEAR TRANSACTIONS</t>
  </si>
  <si>
    <t>TOTAL MISC. ADJUSTMENTS</t>
  </si>
  <si>
    <t>ENDING CASH BALANCE</t>
  </si>
  <si>
    <t>7400-7499</t>
  </si>
  <si>
    <t>NET REVENUES LESS EXPENDITURES</t>
  </si>
  <si>
    <t>OTHER ADJUSTMENTS (LIST)</t>
  </si>
  <si>
    <t>DATE PREPARED:</t>
  </si>
  <si>
    <t>July 1 Cash  =</t>
  </si>
  <si>
    <t>DEBT -  Multiyear Commitments</t>
  </si>
  <si>
    <t>Object</t>
  </si>
  <si>
    <t>Payment</t>
  </si>
  <si>
    <t>Type of Commitment</t>
  </si>
  <si>
    <t># of Years</t>
  </si>
  <si>
    <t>Other Commitments:</t>
  </si>
  <si>
    <t xml:space="preserve">Comments:  </t>
  </si>
  <si>
    <t>Bank Line of Credit Loans</t>
  </si>
  <si>
    <t>Other Sources/Contributions to Restricted Programs</t>
  </si>
  <si>
    <t>Lottery Unrestricted Allocation per ADA</t>
  </si>
  <si>
    <t xml:space="preserve">LIST UNRESTRICTED STATE FUNDS BUDGETED IN OTHER STATE </t>
  </si>
  <si>
    <t>Municipal Lease</t>
  </si>
  <si>
    <t>State School Building Loans</t>
  </si>
  <si>
    <t>Charter School Start-up Loans</t>
  </si>
  <si>
    <t>Compensated Absences</t>
  </si>
  <si>
    <t>Other Post Employment Benefits</t>
  </si>
  <si>
    <t>thru October 31</t>
  </si>
  <si>
    <t>Adjustments for Unaudited Actuals</t>
  </si>
  <si>
    <t>Lottery Unrestricted Estimated Award</t>
  </si>
  <si>
    <t>DUE DATE:</t>
  </si>
  <si>
    <t>Complete your assumption for each applicable item (most will apply) for the light green colored boxes only.</t>
  </si>
  <si>
    <t>Estimated Enrollment</t>
  </si>
  <si>
    <t>GREEN CELLS ONLY</t>
  </si>
  <si>
    <t>Components of Ending Fund Balance (Budget):</t>
  </si>
  <si>
    <t>Nonspendable</t>
  </si>
  <si>
    <t>All Others</t>
  </si>
  <si>
    <t>Restricted</t>
  </si>
  <si>
    <t>Committed - Stabilization Arrangements</t>
  </si>
  <si>
    <t>Committed - Other</t>
  </si>
  <si>
    <t>Assignments</t>
  </si>
  <si>
    <t>Debt Service (see Debt Form)</t>
  </si>
  <si>
    <t xml:space="preserve">     Unrestricted</t>
  </si>
  <si>
    <t xml:space="preserve">     Restricted</t>
  </si>
  <si>
    <t>Total Non-Classroom Based (Independent Study) ADA</t>
  </si>
  <si>
    <t>Total Classroom Based ADA</t>
  </si>
  <si>
    <t xml:space="preserve">Total Funded Non-Classroom Based (Independent Study) ADA </t>
  </si>
  <si>
    <t>LCFF</t>
  </si>
  <si>
    <t>EPA</t>
  </si>
  <si>
    <t>`</t>
  </si>
  <si>
    <t>1st Interim as of October 31</t>
  </si>
  <si>
    <t xml:space="preserve">Note: These pages will bring forward some of your revenue totals based on cell references or formulas. </t>
  </si>
  <si>
    <t>There should be no dollars in the difference column.  If a dollar value is reflected you will need to adjust that line in the cash flow.</t>
  </si>
  <si>
    <t>Other</t>
  </si>
  <si>
    <t>Beginning Balance at Adopted Budget</t>
  </si>
  <si>
    <t>If you have an administrative service contract, enter the dollar amount of the contract.</t>
  </si>
  <si>
    <t>Second Interim</t>
  </si>
  <si>
    <t>2nd Interim as of January 31</t>
  </si>
  <si>
    <t xml:space="preserve">LCFF Calculator:  Use the FCMAT calculator which can be found at </t>
  </si>
  <si>
    <t>FCMAT » Fiscal Crisis &amp; Management Assistance Team</t>
  </si>
  <si>
    <t>First Interim</t>
  </si>
  <si>
    <t>Cash Flow Pages:</t>
  </si>
  <si>
    <t>P-2</t>
  </si>
  <si>
    <t>Regular ADA</t>
  </si>
  <si>
    <t>Extended Year Special Ed</t>
  </si>
  <si>
    <t>Special Ed - NPS</t>
  </si>
  <si>
    <t>TK/K-3:</t>
  </si>
  <si>
    <t>A-1</t>
  </si>
  <si>
    <t>A-2</t>
  </si>
  <si>
    <t>A-3</t>
  </si>
  <si>
    <t>A-4</t>
  </si>
  <si>
    <t>A-5</t>
  </si>
  <si>
    <t>Grades 4-6</t>
  </si>
  <si>
    <t>Grades 7-8</t>
  </si>
  <si>
    <t>Grades 9-12</t>
  </si>
  <si>
    <t>Totals</t>
  </si>
  <si>
    <t>Classroom-based ADA included in A-1</t>
  </si>
  <si>
    <t>Classroom-based ADA included in A-3</t>
  </si>
  <si>
    <t>Classroom-based ADA included in A-5</t>
  </si>
  <si>
    <t>Extended Year Special Ed - NPS</t>
  </si>
  <si>
    <t>Classroom-based ADA included in A-7</t>
  </si>
  <si>
    <t>ADA for Students in Transitional Kindergarten (Lines A-1, A-3, A-5, and A-7, TK/K-3 Column, First Year ADA Only)</t>
  </si>
  <si>
    <t>A-6</t>
  </si>
  <si>
    <t>A-7</t>
  </si>
  <si>
    <t>A-8</t>
  </si>
  <si>
    <t>A-9</t>
  </si>
  <si>
    <t>A-10</t>
  </si>
  <si>
    <t>B-1</t>
  </si>
  <si>
    <t>Actual ADA</t>
  </si>
  <si>
    <t>Projected ADA</t>
  </si>
  <si>
    <r>
      <rPr>
        <b/>
        <sz val="16"/>
        <color indexed="60"/>
        <rFont val="Arial Narrow"/>
        <family val="2"/>
      </rPr>
      <t>*</t>
    </r>
    <r>
      <rPr>
        <b/>
        <sz val="12"/>
        <rFont val="Arial Narrow"/>
        <family val="2"/>
      </rPr>
      <t xml:space="preserve"> For non-classroom, P-2 ADA multiplied by Funding Determination %.  Use this amount in the LCFF calculator and any other ADA based revenue calculations.</t>
    </r>
  </si>
  <si>
    <r>
      <t xml:space="preserve">Funded ADA </t>
    </r>
    <r>
      <rPr>
        <b/>
        <sz val="16"/>
        <color indexed="60"/>
        <rFont val="Arial Narrow"/>
        <family val="2"/>
      </rPr>
      <t>*</t>
    </r>
  </si>
  <si>
    <r>
      <t>Non Classroom Funding Determination Rate</t>
    </r>
    <r>
      <rPr>
        <b/>
        <sz val="16"/>
        <color indexed="60"/>
        <rFont val="Arial Narrow"/>
        <family val="2"/>
      </rPr>
      <t>*</t>
    </r>
  </si>
  <si>
    <t>ADA/Enrollment:</t>
  </si>
  <si>
    <t xml:space="preserve">  ADA to Enrollment Ratio</t>
  </si>
  <si>
    <t xml:space="preserve">  Enrollment Growth Over Prior Year</t>
  </si>
  <si>
    <t>Classroom Staffing Ratio - Students per FTE</t>
  </si>
  <si>
    <t>Certificated Salaries and Benefits:</t>
  </si>
  <si>
    <t>Administrative Service Agreements:</t>
  </si>
  <si>
    <t>Unrestricted MYP</t>
  </si>
  <si>
    <t>EXCESS (DEFICIENCY) OF REVENUES OVER EXPENDITURES</t>
  </si>
  <si>
    <t>Restricted MYP</t>
  </si>
  <si>
    <t>Lottery Prop 20 Restricted Allocation per ADA</t>
  </si>
  <si>
    <t>Lottery Estimated Prop 20 Restricted Award</t>
  </si>
  <si>
    <t>Summary MYP</t>
  </si>
  <si>
    <t>July 1 - Beginning Balances</t>
  </si>
  <si>
    <t>Remaining Balance</t>
  </si>
  <si>
    <t>Budget Submission Check List</t>
  </si>
  <si>
    <t xml:space="preserve">Complete light green highlighted cells for: </t>
  </si>
  <si>
    <t>Estimated ADA for current and subsequent years</t>
  </si>
  <si>
    <t>Enter any Federal, State and Local Revenues that you anticipate for each year presented by Title in the detail lines at the bottom of the page. The totals will post to the summary above. (Donations, Lottery, etc.)</t>
  </si>
  <si>
    <t xml:space="preserve">Enter Fund Balance: </t>
  </si>
  <si>
    <t>Adjustments for Audit and/or Restatements - At Interim, enter any audit adjustments identified in your prior year's final audit report, if available.  The audit report is generally not available until second interim.  This entry will go in the appropriate interim column and possibly the Latest Revised column.</t>
  </si>
  <si>
    <r>
      <t>At Interims, enter your Actual Expenses (</t>
    </r>
    <r>
      <rPr>
        <b/>
        <i/>
        <sz val="9"/>
        <rFont val="Arial"/>
        <family val="2"/>
      </rPr>
      <t>rounded to the nearest dollar, do not enter cents</t>
    </r>
    <r>
      <rPr>
        <sz val="9"/>
        <rFont val="Arial"/>
        <family val="2"/>
      </rPr>
      <t xml:space="preserve">) as of the date noted. </t>
    </r>
  </si>
  <si>
    <t>At Budget, enter your Estimated Year End Actuals (for budget year minus 1).</t>
  </si>
  <si>
    <t>a</t>
  </si>
  <si>
    <t>b</t>
  </si>
  <si>
    <t>c</t>
  </si>
  <si>
    <t>Don't forget to include the reductions of your prior year payables and receivable balances since there are additions and deductions of your current year cash.</t>
  </si>
  <si>
    <t>The total column MUST equal the Projected Budget column.</t>
  </si>
  <si>
    <t>BUDGET and INTERIM REPORTING INSTRUCTIONS</t>
  </si>
  <si>
    <t>Complete light green highlighted cells</t>
  </si>
  <si>
    <t>Beg Bal</t>
  </si>
  <si>
    <t>% Change over Prior Year</t>
  </si>
  <si>
    <t>% Change over Prior Period</t>
  </si>
  <si>
    <t>Number of Teachers (FTE)</t>
  </si>
  <si>
    <t>Health and Welfare Cost per Employee</t>
  </si>
  <si>
    <t>Administive Service Contract</t>
  </si>
  <si>
    <t xml:space="preserve">  Beg Fund Balance at Unaudited Actuals</t>
  </si>
  <si>
    <t>Code(s)</t>
  </si>
  <si>
    <t>Principle</t>
  </si>
  <si>
    <t>Interest</t>
  </si>
  <si>
    <t>Principal Balance</t>
  </si>
  <si>
    <t>July 1,</t>
  </si>
  <si>
    <t>thru October 31,</t>
  </si>
  <si>
    <t>Remaining</t>
  </si>
  <si>
    <t>Ex. Erate</t>
  </si>
  <si>
    <t>Ex. Services Reimbursed by District</t>
  </si>
  <si>
    <t>EX. Title I</t>
  </si>
  <si>
    <t>thru January 31,</t>
  </si>
  <si>
    <r>
      <t xml:space="preserve">NO DEBT </t>
    </r>
    <r>
      <rPr>
        <sz val="10"/>
        <rFont val="Arial"/>
        <family val="2"/>
      </rPr>
      <t xml:space="preserve">(if no debt, </t>
    </r>
    <r>
      <rPr>
        <b/>
        <sz val="10"/>
        <rFont val="Arial"/>
        <family val="2"/>
      </rPr>
      <t>X</t>
    </r>
    <r>
      <rPr>
        <sz val="10"/>
        <rFont val="Arial"/>
        <family val="2"/>
      </rPr>
      <t>)</t>
    </r>
  </si>
  <si>
    <t>Other Contracted Costs</t>
  </si>
  <si>
    <t xml:space="preserve">     COLA (on Base)</t>
  </si>
  <si>
    <t xml:space="preserve">     Gap Funding Rate</t>
  </si>
  <si>
    <t>Board Approval Date (mm/dd/yyyy)</t>
  </si>
  <si>
    <t>Actuals - Actuals - Actuals - Actuals - Actuals - Actuals - Actuals - Actuals - Actuals - Actuals - Actuals - Actuals - Actuals - Actuals - Actuals - Actuals - Actuals - Actuals</t>
  </si>
  <si>
    <r>
      <t xml:space="preserve">On or before July 1  </t>
    </r>
    <r>
      <rPr>
        <sz val="10"/>
        <rFont val="Arial"/>
        <family val="2"/>
      </rPr>
      <t>Budget  Report to Authorizing District</t>
    </r>
    <r>
      <rPr>
        <b/>
        <sz val="10"/>
        <rFont val="Arial"/>
        <family val="2"/>
      </rPr>
      <t xml:space="preserve"> </t>
    </r>
    <r>
      <rPr>
        <b/>
        <i/>
        <sz val="10"/>
        <rFont val="Arial"/>
        <family val="2"/>
      </rPr>
      <t>(Coordinate due date with District)</t>
    </r>
  </si>
  <si>
    <t>Budget - Certification</t>
  </si>
  <si>
    <t>Budget - ADA Projections</t>
  </si>
  <si>
    <t>Budget - Unrestricted MYP</t>
  </si>
  <si>
    <t>Budget - Restricted MYP</t>
  </si>
  <si>
    <t>Budget - Summary MYP</t>
  </si>
  <si>
    <r>
      <t xml:space="preserve">Budget - Debt (sheet has a field to report if </t>
    </r>
    <r>
      <rPr>
        <u/>
        <sz val="10"/>
        <rFont val="Arial"/>
        <family val="2"/>
      </rPr>
      <t>No Debt</t>
    </r>
    <r>
      <rPr>
        <sz val="10"/>
        <rFont val="Arial"/>
        <family val="2"/>
      </rPr>
      <t>)</t>
    </r>
  </si>
  <si>
    <t>Budget - Cash Flow Year 1</t>
  </si>
  <si>
    <t>Budget - Cash Flow Year 2</t>
  </si>
  <si>
    <t>LCAP</t>
  </si>
  <si>
    <r>
      <t xml:space="preserve">Budget - Certification </t>
    </r>
    <r>
      <rPr>
        <b/>
        <i/>
        <sz val="10"/>
        <rFont val="Arial"/>
        <family val="2"/>
      </rPr>
      <t>Signed</t>
    </r>
  </si>
  <si>
    <t>Electronic - Required</t>
  </si>
  <si>
    <r>
      <rPr>
        <b/>
        <sz val="10"/>
        <color indexed="60"/>
        <rFont val="Arial"/>
        <family val="2"/>
      </rPr>
      <t xml:space="preserve">* </t>
    </r>
    <r>
      <rPr>
        <sz val="10"/>
        <rFont val="Arial"/>
        <family val="2"/>
      </rPr>
      <t xml:space="preserve"> Be sure to use the most recent version of the calculator at:</t>
    </r>
  </si>
  <si>
    <r>
      <t>LCFF calculator (using the most recent FCMAT release</t>
    </r>
    <r>
      <rPr>
        <b/>
        <sz val="10"/>
        <color indexed="60"/>
        <rFont val="Arial"/>
        <family val="2"/>
      </rPr>
      <t>*</t>
    </r>
    <r>
      <rPr>
        <sz val="10"/>
        <rFont val="Arial"/>
        <family val="2"/>
      </rPr>
      <t>)</t>
    </r>
  </si>
  <si>
    <r>
      <rPr>
        <b/>
        <sz val="10"/>
        <rFont val="Arial"/>
        <family val="2"/>
      </rPr>
      <t>On or before December 15</t>
    </r>
    <r>
      <rPr>
        <sz val="10"/>
        <rFont val="Arial"/>
        <family val="2"/>
      </rPr>
      <t xml:space="preserve"> (1st)  Interim Report to Authorizing District </t>
    </r>
    <r>
      <rPr>
        <b/>
        <i/>
        <sz val="10"/>
        <rFont val="Arial"/>
        <family val="2"/>
      </rPr>
      <t>(Coordinate due date with District)</t>
    </r>
  </si>
  <si>
    <r>
      <rPr>
        <b/>
        <sz val="10"/>
        <rFont val="Arial"/>
        <family val="2"/>
      </rPr>
      <t>On or before March 15</t>
    </r>
    <r>
      <rPr>
        <sz val="10"/>
        <rFont val="Arial"/>
        <family val="2"/>
      </rPr>
      <t xml:space="preserve"> (2nd) Interim Report to Authorizing District </t>
    </r>
    <r>
      <rPr>
        <b/>
        <i/>
        <sz val="10"/>
        <rFont val="Arial"/>
        <family val="2"/>
      </rPr>
      <t>(Coordinate due date with District)</t>
    </r>
  </si>
  <si>
    <t>Interim - Certification</t>
  </si>
  <si>
    <t>Interim - ADA Projections</t>
  </si>
  <si>
    <t>Interim-  Assumptions</t>
  </si>
  <si>
    <t>Interim - Unrestricted MYP</t>
  </si>
  <si>
    <t>Interim - Restricted MYP</t>
  </si>
  <si>
    <t>Interim - Summary MYP</t>
  </si>
  <si>
    <t>Interim - Debt (sheet has a field to report if No Debt)</t>
  </si>
  <si>
    <t>Interim - Cash Flow Year 1</t>
  </si>
  <si>
    <t>Interim - Cash Flow Year 2</t>
  </si>
  <si>
    <r>
      <t xml:space="preserve">Interim - Certification </t>
    </r>
    <r>
      <rPr>
        <b/>
        <i/>
        <sz val="10"/>
        <rFont val="Arial"/>
        <family val="2"/>
      </rPr>
      <t>Signed</t>
    </r>
  </si>
  <si>
    <t>Hard Copy - Minimum Requirement (authorizing District may require additional documents):</t>
  </si>
  <si>
    <t>Make sure the assumptions and revenue totals on the LCFF calculator match the amounts in your workbook.</t>
  </si>
  <si>
    <t>Unrestricted and Restricted MYP Pages:</t>
  </si>
  <si>
    <t>Check your net income/decrease in fund balance.  Make sure that you are not projecting a negative fund balance.  If you are, you may need to reduce your estimated expenditures.</t>
  </si>
  <si>
    <t xml:space="preserve">  Beginning Fund Balance as per Audit Report +/- Restatements</t>
  </si>
  <si>
    <t>All forms must be submitted to your sponsoring District according to their guidelines. This will allow time for our review and allow time for corrections if necessary.</t>
  </si>
  <si>
    <t>If your oversight fees are greater than 1% of your revenues, change the percentage and the amount will automatically calculate once you complete your revenues and expenditure amounts on the Interim pages.</t>
  </si>
  <si>
    <t>Prior Year P-2 ADA</t>
  </si>
  <si>
    <t>Complete the LCFF calculations using the assumptions entered on the ADA and Assumptions worksheets in the Interim tabs.</t>
  </si>
  <si>
    <t>Adjustment for Unaudited Actuals - At Interim, in the Interim Actual column and Latest Revised column, enter any adjustment necessary to adjust your projected beginning fund balance at adopted budget to actual prior year ending fund balance.</t>
  </si>
  <si>
    <t>Check your percentage increases. Do they appear reasonable?</t>
  </si>
  <si>
    <r>
      <t>Enter your actual cash inflows and outflows (</t>
    </r>
    <r>
      <rPr>
        <b/>
        <i/>
        <sz val="9"/>
        <rFont val="Arial"/>
        <family val="2"/>
      </rPr>
      <t>rounded to the nearest dollar, do not enter cents</t>
    </r>
    <r>
      <rPr>
        <sz val="9"/>
        <rFont val="Arial"/>
        <family val="2"/>
      </rPr>
      <t>) through the interim period noted and enter projected cash inflows and outflows for the remaining months.</t>
    </r>
  </si>
  <si>
    <t xml:space="preserve">The Projected Column will feed over from the Summary MYP Page. </t>
  </si>
  <si>
    <t>If cash is negative in any month reflected on the cash flow, you will have to self-certify as "QUALIFIED".  If you are unable to meet your obligations in the current and/or two subsequent years, you will need to self-certify as "NEGATIVE".</t>
  </si>
  <si>
    <t>Note: You won't need to enter any numbers into cells not colored green. These cells contain formulas or are meant to stay blank.</t>
  </si>
  <si>
    <r>
      <t xml:space="preserve">At Budget, enter your </t>
    </r>
    <r>
      <rPr>
        <b/>
        <u/>
        <sz val="9"/>
        <rFont val="Arial"/>
        <family val="2"/>
      </rPr>
      <t>Adopted Budget for July 1.</t>
    </r>
    <r>
      <rPr>
        <sz val="9"/>
        <rFont val="Arial"/>
        <family val="2"/>
      </rPr>
      <t xml:space="preserve">  The adopted budget is entered on the Budget tab and cell references to the 1st and 2nd Interim tabs.</t>
    </r>
  </si>
  <si>
    <t>Beginning Balance at Adopted Budget - in the Adopted Budget column, enter your projected prior year ending fund balance.</t>
  </si>
  <si>
    <t>Certification Pages:</t>
  </si>
  <si>
    <t>ADA pages:</t>
  </si>
  <si>
    <t>Assumptions Pages:</t>
  </si>
  <si>
    <r>
      <t xml:space="preserve">Assumptions Pages (Word): </t>
    </r>
    <r>
      <rPr>
        <b/>
        <i/>
        <u/>
        <sz val="9"/>
        <rFont val="Arial"/>
        <family val="2"/>
      </rPr>
      <t>OPTIONAL</t>
    </r>
  </si>
  <si>
    <t>Adjustments for Restatements</t>
  </si>
  <si>
    <t>Adjustments for Audit</t>
  </si>
  <si>
    <r>
      <rPr>
        <b/>
        <sz val="16"/>
        <color indexed="60"/>
        <rFont val="Arial Narrow"/>
        <family val="2"/>
      </rPr>
      <t>*</t>
    </r>
    <r>
      <rPr>
        <b/>
        <sz val="12"/>
        <rFont val="Arial Narrow"/>
        <family val="2"/>
      </rPr>
      <t xml:space="preserve"> For non-classroom, P-2 ADA is multiplied by Funding Determination %.  Use this amount in the LCFF calculator and any other ADA based revenue calculations.</t>
    </r>
  </si>
  <si>
    <t>State Aid - Prior Year</t>
  </si>
  <si>
    <t>In Lieu Property Taxes</t>
  </si>
  <si>
    <t>LCFF Sources</t>
  </si>
  <si>
    <t>Federal</t>
  </si>
  <si>
    <t>State</t>
  </si>
  <si>
    <t>Lottery - Unrestricted</t>
  </si>
  <si>
    <t>Lottery - Prop 20 - Restricted</t>
  </si>
  <si>
    <t>Other State Revenue</t>
  </si>
  <si>
    <t>Local</t>
  </si>
  <si>
    <t>AB602 Local Special Education Transfer</t>
  </si>
  <si>
    <t>Other Local Revenues</t>
  </si>
  <si>
    <t>Total Revenues</t>
  </si>
  <si>
    <t>ASSUMPTIONS FOR UNRESTRICTED PROGRAMS:</t>
  </si>
  <si>
    <t>LIST UNRESTRICTED STATE FUNDS BUDGETED IN "Other State Revenue"</t>
  </si>
  <si>
    <t>Economic Uncertainty and Unappropriated Reserve Percentage (9789+9790)/(Total Expenditures + Other Uses)</t>
  </si>
  <si>
    <t xml:space="preserve">Total Other Local Revenue Funds Budgeted:   </t>
  </si>
  <si>
    <t xml:space="preserve">Total Other State Revenue Funds Budgeted:   </t>
  </si>
  <si>
    <t xml:space="preserve">Total Federal Awards Budgeted:   </t>
  </si>
  <si>
    <t>LIST RESTRICTED STATE FUNDS BUDGETED IN "Other State Revenue"</t>
  </si>
  <si>
    <t>LIST FEDERAL RESTRICTED REVENUES</t>
  </si>
  <si>
    <t>LIST FEDERAL UNRESTRICTED REVENUES  (MOST FEDERAL PROGRAM REVENUES ARE RESTRICTED AND SHOULD BE ON RESTRICTED SHEET)</t>
  </si>
  <si>
    <t>Complete the following table for all significant multiyear commitments for the budget year and the following two years.  Clearly identify the number of years remaining and the total remaining principal amount of the commitment, the amount of principal and interest budgeted for the current fiscal year and the following two years.</t>
  </si>
  <si>
    <t>Under the Comment Section, provide a brief statement identifying the funding source for repayment of each obligation.</t>
  </si>
  <si>
    <t>LCAP:</t>
  </si>
  <si>
    <t>Local Control Funding (LCFF) - BAS/FCMAT Calculator:</t>
  </si>
  <si>
    <t>LIST OTHER UNRESTRICTED LOCAL REVENUES BUDGETED in "Other Local Revenues"</t>
  </si>
  <si>
    <t>Accounts Receivable</t>
  </si>
  <si>
    <t>Accounts Payable</t>
  </si>
  <si>
    <t>Line of Credit Payments</t>
  </si>
  <si>
    <t>Deferred Revenue</t>
  </si>
  <si>
    <t>LIST OTHER RESTRICTED LOCAL REVENUES BUDGETED in "Other Local Revenues"</t>
  </si>
  <si>
    <t>ASSUMPTIONS FOR RESTRICTED PROGRAMS:</t>
  </si>
  <si>
    <t xml:space="preserve">PY CBEDS Certified Enrollment    </t>
  </si>
  <si>
    <t>Non Classroom Funding Determination Rate*</t>
  </si>
  <si>
    <t>Budget -  Assumptions</t>
  </si>
  <si>
    <t xml:space="preserve">Facilities:        </t>
  </si>
  <si>
    <t>Rent</t>
  </si>
  <si>
    <t>Electricity</t>
  </si>
  <si>
    <t>Heating (gas)</t>
  </si>
  <si>
    <t>List Noteworthy Assumptions for other budget line items: (Books, Supplies, Services, Capital Outlay, Debt, etc.)</t>
  </si>
  <si>
    <t>Lottery Allocation Amount Per ADA:</t>
  </si>
  <si>
    <t>List Noteworthy Assumptions for other 1st Interim line items: (Books, Supplies, Services, Capital Outlay, Debt, etc.)</t>
  </si>
  <si>
    <t xml:space="preserve">Non- Classroom based instruction </t>
  </si>
  <si>
    <t>Teachers Increased/(Decreased) for projected Enrollment change over PY</t>
  </si>
  <si>
    <t xml:space="preserve">Ex. Mandated Cost </t>
  </si>
  <si>
    <t>Committed</t>
  </si>
  <si>
    <t>Reserve for Ecomonic Uncertainties</t>
  </si>
  <si>
    <t>Undesignated / Unappropriated Amount / Unrestricted Net Position</t>
  </si>
  <si>
    <t>Unassigned</t>
  </si>
  <si>
    <t>To the authorizing/oversight district:</t>
  </si>
  <si>
    <t>2021-22</t>
  </si>
  <si>
    <t>Record any other noteworthy items that may make a material difference in your numbers from one year to the next.</t>
  </si>
  <si>
    <t>For each item listed on the Assumptions page, please provide a written document (or a cover letter to your budget) that explains where you obtained your information, what you are basing your enrollment and ADA on, how you estimated salaries, benefits, increases or decreases in utility costs and so on. Please explain all your assumptions. You may need to explain more than what is listed on the Excel Assumptions page. This cover letter will help us review your budget in detail and avoid multiple phone calls to you to explain how you arrived at your estimates. This detail helps both your school and your authorizing district.</t>
  </si>
  <si>
    <t>Enter expenditures that you anticapate in each category listed for each year presented.</t>
  </si>
  <si>
    <t>At Interims, enter your latest revised budget (may be your Adopted budget or any other recent revisions approved by your board).</t>
  </si>
  <si>
    <t xml:space="preserve">PY CBEDS Certified Unduplicated Count    </t>
  </si>
  <si>
    <t>Ex. Mandate Block Grant</t>
  </si>
  <si>
    <t>A-11</t>
  </si>
  <si>
    <t>Non classroom-based ADA Totals (Difference of A-9 and A-10)</t>
  </si>
  <si>
    <t>Total Funded ADA</t>
  </si>
  <si>
    <t>ADA Totals (A-1, A3, A5, A7)</t>
  </si>
  <si>
    <t>Classroom-based ADA Totals (A-2, A-4, A-6, A-8)</t>
  </si>
  <si>
    <t>Actuals - Actuals - Actuals - Actuals - Actuals - Actuals - Actuals - Actuals - Actuals - Actuals</t>
  </si>
  <si>
    <t>ASSUMPTIONS RESTRICTED PROGRAMS:</t>
  </si>
  <si>
    <t>2022-23</t>
  </si>
  <si>
    <t>Unduplicated Count</t>
  </si>
  <si>
    <t>https://www.fcmat.org/lcff</t>
  </si>
  <si>
    <t>For Charter Authorizer/Reviewer:</t>
  </si>
  <si>
    <t>Charter Authorizer:</t>
  </si>
  <si>
    <t>2023-24</t>
  </si>
  <si>
    <r>
      <t xml:space="preserve">Total Phase-In Entitlement </t>
    </r>
    <r>
      <rPr>
        <b/>
        <sz val="12"/>
        <rFont val="Arial Narrow"/>
        <family val="2"/>
      </rPr>
      <t>(FCMAT calculator, Summary Tab)</t>
    </r>
  </si>
  <si>
    <r>
      <t>Total Phase-In Entitlement</t>
    </r>
    <r>
      <rPr>
        <b/>
        <sz val="12"/>
        <rFont val="Arial Narrow"/>
        <family val="2"/>
      </rPr>
      <t xml:space="preserve"> (FCMAT calculator, Summary Tab)</t>
    </r>
  </si>
  <si>
    <t>Public Hearing Date (mm/dd/yyyy)</t>
  </si>
  <si>
    <t>CY</t>
  </si>
  <si>
    <t>ADA</t>
  </si>
  <si>
    <t>PY</t>
  </si>
  <si>
    <t>SY1</t>
  </si>
  <si>
    <t>Enrollment</t>
  </si>
  <si>
    <t>UPP (Rolling)</t>
  </si>
  <si>
    <t>Teacher FTE</t>
  </si>
  <si>
    <t>Classified Salaries and Benefits:</t>
  </si>
  <si>
    <t>Number of Other Certificated FTEs</t>
  </si>
  <si>
    <t>Retirement Cost per ClassEmployee</t>
  </si>
  <si>
    <t>Health and Welfare Cost per Class Employee</t>
  </si>
  <si>
    <t>Class Step and Column Increase (Total Annual Cost)</t>
  </si>
  <si>
    <t>Cert Step and Column Increase (Total Annual Cost)</t>
  </si>
  <si>
    <t>Other Cert FTE</t>
  </si>
  <si>
    <t>Class FTE</t>
  </si>
  <si>
    <t>Explain any year over year changes (+/- positions, budgeted salary increases (ongoing or one-time), health and welfare contribution changes, etc…):</t>
  </si>
  <si>
    <t>LCFF 8011</t>
  </si>
  <si>
    <t>In Lieu Property Taxes 8096</t>
  </si>
  <si>
    <t>State Aid - Prior Year 8019</t>
  </si>
  <si>
    <t>Beginning Balance at Adopted Budget 9791</t>
  </si>
  <si>
    <t>Adjustments for Audit 9793</t>
  </si>
  <si>
    <t>Adjustments for Restatements 9795</t>
  </si>
  <si>
    <t>Ending Balance 9790</t>
  </si>
  <si>
    <t>Unrestricted FUND BALANCE</t>
  </si>
  <si>
    <t>Restricted FUND BALANCE</t>
  </si>
  <si>
    <t>Revolving Cash 9711</t>
  </si>
  <si>
    <t>Prepaid Expenditures 9713</t>
  </si>
  <si>
    <t>All Others 9719</t>
  </si>
  <si>
    <t>Committed - Stabilization Arrangements 9750</t>
  </si>
  <si>
    <t>Committed - Other 9760</t>
  </si>
  <si>
    <t>Assignments 9780</t>
  </si>
  <si>
    <t>Reserve for Ecomonic Uncertainties 9789</t>
  </si>
  <si>
    <t>Undesignated/Unappropriated Amount/Unrestricted Net Position 9790</t>
  </si>
  <si>
    <t>Adjustments for Unaudited Actuals 9791</t>
  </si>
  <si>
    <t>Stores 9711</t>
  </si>
  <si>
    <t>EPA 8011</t>
  </si>
  <si>
    <t>Fund Balance Standard</t>
  </si>
  <si>
    <t>or</t>
  </si>
  <si>
    <t>greater of</t>
  </si>
  <si>
    <t>Percent Level</t>
  </si>
  <si>
    <t>Charter ADA</t>
  </si>
  <si>
    <t>to</t>
  </si>
  <si>
    <t>or more</t>
  </si>
  <si>
    <t>Reserve Standard Met/Not Met</t>
  </si>
  <si>
    <t>Deficit Spending Standard</t>
  </si>
  <si>
    <t>Unrestricted defiit spending as a percentage of total unrestricted expenditures and other financing uses, has not exceeded one-third of the district's available reserves as a percentage of total expenditures and other financing uses in any of the current fiscal year or two subsequent fiscal years.</t>
  </si>
  <si>
    <t>Unrestricted Deficit Spending Percentage</t>
  </si>
  <si>
    <t>Unrestricted Deficit Spending Standard</t>
  </si>
  <si>
    <t>Unrestricted Deficit Spending Standard Met/Not Met</t>
  </si>
  <si>
    <t>Available Fund Balance %</t>
  </si>
  <si>
    <t>Deficit Spending %</t>
  </si>
  <si>
    <t xml:space="preserve"> QUALIFIED</t>
  </si>
  <si>
    <t xml:space="preserve"> POSITIVE</t>
  </si>
  <si>
    <t xml:space="preserve">   NEGATIVE</t>
  </si>
  <si>
    <t>As the Charter School Official, I certify that this Charter will be able to meet its financial obligations for the current fiscal year and two subsequent fiscal years.</t>
  </si>
  <si>
    <t>As the Charter School Official, I certify that this Charter may not meet its financial obligations for the current fiscal year or two subsequent fiscal years.</t>
  </si>
  <si>
    <t>As the Charter School Official, I certify that based upon current projections this charter will be unable to meet its financial obligations for remainder of the fiscal year or for the subsequent year.</t>
  </si>
  <si>
    <t xml:space="preserve">Adopted Budget </t>
  </si>
  <si>
    <t>Unrestricted Total Rev and Funding Sources</t>
  </si>
  <si>
    <t>Unrestricted Total Exp and Other Uses</t>
  </si>
  <si>
    <t>Restricted Total Rev and Funding Sources</t>
  </si>
  <si>
    <t>Restricted Total Exp and Other Uses</t>
  </si>
  <si>
    <t>What % of student population is Special Ed</t>
  </si>
  <si>
    <t>Unrestricted contribution to Special Ed</t>
  </si>
  <si>
    <t>AB602 Revenue</t>
  </si>
  <si>
    <t>Other Special Ed Revenue</t>
  </si>
  <si>
    <t>Total Special Ed Funding</t>
  </si>
  <si>
    <t>Special Ed Expenditures</t>
  </si>
  <si>
    <t>Charter under School District, or a member LEA for SELPA services?</t>
  </si>
  <si>
    <t>SPECIAL EDUCATION DETAILS:</t>
  </si>
  <si>
    <t>STRS Rate</t>
  </si>
  <si>
    <t>PERS Rate</t>
  </si>
  <si>
    <t>Unrestricted Exp</t>
  </si>
  <si>
    <t xml:space="preserve">  Total</t>
  </si>
  <si>
    <t>Restricted Exp</t>
  </si>
  <si>
    <t>Statutory Benefits</t>
  </si>
  <si>
    <t>FICA</t>
  </si>
  <si>
    <t>Medi</t>
  </si>
  <si>
    <t>Unemployment</t>
  </si>
  <si>
    <t>Workers Comp</t>
  </si>
  <si>
    <t>Class H&amp;W/EE</t>
  </si>
  <si>
    <t>Cert H&amp;W/EE</t>
  </si>
  <si>
    <t>As the Charter School Authorizer, I believe that this Charter will be able to meet its financial obligations for the current fiscal year and two subsequent fiscal years.</t>
  </si>
  <si>
    <t>As the Charter School Authorizer, I believe that this Charter may not meet its financial obligations for the current fiscal year or two subsequent fiscal years.</t>
  </si>
  <si>
    <t>As the Charter School Authorizer, I believe that based upon current projections this charter will be unable to meet its financial obligations for remainder of the fiscal year or for the subsequent year.</t>
  </si>
  <si>
    <t>Number of Classified Mangement FTEs</t>
  </si>
  <si>
    <t>Number of Classified (Non-Mgmt) FTEs</t>
  </si>
  <si>
    <t>Explain "Other" facility costs:</t>
  </si>
  <si>
    <t>For SELPA services, is the Charter under School District, or a member LEA?</t>
  </si>
  <si>
    <t>If MOU contains a Reserve Standard other than above, enter here</t>
  </si>
  <si>
    <t>Reserve Standard (unless different standard identified in MOU)</t>
  </si>
  <si>
    <t>Capital Lease</t>
  </si>
  <si>
    <t>Inter-Agency Borrowing</t>
  </si>
  <si>
    <t>Unrestricted Contribution to Special Ed</t>
  </si>
  <si>
    <t>If Restricted Fund Balances Exist, Identify Balance by Program:</t>
  </si>
  <si>
    <t>EX. AB602 - Special Education</t>
  </si>
  <si>
    <t>Cert Mgt FTE</t>
  </si>
  <si>
    <t>Other Cert Staff salary Per FTE</t>
  </si>
  <si>
    <t xml:space="preserve">Teacher Ave salary Per FTE </t>
  </si>
  <si>
    <t>Cert Mgt salary Per FTE</t>
  </si>
  <si>
    <t>Class Ave salary Per FTE</t>
  </si>
  <si>
    <t>Class Mgmt Ave salary Per FTE</t>
  </si>
  <si>
    <t>Class MGMT FTE</t>
  </si>
  <si>
    <t>Cash Flow</t>
  </si>
  <si>
    <t>Beginning Cash</t>
  </si>
  <si>
    <t>Debt</t>
  </si>
  <si>
    <t>If MOU contains a Reserve Standard other than above</t>
  </si>
  <si>
    <t>Charter Authorizer</t>
  </si>
  <si>
    <t>Ending Resticted Fund Balance</t>
  </si>
  <si>
    <r>
      <t xml:space="preserve">Average Teacher FTE </t>
    </r>
    <r>
      <rPr>
        <b/>
        <u/>
        <sz val="12"/>
        <rFont val="Arial Narrow"/>
        <family val="2"/>
      </rPr>
      <t>Salary</t>
    </r>
  </si>
  <si>
    <r>
      <t xml:space="preserve">Average Certificated Management FTE </t>
    </r>
    <r>
      <rPr>
        <b/>
        <u/>
        <sz val="12"/>
        <rFont val="Arial Narrow"/>
        <family val="2"/>
      </rPr>
      <t>Salary</t>
    </r>
  </si>
  <si>
    <r>
      <t xml:space="preserve">Average Other Certificated FTE </t>
    </r>
    <r>
      <rPr>
        <b/>
        <u/>
        <sz val="12"/>
        <rFont val="Arial Narrow"/>
        <family val="2"/>
      </rPr>
      <t>Salary</t>
    </r>
  </si>
  <si>
    <r>
      <t xml:space="preserve">   Unduplicated Pupil %</t>
    </r>
    <r>
      <rPr>
        <b/>
        <sz val="12"/>
        <rFont val="Arial Narrow"/>
        <family val="2"/>
      </rPr>
      <t xml:space="preserve"> </t>
    </r>
    <r>
      <rPr>
        <b/>
        <sz val="10"/>
        <rFont val="Arial Narrow"/>
        <family val="2"/>
      </rPr>
      <t xml:space="preserve">(FCMAT LCFF Calc, Summary Tab, </t>
    </r>
    <r>
      <rPr>
        <b/>
        <u/>
        <sz val="11"/>
        <rFont val="Arial Narrow"/>
        <family val="2"/>
      </rPr>
      <t>Rolling</t>
    </r>
    <r>
      <rPr>
        <b/>
        <sz val="10"/>
        <rFont val="Arial Narrow"/>
        <family val="2"/>
      </rPr>
      <t xml:space="preserve"> %)</t>
    </r>
  </si>
  <si>
    <t>If not meeting standards, discuss fiscal recovery plan:</t>
  </si>
  <si>
    <t>Complete the Reserves Standard section and Deficit Spending Standard section.  If not meeting standards, explain why and what your plan is to resolve the issue.</t>
  </si>
  <si>
    <t>If template has been modified mid fiscal year, changes are identified below:</t>
  </si>
  <si>
    <t>If deficit spending, explain cause and if one-time or on-going.  If for on-going, what is the Charter's plan to eliminatethe deficit?</t>
  </si>
  <si>
    <r>
      <t xml:space="preserve">Average </t>
    </r>
    <r>
      <rPr>
        <b/>
        <u/>
        <sz val="12"/>
        <rFont val="Arial Narrow"/>
        <family val="2"/>
      </rPr>
      <t>Salary</t>
    </r>
    <r>
      <rPr>
        <sz val="12"/>
        <rFont val="Arial Narrow"/>
        <family val="2"/>
      </rPr>
      <t xml:space="preserve"> per Classified Non-Mgmt FTE</t>
    </r>
  </si>
  <si>
    <r>
      <t xml:space="preserve">Average </t>
    </r>
    <r>
      <rPr>
        <b/>
        <u/>
        <sz val="12"/>
        <rFont val="Arial Narrow"/>
        <family val="2"/>
      </rPr>
      <t>Salar</t>
    </r>
    <r>
      <rPr>
        <b/>
        <sz val="12"/>
        <rFont val="Arial Narrow"/>
        <family val="2"/>
      </rPr>
      <t>y</t>
    </r>
    <r>
      <rPr>
        <sz val="12"/>
        <rFont val="Arial Narrow"/>
        <family val="2"/>
      </rPr>
      <t xml:space="preserve"> per Classified Mgmt FTE</t>
    </r>
  </si>
  <si>
    <t>Medicare Tax</t>
  </si>
  <si>
    <t>FICA (Social Security)</t>
  </si>
  <si>
    <t>Number of Certificated Management FTEs</t>
  </si>
  <si>
    <t>(Accounts Payable)</t>
  </si>
  <si>
    <t>(Line of Credit Payments)</t>
  </si>
  <si>
    <t>(Deferred Revenue)</t>
  </si>
  <si>
    <t>Ending Fund Balance</t>
  </si>
  <si>
    <t>Ending Cash plus Accruals should equal Ending Fund Balance</t>
  </si>
  <si>
    <t>SY2</t>
  </si>
  <si>
    <t>2024-25</t>
  </si>
  <si>
    <t>2022</t>
  </si>
  <si>
    <t>Other Pay, Stipends, Extra Pay</t>
  </si>
  <si>
    <t xml:space="preserve">Optional - Additional information/explanation of Certificated S&amp;B Assumptions above (calculation methodology, inclusions/exclusions, etc…): </t>
  </si>
  <si>
    <t>Optional - Additional information/explanation of Certificated S&amp;B Assumptions above (calculation methodology, inclusions/exclusions, etc…):</t>
  </si>
  <si>
    <t>Cert Other Pay, Stipends, Extra Pay</t>
  </si>
  <si>
    <t>Class Other Pay, Stipends, Extra Pay</t>
  </si>
  <si>
    <t>Retirement Cost per Class Employee</t>
  </si>
  <si>
    <t>Retirement Cost per Cert Employee</t>
  </si>
  <si>
    <t>Capital Assets (Not included in Expenditures above)</t>
  </si>
  <si>
    <t>Other Contracted costs</t>
  </si>
  <si>
    <t>Form Orignated 5/16/2022</t>
  </si>
  <si>
    <t>5/16/2022 - Budget and Certification sheets, colored additional cells that are available for data entry.</t>
  </si>
  <si>
    <t>Peter Livingston</t>
  </si>
  <si>
    <t>Superintendent</t>
  </si>
  <si>
    <t>Douglas Beaton</t>
  </si>
  <si>
    <t>Chief Business Official</t>
  </si>
  <si>
    <t>760-248-6108 X 4135</t>
  </si>
  <si>
    <t>douglas_beaton@lucernevalleyusd.org</t>
  </si>
  <si>
    <t>Elite Academic Academy - Virtual Prep Lucerne</t>
  </si>
  <si>
    <t>36-75051-0138107</t>
  </si>
  <si>
    <t>Lucerne Valley Unified School District</t>
  </si>
  <si>
    <t>San Bernardino</t>
  </si>
  <si>
    <t>1975</t>
  </si>
  <si>
    <t>x</t>
  </si>
  <si>
    <t>Member</t>
  </si>
  <si>
    <t>ESSER</t>
  </si>
  <si>
    <t>Other Federal Revenues</t>
  </si>
  <si>
    <t>9660</t>
  </si>
  <si>
    <t>Noncapitalized Equipment</t>
  </si>
  <si>
    <t>The remaining balance of the start-up loan is from a revolving loan received in August 2018 from the CA DOE.  Principal and interest payments are deducted from LCFF payments.</t>
  </si>
  <si>
    <t>Non-Capitalized Equipment</t>
  </si>
  <si>
    <t>Michelle Romaine</t>
  </si>
  <si>
    <t>Head of School</t>
  </si>
  <si>
    <t xml:space="preserve">Head of School </t>
  </si>
  <si>
    <t>626-755-5873</t>
  </si>
  <si>
    <t>mromaine@vpreplucerne.org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</si>
</sst>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General_)"/>
    <numFmt numFmtId="165" formatCode="_(* #,##0_);_(* \(#,##0\);_(* &quot;-&quot;??_);_(@_)"/>
    <numFmt numFmtId="166" formatCode="0.00_);[Red]\(0.00\)"/>
    <numFmt numFmtId="167" formatCode="&quot;$&quot;#,##0"/>
    <numFmt numFmtId="168" formatCode="0.000%"/>
    <numFmt numFmtId="169" formatCode="_(&quot;$&quot;* #,##0_);_(&quot;$&quot;* \(#,##0\);_(&quot;$&quot;* &quot;-&quot;??_);_(@_)"/>
    <numFmt numFmtId="170" formatCode="0.00000%"/>
    <numFmt numFmtId="171" formatCode="0.0%"/>
    <numFmt numFmtId="172" formatCode="0_);[Red]\(0\)"/>
    <numFmt numFmtId="173" formatCode="m/d;@"/>
  </numFmts>
  <fonts count="63">
    <font>
      <sz val="10"/>
      <name val="Arial"/>
    </font>
    <font>
      <sz val="10"/>
      <name val="Arial"/>
      <family val="2"/>
    </font>
    <font>
      <b/>
      <sz val="11"/>
      <color indexed="8"/>
      <name val="Arial"/>
      <family val="2"/>
    </font>
    <font>
      <sz val="11"/>
      <name val="Arial"/>
      <family val="2"/>
    </font>
    <font>
      <sz val="10"/>
      <name val="Arial Narrow"/>
      <family val="2"/>
    </font>
    <font>
      <sz val="8"/>
      <name val="Arial"/>
      <family val="2"/>
    </font>
    <font>
      <b/>
      <sz val="12"/>
      <name val="Arial Narrow"/>
      <family val="2"/>
    </font>
    <font>
      <sz val="12"/>
      <name val="Arial Narrow"/>
      <family val="2"/>
    </font>
    <font>
      <sz val="12"/>
      <name val="Times New Roman"/>
      <family val="1"/>
    </font>
    <font>
      <b/>
      <i/>
      <sz val="12"/>
      <name val="Arial Narrow"/>
      <family val="2"/>
    </font>
    <font>
      <b/>
      <sz val="8"/>
      <name val="Comic Sans MS"/>
      <family val="4"/>
    </font>
    <font>
      <sz val="8"/>
      <name val="Comic Sans MS"/>
      <family val="4"/>
    </font>
    <font>
      <b/>
      <sz val="10"/>
      <name val="Arial"/>
      <family val="2"/>
    </font>
    <font>
      <sz val="12"/>
      <name val="Arial"/>
      <family val="2"/>
    </font>
    <font>
      <b/>
      <sz val="11"/>
      <name val="Arial"/>
      <family val="2"/>
    </font>
    <font>
      <sz val="10"/>
      <name val="Arial"/>
      <family val="2"/>
    </font>
    <font>
      <b/>
      <u/>
      <sz val="11"/>
      <name val="Arial"/>
      <family val="2"/>
    </font>
    <font>
      <u/>
      <sz val="11"/>
      <name val="Arial"/>
      <family val="2"/>
    </font>
    <font>
      <sz val="10"/>
      <name val="Geneva"/>
    </font>
    <font>
      <b/>
      <sz val="10"/>
      <name val="Arial Narrow"/>
      <family val="2"/>
    </font>
    <font>
      <sz val="10"/>
      <name val="Arial"/>
      <family val="2"/>
    </font>
    <font>
      <b/>
      <sz val="14"/>
      <name val="Arial"/>
      <family val="2"/>
    </font>
    <font>
      <b/>
      <sz val="9"/>
      <name val="Arial"/>
      <family val="2"/>
    </font>
    <font>
      <sz val="9"/>
      <name val="Arial"/>
      <family val="2"/>
    </font>
    <font>
      <b/>
      <u/>
      <sz val="9"/>
      <name val="Arial"/>
      <family val="2"/>
    </font>
    <font>
      <b/>
      <i/>
      <sz val="9"/>
      <name val="Arial"/>
      <family val="2"/>
    </font>
    <font>
      <b/>
      <i/>
      <u/>
      <sz val="9"/>
      <name val="Arial"/>
      <family val="2"/>
    </font>
    <font>
      <sz val="12"/>
      <name val="Arial"/>
      <family val="2"/>
    </font>
    <font>
      <b/>
      <sz val="11"/>
      <color indexed="8"/>
      <name val="Arial Narrow"/>
      <family val="2"/>
    </font>
    <font>
      <b/>
      <sz val="12"/>
      <color indexed="8"/>
      <name val="Arial Narrow"/>
      <family val="2"/>
    </font>
    <font>
      <sz val="12"/>
      <color indexed="56"/>
      <name val="Arial Narrow"/>
      <family val="2"/>
    </font>
    <font>
      <sz val="12"/>
      <color indexed="8"/>
      <name val="Arial Narrow"/>
      <family val="2"/>
    </font>
    <font>
      <sz val="9"/>
      <color indexed="81"/>
      <name val="Tahoma"/>
      <family val="2"/>
    </font>
    <font>
      <b/>
      <sz val="9"/>
      <color indexed="81"/>
      <name val="Tahoma"/>
      <family val="2"/>
    </font>
    <font>
      <b/>
      <sz val="12"/>
      <color indexed="18"/>
      <name val="Arial Narrow"/>
      <family val="2"/>
    </font>
    <font>
      <b/>
      <i/>
      <sz val="10"/>
      <name val="Arial"/>
      <family val="2"/>
    </font>
    <font>
      <b/>
      <sz val="11"/>
      <name val="Arial Narrow"/>
      <family val="2"/>
    </font>
    <font>
      <b/>
      <sz val="8"/>
      <name val="Arial Narrow"/>
      <family val="2"/>
    </font>
    <font>
      <b/>
      <sz val="16"/>
      <color indexed="60"/>
      <name val="Arial Narrow"/>
      <family val="2"/>
    </font>
    <font>
      <sz val="10"/>
      <color indexed="8"/>
      <name val="Arial"/>
      <family val="2"/>
    </font>
    <font>
      <u/>
      <sz val="10"/>
      <name val="Arial"/>
      <family val="2"/>
    </font>
    <font>
      <b/>
      <sz val="10"/>
      <color indexed="60"/>
      <name val="Arial"/>
      <family val="2"/>
    </font>
    <font>
      <sz val="11"/>
      <name val="Arial Narrow"/>
      <family val="2"/>
    </font>
    <font>
      <sz val="8"/>
      <color indexed="81"/>
      <name val="Tahoma"/>
      <family val="2"/>
    </font>
    <font>
      <sz val="8"/>
      <name val="Arial Narrow"/>
      <family val="2"/>
    </font>
    <font>
      <b/>
      <u/>
      <sz val="12"/>
      <name val="Arial Narrow"/>
      <family val="2"/>
    </font>
    <font>
      <b/>
      <u/>
      <sz val="11"/>
      <name val="Arial Narrow"/>
      <family val="2"/>
    </font>
    <font>
      <sz val="11"/>
      <color indexed="81"/>
      <name val="Tahoma"/>
      <family val="2"/>
    </font>
    <font>
      <sz val="10"/>
      <color indexed="8"/>
      <name val="Arial Narrow"/>
      <family val="2"/>
    </font>
    <font>
      <u/>
      <sz val="10"/>
      <color theme="10"/>
      <name val="Arial"/>
      <family val="2"/>
    </font>
    <font>
      <sz val="12"/>
      <color theme="0" tint="-0.14999847407452621"/>
      <name val="Arial Narrow"/>
      <family val="2"/>
    </font>
    <font>
      <sz val="12"/>
      <color theme="0" tint="-0.249977111117893"/>
      <name val="Arial Narrow"/>
      <family val="2"/>
    </font>
    <font>
      <sz val="12"/>
      <color theme="3"/>
      <name val="Arial Narrow"/>
      <family val="2"/>
    </font>
    <font>
      <sz val="10"/>
      <color rgb="FFFF0000"/>
      <name val="Arial"/>
      <family val="2"/>
    </font>
    <font>
      <b/>
      <sz val="8"/>
      <color rgb="FF00B050"/>
      <name val="Arial"/>
      <family val="2"/>
    </font>
    <font>
      <b/>
      <sz val="8"/>
      <color rgb="FF00B050"/>
      <name val="Arial Narrow"/>
      <family val="2"/>
    </font>
    <font>
      <b/>
      <sz val="6"/>
      <color rgb="FF00B050"/>
      <name val="Arial"/>
      <family val="2"/>
    </font>
    <font>
      <b/>
      <sz val="9"/>
      <color rgb="FF00B050"/>
      <name val="Arial"/>
      <family val="2"/>
    </font>
    <font>
      <b/>
      <sz val="12"/>
      <color rgb="FF00B050"/>
      <name val="Arial Narrow"/>
      <family val="2"/>
    </font>
    <font>
      <sz val="8"/>
      <color rgb="FF00B050"/>
      <name val="Arial Narrow"/>
      <family val="2"/>
    </font>
    <font>
      <sz val="12"/>
      <color rgb="FF00B050"/>
      <name val="Arial Narrow"/>
      <family val="2"/>
    </font>
    <font>
      <sz val="8"/>
      <color rgb="FF00B050"/>
      <name val="Arial"/>
      <family val="2"/>
    </font>
    <font>
      <sz val="9"/>
      <color rgb="FF00B050"/>
      <name val="Arial"/>
      <family val="2"/>
    </font>
  </fonts>
  <fills count="17">
    <fill>
      <patternFill patternType="none"/>
    </fill>
    <fill>
      <patternFill patternType="gray125"/>
    </fill>
    <fill>
      <patternFill patternType="solid">
        <fgColor indexed="42"/>
        <bgColor indexed="64"/>
      </patternFill>
    </fill>
    <fill>
      <patternFill patternType="solid">
        <fgColor indexed="22"/>
        <bgColor indexed="8"/>
      </patternFill>
    </fill>
    <fill>
      <patternFill patternType="solid">
        <fgColor indexed="42"/>
        <bgColor indexed="8"/>
      </patternFill>
    </fill>
    <fill>
      <patternFill patternType="solid">
        <fgColor rgb="FFCCFFCC"/>
        <bgColor indexed="64"/>
      </patternFill>
    </fill>
    <fill>
      <patternFill patternType="solid">
        <fgColor theme="0" tint="-0.249977111117893"/>
        <bgColor indexed="64"/>
      </patternFill>
    </fill>
    <fill>
      <patternFill patternType="solid">
        <fgColor theme="0" tint="-0.249977111117893"/>
        <bgColor indexed="8"/>
      </patternFill>
    </fill>
    <fill>
      <patternFill patternType="solid">
        <fgColor theme="0"/>
        <bgColor indexed="64"/>
      </patternFill>
    </fill>
    <fill>
      <patternFill patternType="solid">
        <fgColor rgb="FFFFFFFF"/>
        <bgColor indexed="64"/>
      </patternFill>
    </fill>
    <fill>
      <patternFill patternType="solid">
        <fgColor rgb="FFCCFFCC"/>
        <bgColor indexed="8"/>
      </patternFill>
    </fill>
    <fill>
      <patternFill patternType="solid">
        <fgColor theme="0"/>
        <bgColor indexed="8"/>
      </patternFill>
    </fill>
    <fill>
      <patternFill patternType="solid">
        <fgColor theme="0" tint="-0.34998626667073579"/>
        <bgColor indexed="64"/>
      </patternFill>
    </fill>
    <fill>
      <patternFill patternType="solid">
        <fgColor rgb="FFCDFECD"/>
        <bgColor indexed="64"/>
      </patternFill>
    </fill>
    <fill>
      <patternFill patternType="solid">
        <fgColor rgb="FFBFBFBF"/>
        <bgColor indexed="64"/>
      </patternFill>
    </fill>
    <fill>
      <patternFill patternType="solid">
        <fgColor theme="0" tint="-0.34998626667073579"/>
        <bgColor indexed="8"/>
      </patternFill>
    </fill>
    <fill>
      <patternFill patternType="solid">
        <fgColor rgb="FFFFFF00"/>
        <bgColor indexed="64"/>
      </patternFill>
    </fill>
  </fills>
  <borders count="267">
    <border>
      <left/>
      <right/>
      <top/>
      <bottom/>
      <diagonal/>
    </border>
    <border>
      <left/>
      <right/>
      <top style="thick">
        <color indexed="8"/>
      </top>
      <bottom/>
      <diagonal/>
    </border>
    <border>
      <left style="thick">
        <color indexed="8"/>
      </left>
      <right style="thick">
        <color indexed="8"/>
      </right>
      <top/>
      <bottom/>
      <diagonal/>
    </border>
    <border>
      <left style="thick">
        <color indexed="8"/>
      </left>
      <right style="thick">
        <color indexed="8"/>
      </right>
      <top/>
      <bottom style="thick">
        <color indexed="8"/>
      </bottom>
      <diagonal/>
    </border>
    <border>
      <left/>
      <right/>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thin">
        <color indexed="8"/>
      </left>
      <right style="thin">
        <color indexed="8"/>
      </right>
      <top/>
      <bottom style="thin">
        <color indexed="8"/>
      </bottom>
      <diagonal/>
    </border>
    <border>
      <left/>
      <right style="thick">
        <color indexed="8"/>
      </right>
      <top/>
      <bottom/>
      <diagonal/>
    </border>
    <border>
      <left/>
      <right style="thick">
        <color indexed="8"/>
      </right>
      <top/>
      <bottom style="thick">
        <color indexed="8"/>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right/>
      <top style="double">
        <color indexed="64"/>
      </top>
      <bottom/>
      <diagonal/>
    </border>
    <border>
      <left/>
      <right/>
      <top/>
      <bottom style="double">
        <color indexed="64"/>
      </bottom>
      <diagonal/>
    </border>
    <border>
      <left/>
      <right style="medium">
        <color indexed="64"/>
      </right>
      <top/>
      <bottom/>
      <diagonal/>
    </border>
    <border>
      <left style="thin">
        <color indexed="8"/>
      </left>
      <right style="thin">
        <color indexed="8"/>
      </right>
      <top/>
      <bottom/>
      <diagonal/>
    </border>
    <border>
      <left/>
      <right/>
      <top style="thin">
        <color indexed="8"/>
      </top>
      <bottom style="thin">
        <color indexed="8"/>
      </bottom>
      <diagonal/>
    </border>
    <border>
      <left/>
      <right/>
      <top/>
      <bottom style="thin">
        <color indexed="8"/>
      </bottom>
      <diagonal/>
    </border>
    <border>
      <left/>
      <right/>
      <top style="double">
        <color indexed="8"/>
      </top>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8"/>
      </left>
      <right style="thin">
        <color indexed="8"/>
      </right>
      <top style="thin">
        <color indexed="8"/>
      </top>
      <bottom/>
      <diagonal/>
    </border>
    <border>
      <left/>
      <right/>
      <top/>
      <bottom style="thin">
        <color indexed="64"/>
      </bottom>
      <diagonal/>
    </border>
    <border>
      <left/>
      <right/>
      <top/>
      <bottom style="dashed">
        <color indexed="64"/>
      </bottom>
      <diagonal/>
    </border>
    <border>
      <left/>
      <right/>
      <top style="dashed">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ck">
        <color indexed="8"/>
      </bottom>
      <diagonal/>
    </border>
    <border>
      <left style="double">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double">
        <color indexed="64"/>
      </bottom>
      <diagonal/>
    </border>
    <border>
      <left/>
      <right style="medium">
        <color indexed="64"/>
      </right>
      <top style="medium">
        <color indexed="64"/>
      </top>
      <bottom/>
      <diagonal/>
    </border>
    <border>
      <left style="medium">
        <color indexed="8"/>
      </left>
      <right style="medium">
        <color indexed="8"/>
      </right>
      <top style="thin">
        <color indexed="8"/>
      </top>
      <bottom style="thin">
        <color indexed="8"/>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uble">
        <color indexed="64"/>
      </right>
      <top style="medium">
        <color indexed="64"/>
      </top>
      <bottom style="medium">
        <color indexed="64"/>
      </bottom>
      <diagonal/>
    </border>
    <border>
      <left/>
      <right/>
      <top style="thin">
        <color indexed="64"/>
      </top>
      <bottom style="double">
        <color indexed="64"/>
      </bottom>
      <diagonal/>
    </border>
    <border>
      <left style="thick">
        <color indexed="64"/>
      </left>
      <right/>
      <top/>
      <bottom/>
      <diagonal/>
    </border>
    <border>
      <left style="thin">
        <color indexed="64"/>
      </left>
      <right style="double">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64"/>
      </top>
      <bottom style="thin">
        <color indexed="8"/>
      </bottom>
      <diagonal/>
    </border>
    <border>
      <left/>
      <right/>
      <top/>
      <bottom style="double">
        <color indexed="8"/>
      </bottom>
      <diagonal/>
    </border>
    <border>
      <left style="thick">
        <color indexed="8"/>
      </left>
      <right style="thick">
        <color indexed="8"/>
      </right>
      <top style="medium">
        <color indexed="64"/>
      </top>
      <bottom style="thick">
        <color indexed="8"/>
      </bottom>
      <diagonal/>
    </border>
    <border>
      <left style="thick">
        <color indexed="8"/>
      </left>
      <right style="medium">
        <color indexed="64"/>
      </right>
      <top style="medium">
        <color indexed="64"/>
      </top>
      <bottom style="thick">
        <color indexed="8"/>
      </bottom>
      <diagonal/>
    </border>
    <border>
      <left style="medium">
        <color indexed="8"/>
      </left>
      <right style="medium">
        <color indexed="64"/>
      </right>
      <top style="thin">
        <color indexed="8"/>
      </top>
      <bottom style="thin">
        <color indexed="8"/>
      </bottom>
      <diagonal/>
    </border>
    <border>
      <left style="thin">
        <color indexed="64"/>
      </left>
      <right/>
      <top style="thin">
        <color indexed="64"/>
      </top>
      <bottom style="thin">
        <color indexed="8"/>
      </bottom>
      <diagonal/>
    </border>
    <border>
      <left/>
      <right/>
      <top style="thin">
        <color indexed="64"/>
      </top>
      <bottom style="thin">
        <color indexed="8"/>
      </bottom>
      <diagonal/>
    </border>
    <border>
      <left style="thin">
        <color indexed="8"/>
      </left>
      <right/>
      <top style="thin">
        <color indexed="64"/>
      </top>
      <bottom style="thin">
        <color indexed="8"/>
      </bottom>
      <diagonal/>
    </border>
    <border>
      <left style="thin">
        <color indexed="64"/>
      </left>
      <right style="thin">
        <color indexed="64"/>
      </right>
      <top style="thin">
        <color indexed="64"/>
      </top>
      <bottom/>
      <diagonal/>
    </border>
    <border>
      <left/>
      <right style="thick">
        <color indexed="8"/>
      </right>
      <top style="medium">
        <color indexed="64"/>
      </top>
      <bottom/>
      <diagonal/>
    </border>
    <border>
      <left style="thick">
        <color indexed="8"/>
      </left>
      <right style="thick">
        <color indexed="8"/>
      </right>
      <top style="medium">
        <color indexed="64"/>
      </top>
      <bottom/>
      <diagonal/>
    </border>
    <border>
      <left style="thick">
        <color indexed="8"/>
      </left>
      <right style="medium">
        <color indexed="64"/>
      </right>
      <top style="medium">
        <color indexed="64"/>
      </top>
      <bottom/>
      <diagonal/>
    </border>
    <border>
      <left style="thick">
        <color indexed="8"/>
      </left>
      <right style="medium">
        <color indexed="64"/>
      </right>
      <top/>
      <bottom/>
      <diagonal/>
    </border>
    <border>
      <left style="medium">
        <color indexed="64"/>
      </left>
      <right/>
      <top/>
      <bottom style="thick">
        <color indexed="8"/>
      </bottom>
      <diagonal/>
    </border>
    <border>
      <left style="thick">
        <color indexed="8"/>
      </left>
      <right style="medium">
        <color indexed="64"/>
      </right>
      <top/>
      <bottom style="thick">
        <color indexed="8"/>
      </bottom>
      <diagonal/>
    </border>
    <border>
      <left style="thin">
        <color indexed="8"/>
      </left>
      <right style="thin">
        <color indexed="8"/>
      </right>
      <top style="thin">
        <color indexed="64"/>
      </top>
      <bottom style="thin">
        <color indexed="64"/>
      </bottom>
      <diagonal/>
    </border>
    <border>
      <left style="thin">
        <color indexed="8"/>
      </left>
      <right style="medium">
        <color indexed="64"/>
      </right>
      <top style="thin">
        <color indexed="8"/>
      </top>
      <bottom style="thin">
        <color indexed="8"/>
      </bottom>
      <diagonal/>
    </border>
    <border>
      <left style="thin">
        <color indexed="8"/>
      </left>
      <right style="medium">
        <color indexed="64"/>
      </right>
      <top style="thin">
        <color indexed="8"/>
      </top>
      <bottom/>
      <diagonal/>
    </border>
    <border>
      <left style="thin">
        <color indexed="8"/>
      </left>
      <right style="medium">
        <color indexed="64"/>
      </right>
      <top style="thin">
        <color indexed="64"/>
      </top>
      <bottom style="thin">
        <color indexed="8"/>
      </bottom>
      <diagonal/>
    </border>
    <border>
      <left style="thin">
        <color indexed="64"/>
      </left>
      <right/>
      <top style="thin">
        <color indexed="8"/>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medium">
        <color indexed="64"/>
      </right>
      <top/>
      <bottom style="thin">
        <color indexed="8"/>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thin">
        <color indexed="8"/>
      </left>
      <right style="medium">
        <color indexed="64"/>
      </right>
      <top/>
      <bottom/>
      <diagonal/>
    </border>
    <border>
      <left/>
      <right/>
      <top style="thick">
        <color indexed="8"/>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top/>
      <bottom style="double">
        <color indexed="64"/>
      </bottom>
      <diagonal/>
    </border>
    <border>
      <left style="thin">
        <color indexed="64"/>
      </left>
      <right/>
      <top/>
      <bottom/>
      <diagonal/>
    </border>
    <border>
      <left style="thin">
        <color indexed="64"/>
      </left>
      <right/>
      <top/>
      <bottom style="medium">
        <color indexed="64"/>
      </bottom>
      <diagonal/>
    </border>
    <border>
      <left style="medium">
        <color indexed="64"/>
      </left>
      <right/>
      <top style="double">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style="double">
        <color indexed="64"/>
      </right>
      <top style="medium">
        <color indexed="64"/>
      </top>
      <bottom style="double">
        <color indexed="64"/>
      </bottom>
      <diagonal/>
    </border>
    <border>
      <left style="double">
        <color indexed="64"/>
      </left>
      <right/>
      <top style="thin">
        <color indexed="64"/>
      </top>
      <bottom/>
      <diagonal/>
    </border>
    <border>
      <left style="thin">
        <color indexed="64"/>
      </left>
      <right style="double">
        <color indexed="64"/>
      </right>
      <top style="thin">
        <color indexed="64"/>
      </top>
      <bottom/>
      <diagonal/>
    </border>
    <border>
      <left style="double">
        <color indexed="64"/>
      </left>
      <right/>
      <top style="thin">
        <color indexed="64"/>
      </top>
      <bottom style="thin">
        <color indexed="64"/>
      </bottom>
      <diagonal/>
    </border>
    <border>
      <left style="double">
        <color indexed="64"/>
      </left>
      <right/>
      <top style="medium">
        <color indexed="64"/>
      </top>
      <bottom style="thin">
        <color indexed="64"/>
      </bottom>
      <diagonal/>
    </border>
    <border>
      <left/>
      <right/>
      <top style="medium">
        <color indexed="64"/>
      </top>
      <bottom style="thin">
        <color indexed="64"/>
      </bottom>
      <diagonal/>
    </border>
    <border>
      <left/>
      <right style="double">
        <color indexed="64"/>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style="thin">
        <color indexed="64"/>
      </right>
      <top/>
      <bottom/>
      <diagonal/>
    </border>
    <border>
      <left/>
      <right style="double">
        <color indexed="64"/>
      </right>
      <top style="thin">
        <color indexed="64"/>
      </top>
      <bottom style="thin">
        <color indexed="64"/>
      </bottom>
      <diagonal/>
    </border>
    <border>
      <left/>
      <right style="thin">
        <color indexed="64"/>
      </right>
      <top style="thin">
        <color indexed="64"/>
      </top>
      <bottom/>
      <diagonal/>
    </border>
    <border>
      <left/>
      <right/>
      <top style="thick">
        <color indexed="8"/>
      </top>
      <bottom style="thin">
        <color indexed="8"/>
      </bottom>
      <diagonal/>
    </border>
    <border>
      <left style="thin">
        <color indexed="64"/>
      </left>
      <right style="thin">
        <color indexed="8"/>
      </right>
      <top style="thin">
        <color indexed="8"/>
      </top>
      <bottom style="thin">
        <color indexed="8"/>
      </bottom>
      <diagonal/>
    </border>
    <border>
      <left/>
      <right style="medium">
        <color indexed="64"/>
      </right>
      <top style="thick">
        <color indexed="8"/>
      </top>
      <bottom style="thin">
        <color indexed="8"/>
      </bottom>
      <diagonal/>
    </border>
    <border>
      <left style="thin">
        <color indexed="64"/>
      </left>
      <right style="thin">
        <color indexed="64"/>
      </right>
      <top style="thin">
        <color indexed="8"/>
      </top>
      <bottom/>
      <diagonal/>
    </border>
    <border>
      <left/>
      <right style="medium">
        <color indexed="64"/>
      </right>
      <top/>
      <bottom style="thin">
        <color indexed="8"/>
      </bottom>
      <diagonal/>
    </border>
    <border>
      <left style="thin">
        <color indexed="64"/>
      </left>
      <right style="medium">
        <color indexed="64"/>
      </right>
      <top style="double">
        <color indexed="64"/>
      </top>
      <bottom style="double">
        <color indexed="64"/>
      </bottom>
      <diagonal/>
    </border>
    <border>
      <left style="thin">
        <color indexed="64"/>
      </left>
      <right style="medium">
        <color indexed="64"/>
      </right>
      <top style="thin">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medium">
        <color indexed="64"/>
      </right>
      <top style="thin">
        <color indexed="8"/>
      </top>
      <bottom/>
      <diagonal/>
    </border>
    <border>
      <left/>
      <right style="medium">
        <color indexed="64"/>
      </right>
      <top style="double">
        <color indexed="8"/>
      </top>
      <bottom/>
      <diagonal/>
    </border>
    <border>
      <left/>
      <right/>
      <top style="thin">
        <color indexed="8"/>
      </top>
      <bottom/>
      <diagonal/>
    </border>
    <border>
      <left style="thin">
        <color indexed="8"/>
      </left>
      <right/>
      <top style="thin">
        <color indexed="8"/>
      </top>
      <bottom/>
      <diagonal/>
    </border>
    <border>
      <left/>
      <right/>
      <top style="thin">
        <color indexed="8"/>
      </top>
      <bottom style="thin">
        <color indexed="64"/>
      </bottom>
      <diagonal/>
    </border>
    <border>
      <left/>
      <right style="medium">
        <color indexed="64"/>
      </right>
      <top style="thin">
        <color indexed="8"/>
      </top>
      <bottom style="thin">
        <color indexed="8"/>
      </bottom>
      <diagonal/>
    </border>
    <border>
      <left style="thin">
        <color indexed="64"/>
      </left>
      <right/>
      <top style="thin">
        <color indexed="64"/>
      </top>
      <bottom/>
      <diagonal/>
    </border>
    <border>
      <left/>
      <right style="medium">
        <color indexed="64"/>
      </right>
      <top style="thin">
        <color indexed="64"/>
      </top>
      <bottom style="medium">
        <color indexed="64"/>
      </bottom>
      <diagonal/>
    </border>
    <border>
      <left/>
      <right style="thick">
        <color indexed="64"/>
      </right>
      <top style="thick">
        <color indexed="64"/>
      </top>
      <bottom style="double">
        <color indexed="64"/>
      </bottom>
      <diagonal/>
    </border>
    <border>
      <left/>
      <right style="medium">
        <color indexed="64"/>
      </right>
      <top/>
      <bottom style="double">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thick">
        <color indexed="64"/>
      </right>
      <top style="thick">
        <color indexed="64"/>
      </top>
      <bottom style="double">
        <color indexed="64"/>
      </bottom>
      <diagonal/>
    </border>
    <border>
      <left/>
      <right style="medium">
        <color indexed="64"/>
      </right>
      <top style="double">
        <color indexed="64"/>
      </top>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double">
        <color indexed="8"/>
      </top>
      <bottom style="double">
        <color indexed="8"/>
      </bottom>
      <diagonal/>
    </border>
    <border>
      <left style="thin">
        <color indexed="64"/>
      </left>
      <right style="medium">
        <color indexed="64"/>
      </right>
      <top style="double">
        <color indexed="8"/>
      </top>
      <bottom style="double">
        <color indexed="8"/>
      </bottom>
      <diagonal/>
    </border>
    <border>
      <left style="thin">
        <color indexed="64"/>
      </left>
      <right style="medium">
        <color indexed="64"/>
      </right>
      <top style="thin">
        <color indexed="64"/>
      </top>
      <bottom style="thin">
        <color indexed="8"/>
      </bottom>
      <diagonal/>
    </border>
    <border>
      <left style="thin">
        <color indexed="8"/>
      </left>
      <right/>
      <top/>
      <bottom style="thin">
        <color indexed="8"/>
      </bottom>
      <diagonal/>
    </border>
    <border>
      <left/>
      <right style="medium">
        <color indexed="64"/>
      </right>
      <top style="thin">
        <color indexed="64"/>
      </top>
      <bottom style="thin">
        <color indexed="8"/>
      </bottom>
      <diagonal/>
    </border>
    <border>
      <left style="thick">
        <color indexed="64"/>
      </left>
      <right/>
      <top style="medium">
        <color indexed="64"/>
      </top>
      <bottom/>
      <diagonal/>
    </border>
    <border>
      <left style="thin">
        <color indexed="64"/>
      </left>
      <right style="thin">
        <color indexed="64"/>
      </right>
      <top/>
      <bottom style="thin">
        <color indexed="8"/>
      </bottom>
      <diagonal/>
    </border>
    <border>
      <left style="thin">
        <color indexed="64"/>
      </left>
      <right style="medium">
        <color indexed="64"/>
      </right>
      <top/>
      <bottom style="thin">
        <color indexed="8"/>
      </bottom>
      <diagonal/>
    </border>
    <border>
      <left style="thin">
        <color indexed="8"/>
      </left>
      <right style="medium">
        <color indexed="64"/>
      </right>
      <top style="thin">
        <color indexed="8"/>
      </top>
      <bottom style="thin">
        <color indexed="64"/>
      </bottom>
      <diagonal/>
    </border>
    <border>
      <left style="thin">
        <color indexed="8"/>
      </left>
      <right style="medium">
        <color indexed="64"/>
      </right>
      <top style="thin">
        <color indexed="64"/>
      </top>
      <bottom style="thin">
        <color indexed="64"/>
      </bottom>
      <diagonal/>
    </border>
    <border>
      <left/>
      <right style="thin">
        <color indexed="8"/>
      </right>
      <top/>
      <bottom style="thin">
        <color indexed="8"/>
      </bottom>
      <diagonal/>
    </border>
    <border>
      <left/>
      <right style="medium">
        <color indexed="64"/>
      </right>
      <top style="thin">
        <color indexed="8"/>
      </top>
      <bottom/>
      <diagonal/>
    </border>
    <border>
      <left/>
      <right style="thick">
        <color indexed="8"/>
      </right>
      <top style="medium">
        <color indexed="64"/>
      </top>
      <bottom style="medium">
        <color indexed="64"/>
      </bottom>
      <diagonal/>
    </border>
    <border>
      <left style="thin">
        <color indexed="64"/>
      </left>
      <right style="thin">
        <color indexed="8"/>
      </right>
      <top style="thin">
        <color indexed="8"/>
      </top>
      <bottom/>
      <diagonal/>
    </border>
    <border>
      <left style="thin">
        <color indexed="64"/>
      </left>
      <right style="thin">
        <color indexed="8"/>
      </right>
      <top style="thin">
        <color indexed="64"/>
      </top>
      <bottom style="thin">
        <color indexed="8"/>
      </bottom>
      <diagonal/>
    </border>
    <border>
      <left style="thin">
        <color indexed="64"/>
      </left>
      <right style="thin">
        <color indexed="64"/>
      </right>
      <top style="thin">
        <color indexed="64"/>
      </top>
      <bottom style="thin">
        <color indexed="8"/>
      </bottom>
      <diagonal/>
    </border>
    <border>
      <left/>
      <right style="thin">
        <color indexed="8"/>
      </right>
      <top style="thin">
        <color indexed="8"/>
      </top>
      <bottom/>
      <diagonal/>
    </border>
    <border>
      <left style="thin">
        <color indexed="64"/>
      </left>
      <right style="thin">
        <color indexed="8"/>
      </right>
      <top style="thin">
        <color indexed="64"/>
      </top>
      <bottom style="thin">
        <color indexed="64"/>
      </bottom>
      <diagonal/>
    </border>
    <border>
      <left style="thin">
        <color indexed="64"/>
      </left>
      <right style="thin">
        <color indexed="8"/>
      </right>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8"/>
      </left>
      <right style="thin">
        <color indexed="8"/>
      </right>
      <top style="thin">
        <color indexed="8"/>
      </top>
      <bottom style="thin">
        <color indexed="64"/>
      </bottom>
      <diagonal/>
    </border>
    <border>
      <left style="thin">
        <color indexed="64"/>
      </left>
      <right style="thin">
        <color indexed="8"/>
      </right>
      <top style="thin">
        <color indexed="8"/>
      </top>
      <bottom style="thin">
        <color indexed="64"/>
      </bottom>
      <diagonal/>
    </border>
    <border>
      <left style="thin">
        <color indexed="8"/>
      </left>
      <right style="medium">
        <color indexed="8"/>
      </right>
      <top style="thin">
        <color indexed="64"/>
      </top>
      <bottom style="thin">
        <color indexed="64"/>
      </bottom>
      <diagonal/>
    </border>
    <border>
      <left style="thin">
        <color indexed="64"/>
      </left>
      <right style="thin">
        <color indexed="8"/>
      </right>
      <top/>
      <bottom style="thin">
        <color indexed="8"/>
      </bottom>
      <diagonal/>
    </border>
    <border>
      <left style="double">
        <color indexed="64"/>
      </left>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8"/>
      </left>
      <right style="thin">
        <color indexed="8"/>
      </right>
      <top style="double">
        <color indexed="8"/>
      </top>
      <bottom style="double">
        <color indexed="8"/>
      </bottom>
      <diagonal/>
    </border>
    <border>
      <left style="thin">
        <color indexed="8"/>
      </left>
      <right style="medium">
        <color indexed="64"/>
      </right>
      <top style="double">
        <color indexed="8"/>
      </top>
      <bottom style="double">
        <color indexed="8"/>
      </bottom>
      <diagonal/>
    </border>
    <border>
      <left style="thin">
        <color indexed="64"/>
      </left>
      <right/>
      <top style="thin">
        <color indexed="8"/>
      </top>
      <bottom/>
      <diagonal/>
    </border>
    <border>
      <left style="medium">
        <color indexed="64"/>
      </left>
      <right style="thin">
        <color indexed="64"/>
      </right>
      <top style="double">
        <color indexed="8"/>
      </top>
      <bottom style="double">
        <color indexed="8"/>
      </bottom>
      <diagonal/>
    </border>
    <border>
      <left style="thin">
        <color indexed="64"/>
      </left>
      <right/>
      <top style="double">
        <color indexed="8"/>
      </top>
      <bottom style="double">
        <color indexed="8"/>
      </bottom>
      <diagonal/>
    </border>
    <border>
      <left/>
      <right style="thin">
        <color indexed="64"/>
      </right>
      <top style="double">
        <color indexed="8"/>
      </top>
      <bottom style="double">
        <color indexed="8"/>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medium">
        <color indexed="64"/>
      </left>
      <right style="thin">
        <color indexed="64"/>
      </right>
      <top style="double">
        <color indexed="64"/>
      </top>
      <bottom style="double">
        <color indexed="8"/>
      </bottom>
      <diagonal/>
    </border>
    <border>
      <left style="thin">
        <color indexed="64"/>
      </left>
      <right style="thin">
        <color indexed="64"/>
      </right>
      <top style="double">
        <color indexed="64"/>
      </top>
      <bottom style="double">
        <color indexed="8"/>
      </bottom>
      <diagonal/>
    </border>
    <border>
      <left style="thin">
        <color indexed="64"/>
      </left>
      <right style="medium">
        <color indexed="64"/>
      </right>
      <top style="double">
        <color indexed="64"/>
      </top>
      <bottom style="double">
        <color indexed="8"/>
      </bottom>
      <diagonal/>
    </border>
    <border>
      <left style="medium">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top style="double">
        <color indexed="64"/>
      </top>
      <bottom style="double">
        <color indexed="8"/>
      </bottom>
      <diagonal/>
    </border>
    <border>
      <left/>
      <right style="thin">
        <color indexed="64"/>
      </right>
      <top style="double">
        <color indexed="64"/>
      </top>
      <bottom style="double">
        <color indexed="8"/>
      </bottom>
      <diagonal/>
    </border>
    <border>
      <left/>
      <right style="medium">
        <color indexed="64"/>
      </right>
      <top/>
      <bottom style="double">
        <color indexed="8"/>
      </bottom>
      <diagonal/>
    </border>
    <border>
      <left/>
      <right style="thin">
        <color indexed="64"/>
      </right>
      <top style="thin">
        <color indexed="8"/>
      </top>
      <bottom style="thin">
        <color indexed="8"/>
      </bottom>
      <diagonal/>
    </border>
    <border>
      <left/>
      <right style="thin">
        <color indexed="8"/>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double">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ck">
        <color indexed="64"/>
      </left>
      <right style="thick">
        <color indexed="64"/>
      </right>
      <top style="thick">
        <color indexed="64"/>
      </top>
      <bottom style="double">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8"/>
      </left>
      <right style="medium">
        <color indexed="8"/>
      </right>
      <top style="double">
        <color indexed="8"/>
      </top>
      <bottom style="double">
        <color indexed="8"/>
      </bottom>
      <diagonal/>
    </border>
    <border>
      <left style="double">
        <color indexed="8"/>
      </left>
      <right/>
      <top style="double">
        <color indexed="8"/>
      </top>
      <bottom style="double">
        <color indexed="8"/>
      </bottom>
      <diagonal/>
    </border>
    <border>
      <left/>
      <right style="thin">
        <color indexed="8"/>
      </right>
      <top style="double">
        <color indexed="8"/>
      </top>
      <bottom style="double">
        <color indexed="8"/>
      </bottom>
      <diagonal/>
    </border>
    <border>
      <left/>
      <right/>
      <top style="double">
        <color indexed="8"/>
      </top>
      <bottom style="double">
        <color indexed="8"/>
      </bottom>
      <diagonal/>
    </border>
    <border>
      <left/>
      <right style="medium">
        <color indexed="64"/>
      </right>
      <top style="double">
        <color indexed="8"/>
      </top>
      <bottom style="double">
        <color indexed="8"/>
      </bottom>
      <diagonal/>
    </border>
    <border>
      <left style="thin">
        <color indexed="64"/>
      </left>
      <right style="thin">
        <color indexed="8"/>
      </right>
      <top style="thin">
        <color indexed="64"/>
      </top>
      <bottom/>
      <diagonal/>
    </border>
    <border>
      <left style="thin">
        <color indexed="8"/>
      </left>
      <right style="thin">
        <color indexed="8"/>
      </right>
      <top style="thin">
        <color indexed="64"/>
      </top>
      <bottom style="double">
        <color indexed="64"/>
      </bottom>
      <diagonal/>
    </border>
    <border>
      <left style="thin">
        <color indexed="64"/>
      </left>
      <right style="thin">
        <color indexed="8"/>
      </right>
      <top/>
      <bottom/>
      <diagonal/>
    </border>
    <border>
      <left style="thin">
        <color indexed="64"/>
      </left>
      <right style="thin">
        <color indexed="8"/>
      </right>
      <top style="thin">
        <color indexed="64"/>
      </top>
      <bottom style="double">
        <color indexed="64"/>
      </bottom>
      <diagonal/>
    </border>
    <border>
      <left style="thin">
        <color indexed="8"/>
      </left>
      <right style="thin">
        <color indexed="64"/>
      </right>
      <top style="thin">
        <color indexed="64"/>
      </top>
      <bottom style="thin">
        <color indexed="8"/>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8"/>
      </top>
      <bottom style="thin">
        <color indexed="64"/>
      </bottom>
      <diagonal/>
    </border>
    <border>
      <left/>
      <right/>
      <top/>
      <bottom style="dotted">
        <color indexed="64"/>
      </bottom>
      <diagonal/>
    </border>
    <border>
      <left/>
      <right style="medium">
        <color indexed="8"/>
      </right>
      <top style="double">
        <color indexed="8"/>
      </top>
      <bottom style="double">
        <color indexed="8"/>
      </bottom>
      <diagonal/>
    </border>
    <border>
      <left/>
      <right style="medium">
        <color indexed="8"/>
      </right>
      <top/>
      <bottom/>
      <diagonal/>
    </border>
    <border>
      <left style="thin">
        <color indexed="64"/>
      </left>
      <right style="medium">
        <color indexed="8"/>
      </right>
      <top style="thin">
        <color indexed="8"/>
      </top>
      <bottom style="thin">
        <color indexed="8"/>
      </bottom>
      <diagonal/>
    </border>
    <border>
      <left style="thin">
        <color indexed="64"/>
      </left>
      <right style="medium">
        <color indexed="8"/>
      </right>
      <top style="thin">
        <color indexed="8"/>
      </top>
      <bottom/>
      <diagonal/>
    </border>
    <border>
      <left style="thin">
        <color indexed="64"/>
      </left>
      <right style="medium">
        <color indexed="8"/>
      </right>
      <top style="double">
        <color indexed="64"/>
      </top>
      <bottom style="double">
        <color indexed="64"/>
      </bottom>
      <diagonal/>
    </border>
    <border>
      <left style="thin">
        <color indexed="64"/>
      </left>
      <right style="medium">
        <color indexed="8"/>
      </right>
      <top style="thin">
        <color indexed="64"/>
      </top>
      <bottom style="thin">
        <color indexed="64"/>
      </bottom>
      <diagonal/>
    </border>
    <border>
      <left style="thin">
        <color indexed="64"/>
      </left>
      <right style="medium">
        <color indexed="8"/>
      </right>
      <top style="thin">
        <color indexed="64"/>
      </top>
      <bottom style="thin">
        <color indexed="8"/>
      </bottom>
      <diagonal/>
    </border>
    <border>
      <left/>
      <right style="medium">
        <color indexed="8"/>
      </right>
      <top/>
      <bottom style="thin">
        <color indexed="8"/>
      </bottom>
      <diagonal/>
    </border>
    <border>
      <left style="thin">
        <color indexed="64"/>
      </left>
      <right style="thin">
        <color indexed="64"/>
      </right>
      <top style="double">
        <color indexed="64"/>
      </top>
      <bottom style="medium">
        <color indexed="64"/>
      </bottom>
      <diagonal/>
    </border>
    <border>
      <left style="thin">
        <color indexed="64"/>
      </left>
      <right style="thin">
        <color indexed="8"/>
      </right>
      <top/>
      <bottom style="medium">
        <color indexed="64"/>
      </bottom>
      <diagonal/>
    </border>
    <border>
      <left style="thin">
        <color indexed="8"/>
      </left>
      <right style="medium">
        <color indexed="8"/>
      </right>
      <top/>
      <bottom/>
      <diagonal/>
    </border>
    <border>
      <left style="thin">
        <color indexed="8"/>
      </left>
      <right style="thin">
        <color indexed="8"/>
      </right>
      <top style="thin">
        <color indexed="8"/>
      </top>
      <bottom style="double">
        <color indexed="8"/>
      </bottom>
      <diagonal/>
    </border>
    <border>
      <left style="thin">
        <color indexed="8"/>
      </left>
      <right style="medium">
        <color indexed="64"/>
      </right>
      <top style="thin">
        <color indexed="8"/>
      </top>
      <bottom style="medium">
        <color indexed="64"/>
      </bottom>
      <diagonal/>
    </border>
    <border>
      <left style="double">
        <color indexed="64"/>
      </left>
      <right/>
      <top style="double">
        <color indexed="64"/>
      </top>
      <bottom/>
      <diagonal/>
    </border>
    <border>
      <left style="medium">
        <color indexed="64"/>
      </left>
      <right style="double">
        <color indexed="64"/>
      </right>
      <top style="double">
        <color indexed="64"/>
      </top>
      <bottom/>
      <diagonal/>
    </border>
    <border>
      <left style="double">
        <color indexed="64"/>
      </left>
      <right/>
      <top/>
      <bottom/>
      <diagonal/>
    </border>
    <border>
      <left style="medium">
        <color indexed="64"/>
      </left>
      <right style="double">
        <color indexed="64"/>
      </right>
      <top/>
      <bottom/>
      <diagonal/>
    </border>
    <border>
      <left/>
      <right style="double">
        <color indexed="64"/>
      </right>
      <top/>
      <bottom/>
      <diagonal/>
    </border>
    <border>
      <left style="double">
        <color indexed="64"/>
      </left>
      <right/>
      <top/>
      <bottom style="medium">
        <color indexed="64"/>
      </bottom>
      <diagonal/>
    </border>
    <border>
      <left/>
      <right style="double">
        <color indexed="64"/>
      </right>
      <top/>
      <bottom style="medium">
        <color indexed="64"/>
      </bottom>
      <diagonal/>
    </border>
    <border>
      <left style="double">
        <color indexed="64"/>
      </left>
      <right/>
      <top style="medium">
        <color indexed="64"/>
      </top>
      <bottom/>
      <diagonal/>
    </border>
    <border>
      <left/>
      <right style="double">
        <color indexed="64"/>
      </right>
      <top style="medium">
        <color indexed="64"/>
      </top>
      <bottom/>
      <diagonal/>
    </border>
    <border>
      <left style="medium">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double">
        <color indexed="64"/>
      </right>
      <top style="medium">
        <color indexed="64"/>
      </top>
      <bottom/>
      <diagonal/>
    </border>
    <border>
      <left style="thin">
        <color indexed="64"/>
      </left>
      <right style="thin">
        <color indexed="64"/>
      </right>
      <top/>
      <bottom style="thin">
        <color indexed="64"/>
      </bottom>
      <diagonal/>
    </border>
    <border>
      <left style="thin">
        <color indexed="8"/>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8"/>
      </left>
      <right style="medium">
        <color indexed="64"/>
      </right>
      <top style="thin">
        <color indexed="64"/>
      </top>
      <bottom style="double">
        <color indexed="64"/>
      </bottom>
      <diagonal/>
    </border>
    <border>
      <left/>
      <right style="medium">
        <color indexed="8"/>
      </right>
      <top style="double">
        <color indexed="8"/>
      </top>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medium">
        <color indexed="64"/>
      </bottom>
      <diagonal/>
    </border>
    <border>
      <left style="thin">
        <color indexed="8"/>
      </left>
      <right style="thin">
        <color indexed="8"/>
      </right>
      <top style="double">
        <color indexed="64"/>
      </top>
      <bottom style="medium">
        <color indexed="64"/>
      </bottom>
      <diagonal/>
    </border>
    <border>
      <left/>
      <right style="thin">
        <color indexed="8"/>
      </right>
      <top/>
      <bottom style="thin">
        <color indexed="64"/>
      </bottom>
      <diagonal/>
    </border>
    <border>
      <left/>
      <right style="thin">
        <color indexed="8"/>
      </right>
      <top style="thin">
        <color indexed="64"/>
      </top>
      <bottom style="double">
        <color indexed="64"/>
      </bottom>
      <diagonal/>
    </border>
    <border>
      <left style="thick">
        <color indexed="8"/>
      </left>
      <right/>
      <top style="thick">
        <color indexed="8"/>
      </top>
      <bottom/>
      <diagonal/>
    </border>
    <border>
      <left/>
      <right style="thick">
        <color indexed="8"/>
      </right>
      <top style="thick">
        <color indexed="8"/>
      </top>
      <bottom/>
      <diagonal/>
    </border>
    <border>
      <left style="thick">
        <color indexed="8"/>
      </left>
      <right style="thick">
        <color indexed="8"/>
      </right>
      <top style="thick">
        <color indexed="8"/>
      </top>
      <bottom/>
      <diagonal/>
    </border>
    <border>
      <left style="thick">
        <color indexed="8"/>
      </left>
      <right/>
      <top/>
      <bottom/>
      <diagonal/>
    </border>
    <border>
      <left/>
      <right style="medium">
        <color indexed="64"/>
      </right>
      <top style="thick">
        <color indexed="8"/>
      </top>
      <bottom/>
      <diagonal/>
    </border>
    <border>
      <left/>
      <right style="thin">
        <color indexed="8"/>
      </right>
      <top/>
      <bottom/>
      <diagonal/>
    </border>
    <border>
      <left style="thin">
        <color indexed="64"/>
      </left>
      <right style="medium">
        <color indexed="64"/>
      </right>
      <top style="thin">
        <color indexed="8"/>
      </top>
      <bottom style="thin">
        <color indexed="64"/>
      </bottom>
      <diagonal/>
    </border>
    <border>
      <left style="thin">
        <color indexed="64"/>
      </left>
      <right style="thin">
        <color indexed="64"/>
      </right>
      <top style="thin">
        <color indexed="8"/>
      </top>
      <bottom style="medium">
        <color indexed="64"/>
      </bottom>
      <diagonal/>
    </border>
    <border>
      <left style="thin">
        <color indexed="64"/>
      </left>
      <right style="medium">
        <color indexed="64"/>
      </right>
      <top style="thin">
        <color indexed="8"/>
      </top>
      <bottom style="medium">
        <color indexed="64"/>
      </bottom>
      <diagonal/>
    </border>
    <border>
      <left style="thick">
        <color indexed="8"/>
      </left>
      <right/>
      <top/>
      <bottom style="thick">
        <color indexed="8"/>
      </bottom>
      <diagonal/>
    </border>
    <border>
      <left style="thin">
        <color indexed="64"/>
      </left>
      <right style="medium">
        <color indexed="64"/>
      </right>
      <top/>
      <bottom style="double">
        <color indexed="64"/>
      </bottom>
      <diagonal/>
    </border>
    <border>
      <left style="double">
        <color indexed="8"/>
      </left>
      <right style="thin">
        <color indexed="8"/>
      </right>
      <top style="double">
        <color indexed="8"/>
      </top>
      <bottom style="double">
        <color indexed="8"/>
      </bottom>
      <diagonal/>
    </border>
    <border>
      <left style="medium">
        <color indexed="64"/>
      </left>
      <right/>
      <top style="double">
        <color indexed="8"/>
      </top>
      <bottom style="double">
        <color indexed="8"/>
      </bottom>
      <diagonal/>
    </border>
    <border>
      <left style="thin">
        <color indexed="64"/>
      </left>
      <right/>
      <top style="thin">
        <color indexed="8"/>
      </top>
      <bottom style="double">
        <color indexed="64"/>
      </bottom>
      <diagonal/>
    </border>
    <border>
      <left/>
      <right/>
      <top style="thin">
        <color indexed="8"/>
      </top>
      <bottom style="double">
        <color indexed="64"/>
      </bottom>
      <diagonal/>
    </border>
    <border>
      <left/>
      <right style="thin">
        <color indexed="64"/>
      </right>
      <top style="thin">
        <color indexed="8"/>
      </top>
      <bottom style="double">
        <color indexed="64"/>
      </bottom>
      <diagonal/>
    </border>
    <border>
      <left/>
      <right style="thin">
        <color indexed="64"/>
      </right>
      <top style="thin">
        <color indexed="8"/>
      </top>
      <bottom/>
      <diagonal/>
    </border>
    <border>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double">
        <color indexed="64"/>
      </right>
      <top style="medium">
        <color indexed="64"/>
      </top>
      <bottom style="medium">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s>
  <cellStyleXfs count="14">
    <xf numFmtId="0" fontId="0" fillId="0" borderId="0"/>
    <xf numFmtId="43" fontId="1" fillId="0" borderId="0" applyFont="0" applyFill="0" applyBorder="0" applyAlignment="0" applyProtection="0"/>
    <xf numFmtId="40" fontId="18" fillId="0" borderId="0" applyFont="0" applyFill="0" applyBorder="0" applyAlignment="0" applyProtection="0"/>
    <xf numFmtId="3" fontId="20" fillId="0" borderId="0" applyFont="0" applyFill="0" applyBorder="0" applyAlignment="0" applyProtection="0"/>
    <xf numFmtId="3" fontId="1" fillId="0" borderId="0" applyFont="0" applyFill="0" applyBorder="0" applyAlignment="0" applyProtection="0"/>
    <xf numFmtId="44" fontId="1" fillId="0" borderId="0" applyFont="0" applyFill="0" applyBorder="0" applyAlignment="0" applyProtection="0"/>
    <xf numFmtId="5" fontId="20" fillId="0" borderId="0" applyFont="0" applyFill="0" applyBorder="0" applyAlignment="0" applyProtection="0"/>
    <xf numFmtId="5" fontId="1" fillId="0" borderId="0" applyFont="0" applyFill="0" applyBorder="0" applyAlignment="0" applyProtection="0"/>
    <xf numFmtId="0" fontId="49" fillId="0" borderId="0" applyNumberFormat="0" applyFill="0" applyBorder="0" applyAlignment="0" applyProtection="0"/>
    <xf numFmtId="0" fontId="1" fillId="0" borderId="0"/>
    <xf numFmtId="0" fontId="18" fillId="0" borderId="0"/>
    <xf numFmtId="0" fontId="1" fillId="0" borderId="0"/>
    <xf numFmtId="0" fontId="1" fillId="0" borderId="0"/>
    <xf numFmtId="9" fontId="1" fillId="0" borderId="0" applyFont="0" applyFill="0" applyBorder="0" applyAlignment="0" applyProtection="0"/>
  </cellStyleXfs>
  <cellXfs count="1885">
    <xf numFmtId="0" fontId="0" fillId="0" borderId="0" xfId="0"/>
    <xf numFmtId="0" fontId="7" fillId="0" borderId="0" xfId="0" applyFont="1"/>
    <xf numFmtId="0" fontId="8" fillId="0" borderId="0" xfId="0" applyFont="1"/>
    <xf numFmtId="0" fontId="7" fillId="0" borderId="0" xfId="0" applyFont="1" applyProtection="1">
      <protection locked="0"/>
    </xf>
    <xf numFmtId="43" fontId="7" fillId="0" borderId="0" xfId="0" applyNumberFormat="1" applyFont="1" applyProtection="1">
      <protection locked="0"/>
    </xf>
    <xf numFmtId="0" fontId="11" fillId="0" borderId="0" xfId="11" applyFont="1" applyAlignment="1">
      <alignment vertical="center"/>
    </xf>
    <xf numFmtId="0" fontId="1" fillId="0" borderId="0" xfId="11"/>
    <xf numFmtId="49" fontId="11" fillId="0" borderId="0" xfId="11" applyNumberFormat="1" applyFont="1" applyAlignment="1">
      <alignment vertical="center"/>
    </xf>
    <xf numFmtId="0" fontId="15" fillId="0" borderId="0" xfId="12" applyFont="1"/>
    <xf numFmtId="0" fontId="3" fillId="0" borderId="0" xfId="12" applyFont="1"/>
    <xf numFmtId="38" fontId="6" fillId="0" borderId="0" xfId="6" applyNumberFormat="1" applyFont="1"/>
    <xf numFmtId="38" fontId="6" fillId="0" borderId="0" xfId="6" applyNumberFormat="1" applyFont="1" applyAlignment="1">
      <alignment horizontal="left"/>
    </xf>
    <xf numFmtId="0" fontId="6" fillId="0" borderId="0" xfId="0" applyFont="1" applyAlignment="1">
      <alignment horizontal="centerContinuous"/>
    </xf>
    <xf numFmtId="0" fontId="7" fillId="0" borderId="1" xfId="0" applyFont="1" applyBorder="1"/>
    <xf numFmtId="0" fontId="7" fillId="0" borderId="2" xfId="0" applyFont="1" applyBorder="1" applyAlignment="1">
      <alignment horizontal="center"/>
    </xf>
    <xf numFmtId="0" fontId="7" fillId="0" borderId="3" xfId="0" applyFont="1" applyBorder="1" applyAlignment="1">
      <alignment horizontal="center"/>
    </xf>
    <xf numFmtId="0" fontId="22" fillId="0" borderId="0" xfId="0" applyFont="1"/>
    <xf numFmtId="0" fontId="23" fillId="0" borderId="0" xfId="0" applyFont="1"/>
    <xf numFmtId="0" fontId="24" fillId="0" borderId="0" xfId="0" applyFont="1"/>
    <xf numFmtId="0" fontId="25" fillId="0" borderId="0" xfId="0" applyFont="1"/>
    <xf numFmtId="38" fontId="7" fillId="0" borderId="0" xfId="6" applyNumberFormat="1" applyFont="1"/>
    <xf numFmtId="41" fontId="7" fillId="0" borderId="0" xfId="2" applyNumberFormat="1" applyFont="1"/>
    <xf numFmtId="41" fontId="30" fillId="0" borderId="4" xfId="2" applyNumberFormat="1" applyFont="1" applyBorder="1"/>
    <xf numFmtId="0" fontId="7" fillId="0" borderId="0" xfId="10" applyFont="1" applyAlignment="1">
      <alignment horizontal="center"/>
    </xf>
    <xf numFmtId="41" fontId="7" fillId="0" borderId="5" xfId="2" applyNumberFormat="1" applyFont="1" applyBorder="1"/>
    <xf numFmtId="9" fontId="7" fillId="0" borderId="0" xfId="13" applyFont="1"/>
    <xf numFmtId="43" fontId="7" fillId="0" borderId="0" xfId="2" applyNumberFormat="1" applyFont="1"/>
    <xf numFmtId="43" fontId="7" fillId="0" borderId="0" xfId="10" applyNumberFormat="1" applyFont="1"/>
    <xf numFmtId="165" fontId="11" fillId="0" borderId="0" xfId="1" applyNumberFormat="1" applyFont="1" applyAlignment="1">
      <alignment vertical="center"/>
    </xf>
    <xf numFmtId="41" fontId="0" fillId="5" borderId="6" xfId="0" applyNumberFormat="1" applyFill="1" applyBorder="1" applyProtection="1">
      <protection locked="0"/>
    </xf>
    <xf numFmtId="38" fontId="7" fillId="0" borderId="7" xfId="6" applyNumberFormat="1" applyFont="1" applyBorder="1"/>
    <xf numFmtId="10" fontId="7" fillId="0" borderId="7" xfId="13" applyNumberFormat="1" applyFont="1" applyBorder="1"/>
    <xf numFmtId="10" fontId="8" fillId="0" borderId="0" xfId="0" applyNumberFormat="1" applyFont="1"/>
    <xf numFmtId="49" fontId="7" fillId="0" borderId="0" xfId="11" applyNumberFormat="1" applyFont="1" applyAlignment="1">
      <alignment vertical="center"/>
    </xf>
    <xf numFmtId="164" fontId="7" fillId="0" borderId="0" xfId="11" applyNumberFormat="1" applyFont="1" applyAlignment="1">
      <alignment vertical="center"/>
    </xf>
    <xf numFmtId="0" fontId="6" fillId="0" borderId="0" xfId="11" applyFont="1" applyAlignment="1">
      <alignment horizontal="centerContinuous" vertical="center"/>
    </xf>
    <xf numFmtId="37" fontId="6" fillId="0" borderId="0" xfId="11" applyNumberFormat="1" applyFont="1" applyAlignment="1">
      <alignment vertical="center"/>
    </xf>
    <xf numFmtId="37" fontId="6" fillId="0" borderId="0" xfId="11" applyNumberFormat="1" applyFont="1" applyAlignment="1">
      <alignment horizontal="center" vertical="center"/>
    </xf>
    <xf numFmtId="164" fontId="7" fillId="0" borderId="0" xfId="11" applyNumberFormat="1" applyFont="1" applyAlignment="1">
      <alignment horizontal="left" vertical="center"/>
    </xf>
    <xf numFmtId="43" fontId="7" fillId="0" borderId="0" xfId="11" applyNumberFormat="1" applyFont="1" applyAlignment="1">
      <alignment horizontal="right" vertical="center"/>
    </xf>
    <xf numFmtId="37" fontId="6" fillId="0" borderId="5" xfId="11" applyNumberFormat="1" applyFont="1" applyBorder="1" applyAlignment="1">
      <alignment vertical="center"/>
    </xf>
    <xf numFmtId="164" fontId="7" fillId="0" borderId="5" xfId="11" applyNumberFormat="1" applyFont="1" applyBorder="1" applyAlignment="1">
      <alignment vertical="center"/>
    </xf>
    <xf numFmtId="164" fontId="7" fillId="0" borderId="5" xfId="11" applyNumberFormat="1" applyFont="1" applyBorder="1" applyAlignment="1">
      <alignment horizontal="left" vertical="center"/>
    </xf>
    <xf numFmtId="37" fontId="6" fillId="0" borderId="8" xfId="11" applyNumberFormat="1" applyFont="1" applyBorder="1" applyAlignment="1">
      <alignment horizontal="left" vertical="center"/>
    </xf>
    <xf numFmtId="49" fontId="7" fillId="0" borderId="9" xfId="11" applyNumberFormat="1" applyFont="1" applyBorder="1" applyAlignment="1">
      <alignment vertical="center"/>
    </xf>
    <xf numFmtId="164" fontId="7" fillId="0" borderId="9" xfId="11" applyNumberFormat="1" applyFont="1" applyBorder="1" applyAlignment="1">
      <alignment vertical="center"/>
    </xf>
    <xf numFmtId="0" fontId="7" fillId="0" borderId="0" xfId="0" applyFont="1" applyAlignment="1" applyProtection="1">
      <alignment horizontal="left"/>
      <protection locked="0"/>
    </xf>
    <xf numFmtId="10" fontId="7" fillId="0" borderId="0" xfId="0" applyNumberFormat="1" applyFont="1" applyProtection="1">
      <protection locked="0"/>
    </xf>
    <xf numFmtId="41" fontId="30" fillId="0" borderId="10" xfId="2" applyNumberFormat="1" applyFont="1" applyBorder="1"/>
    <xf numFmtId="43" fontId="7" fillId="0" borderId="5" xfId="2" applyNumberFormat="1" applyFont="1" applyBorder="1"/>
    <xf numFmtId="10" fontId="7" fillId="0" borderId="7" xfId="6" applyNumberFormat="1" applyFont="1" applyBorder="1"/>
    <xf numFmtId="10" fontId="7" fillId="0" borderId="11" xfId="13" applyNumberFormat="1" applyFont="1" applyBorder="1"/>
    <xf numFmtId="10" fontId="7" fillId="0" borderId="0" xfId="13" applyNumberFormat="1" applyFont="1"/>
    <xf numFmtId="0" fontId="6" fillId="0" borderId="0" xfId="0" applyFont="1" applyAlignment="1">
      <alignment horizontal="center"/>
    </xf>
    <xf numFmtId="0" fontId="7" fillId="0" borderId="12" xfId="0" applyFont="1" applyBorder="1"/>
    <xf numFmtId="0" fontId="7" fillId="0" borderId="13" xfId="0" applyFont="1" applyBorder="1"/>
    <xf numFmtId="43" fontId="7" fillId="0" borderId="14" xfId="10" applyNumberFormat="1" applyFont="1" applyBorder="1" applyAlignment="1">
      <alignment horizontal="center"/>
    </xf>
    <xf numFmtId="43" fontId="7" fillId="0" borderId="15" xfId="10" applyNumberFormat="1" applyFont="1" applyBorder="1" applyAlignment="1">
      <alignment horizontal="center"/>
    </xf>
    <xf numFmtId="41" fontId="7" fillId="0" borderId="16" xfId="10" applyNumberFormat="1" applyFont="1" applyBorder="1"/>
    <xf numFmtId="43" fontId="7" fillId="0" borderId="16" xfId="10" applyNumberFormat="1" applyFont="1" applyBorder="1"/>
    <xf numFmtId="9" fontId="7" fillId="0" borderId="17" xfId="13" applyFont="1" applyBorder="1" applyAlignment="1">
      <alignment horizontal="center"/>
    </xf>
    <xf numFmtId="9" fontId="7" fillId="0" borderId="0" xfId="13" applyFont="1" applyAlignment="1">
      <alignment horizontal="center"/>
    </xf>
    <xf numFmtId="41" fontId="7" fillId="0" borderId="18" xfId="13" applyNumberFormat="1" applyFont="1" applyBorder="1"/>
    <xf numFmtId="9" fontId="7" fillId="0" borderId="17" xfId="13" applyFont="1" applyBorder="1"/>
    <xf numFmtId="9" fontId="7" fillId="0" borderId="19" xfId="13" applyFont="1" applyBorder="1" applyAlignment="1">
      <alignment horizontal="center"/>
    </xf>
    <xf numFmtId="0" fontId="7" fillId="0" borderId="17" xfId="10" applyFont="1" applyBorder="1" applyAlignment="1">
      <alignment horizontal="center"/>
    </xf>
    <xf numFmtId="43" fontId="7" fillId="0" borderId="17" xfId="10" applyNumberFormat="1" applyFont="1" applyBorder="1"/>
    <xf numFmtId="0" fontId="6" fillId="0" borderId="5" xfId="10" applyFont="1" applyBorder="1"/>
    <xf numFmtId="0" fontId="7" fillId="0" borderId="5" xfId="0" applyFont="1" applyBorder="1"/>
    <xf numFmtId="0" fontId="7" fillId="0" borderId="5" xfId="10" applyFont="1" applyBorder="1"/>
    <xf numFmtId="0" fontId="6" fillId="0" borderId="10" xfId="10" applyFont="1" applyBorder="1"/>
    <xf numFmtId="0" fontId="7" fillId="0" borderId="4" xfId="10" applyFont="1" applyBorder="1" applyAlignment="1">
      <alignment horizontal="center"/>
    </xf>
    <xf numFmtId="0" fontId="7" fillId="0" borderId="9" xfId="10" applyFont="1" applyBorder="1" applyAlignment="1">
      <alignment horizontal="center"/>
    </xf>
    <xf numFmtId="41" fontId="7" fillId="0" borderId="8" xfId="2" applyNumberFormat="1" applyFont="1" applyBorder="1"/>
    <xf numFmtId="41" fontId="7" fillId="0" borderId="9" xfId="2" applyNumberFormat="1" applyFont="1" applyBorder="1"/>
    <xf numFmtId="41" fontId="30" fillId="0" borderId="8" xfId="2" applyNumberFormat="1" applyFont="1" applyBorder="1"/>
    <xf numFmtId="41" fontId="30" fillId="0" borderId="9" xfId="2" applyNumberFormat="1" applyFont="1" applyBorder="1"/>
    <xf numFmtId="43" fontId="7" fillId="0" borderId="8" xfId="2" applyNumberFormat="1" applyFont="1" applyBorder="1"/>
    <xf numFmtId="0" fontId="23" fillId="5" borderId="0" xfId="0" applyFont="1" applyFill="1"/>
    <xf numFmtId="0" fontId="22" fillId="5" borderId="0" xfId="0" applyFont="1" applyFill="1"/>
    <xf numFmtId="10" fontId="7" fillId="0" borderId="20" xfId="0" applyNumberFormat="1" applyFont="1" applyBorder="1"/>
    <xf numFmtId="38" fontId="7" fillId="0" borderId="21" xfId="6" applyNumberFormat="1" applyFont="1" applyBorder="1"/>
    <xf numFmtId="0" fontId="6" fillId="0" borderId="0" xfId="0" applyFont="1"/>
    <xf numFmtId="5" fontId="7" fillId="0" borderId="22" xfId="6" applyFont="1" applyBorder="1"/>
    <xf numFmtId="5" fontId="7" fillId="0" borderId="23" xfId="6" applyFont="1" applyBorder="1"/>
    <xf numFmtId="0" fontId="23" fillId="0" borderId="0" xfId="0" applyFont="1" applyAlignment="1">
      <alignment vertical="top" wrapText="1"/>
    </xf>
    <xf numFmtId="0" fontId="23" fillId="0" borderId="0" xfId="0" applyFont="1" applyAlignment="1">
      <alignment horizontal="left" vertical="top" wrapText="1"/>
    </xf>
    <xf numFmtId="37" fontId="6" fillId="0" borderId="24" xfId="11" applyNumberFormat="1" applyFont="1" applyBorder="1" applyAlignment="1">
      <alignment horizontal="center" vertical="center"/>
    </xf>
    <xf numFmtId="37" fontId="6" fillId="0" borderId="0" xfId="11" applyNumberFormat="1" applyFont="1" applyAlignment="1">
      <alignment horizontal="centerContinuous" vertical="center"/>
    </xf>
    <xf numFmtId="0" fontId="0" fillId="0" borderId="0" xfId="0" applyAlignment="1">
      <alignment wrapText="1"/>
    </xf>
    <xf numFmtId="37" fontId="37" fillId="0" borderId="25" xfId="11" applyNumberFormat="1" applyFont="1" applyBorder="1" applyAlignment="1">
      <alignment horizontal="center" vertical="center" wrapText="1"/>
    </xf>
    <xf numFmtId="43" fontId="6" fillId="0" borderId="0" xfId="11" applyNumberFormat="1" applyFont="1" applyAlignment="1">
      <alignment horizontal="centerContinuous" vertical="center"/>
    </xf>
    <xf numFmtId="43" fontId="7" fillId="0" borderId="0" xfId="11" applyNumberFormat="1" applyFont="1" applyAlignment="1">
      <alignment horizontal="left" vertical="center"/>
    </xf>
    <xf numFmtId="43" fontId="0" fillId="0" borderId="0" xfId="0" applyNumberFormat="1"/>
    <xf numFmtId="37" fontId="6" fillId="0" borderId="0" xfId="11" quotePrefix="1" applyNumberFormat="1" applyFont="1" applyAlignment="1">
      <alignment horizontal="center" vertical="center"/>
    </xf>
    <xf numFmtId="10" fontId="7" fillId="6" borderId="11" xfId="13" applyNumberFormat="1" applyFont="1" applyFill="1" applyBorder="1"/>
    <xf numFmtId="10" fontId="7" fillId="0" borderId="26" xfId="13" applyNumberFormat="1" applyFont="1" applyBorder="1"/>
    <xf numFmtId="14" fontId="6" fillId="2" borderId="27" xfId="10" applyNumberFormat="1" applyFont="1" applyFill="1" applyBorder="1" applyProtection="1">
      <protection locked="0"/>
    </xf>
    <xf numFmtId="38" fontId="6" fillId="0" borderId="9" xfId="6" applyNumberFormat="1" applyFont="1" applyBorder="1" applyAlignment="1">
      <alignment horizontal="left"/>
    </xf>
    <xf numFmtId="0" fontId="31" fillId="0" borderId="0" xfId="0" applyFont="1"/>
    <xf numFmtId="0" fontId="1" fillId="0" borderId="0" xfId="12"/>
    <xf numFmtId="0" fontId="23" fillId="0" borderId="0" xfId="0" applyFont="1" applyAlignment="1">
      <alignment vertical="top"/>
    </xf>
    <xf numFmtId="0" fontId="23" fillId="0" borderId="0" xfId="0" applyFont="1" applyAlignment="1">
      <alignment horizontal="right" vertical="top"/>
    </xf>
    <xf numFmtId="0" fontId="6" fillId="0" borderId="9" xfId="0" applyFont="1" applyBorder="1"/>
    <xf numFmtId="0" fontId="6" fillId="0" borderId="18" xfId="11" applyFont="1" applyBorder="1" applyAlignment="1">
      <alignment horizontal="left" vertical="center"/>
    </xf>
    <xf numFmtId="9" fontId="7" fillId="0" borderId="0" xfId="0" applyNumberFormat="1" applyFont="1" applyAlignment="1">
      <alignment horizontal="center" vertical="center"/>
    </xf>
    <xf numFmtId="43" fontId="7" fillId="0" borderId="0" xfId="0" applyNumberFormat="1" applyFont="1" applyAlignment="1">
      <alignment horizontal="center" vertical="center"/>
    </xf>
    <xf numFmtId="0" fontId="7" fillId="0" borderId="0" xfId="11" applyFont="1" applyAlignment="1">
      <alignment vertical="center"/>
    </xf>
    <xf numFmtId="0" fontId="7" fillId="0" borderId="5" xfId="11" applyFont="1" applyBorder="1" applyAlignment="1">
      <alignment vertical="center"/>
    </xf>
    <xf numFmtId="0" fontId="1" fillId="0" borderId="0" xfId="12" applyAlignment="1">
      <alignment horizontal="centerContinuous"/>
    </xf>
    <xf numFmtId="0" fontId="14" fillId="0" borderId="0" xfId="12" applyFont="1" applyAlignment="1">
      <alignment horizontal="centerContinuous"/>
    </xf>
    <xf numFmtId="0" fontId="16" fillId="0" borderId="0" xfId="12" applyFont="1" applyAlignment="1">
      <alignment horizontal="centerContinuous"/>
    </xf>
    <xf numFmtId="0" fontId="14" fillId="0" borderId="0" xfId="12" applyFont="1" applyAlignment="1">
      <alignment horizontal="left"/>
    </xf>
    <xf numFmtId="0" fontId="14" fillId="0" borderId="0" xfId="12" applyFont="1" applyAlignment="1">
      <alignment horizontal="center"/>
    </xf>
    <xf numFmtId="0" fontId="39" fillId="0" borderId="0" xfId="0" applyFont="1"/>
    <xf numFmtId="0" fontId="3" fillId="0" borderId="0" xfId="0" applyFont="1" applyAlignment="1">
      <alignment horizontal="right"/>
    </xf>
    <xf numFmtId="49" fontId="2" fillId="0" borderId="0" xfId="0" applyNumberFormat="1" applyFont="1" applyAlignment="1">
      <alignment horizontal="right"/>
    </xf>
    <xf numFmtId="0" fontId="1" fillId="0" borderId="18" xfId="12" applyBorder="1"/>
    <xf numFmtId="0" fontId="3" fillId="0" borderId="18" xfId="12" applyFont="1" applyBorder="1"/>
    <xf numFmtId="0" fontId="3" fillId="0" borderId="17" xfId="12" applyFont="1" applyBorder="1"/>
    <xf numFmtId="0" fontId="3" fillId="0" borderId="17" xfId="0" applyFont="1" applyBorder="1"/>
    <xf numFmtId="0" fontId="1" fillId="0" borderId="0" xfId="12" applyAlignment="1">
      <alignment horizontal="centerContinuous" vertical="top"/>
    </xf>
    <xf numFmtId="0" fontId="3" fillId="0" borderId="0" xfId="0" applyFont="1" applyAlignment="1">
      <alignment horizontal="centerContinuous" vertical="top"/>
    </xf>
    <xf numFmtId="0" fontId="3" fillId="0" borderId="0" xfId="12" applyFont="1" applyAlignment="1">
      <alignment wrapText="1"/>
    </xf>
    <xf numFmtId="0" fontId="3" fillId="0" borderId="28" xfId="12" applyFont="1" applyBorder="1"/>
    <xf numFmtId="0" fontId="3" fillId="0" borderId="29" xfId="12" applyFont="1" applyBorder="1"/>
    <xf numFmtId="0" fontId="3" fillId="0" borderId="29" xfId="0" applyFont="1" applyBorder="1"/>
    <xf numFmtId="0" fontId="1" fillId="0" borderId="30" xfId="12" applyBorder="1" applyAlignment="1">
      <alignment horizontal="centerContinuous" wrapText="1"/>
    </xf>
    <xf numFmtId="0" fontId="1" fillId="0" borderId="30" xfId="12" applyBorder="1"/>
    <xf numFmtId="0" fontId="1" fillId="0" borderId="0" xfId="12" applyAlignment="1">
      <alignment horizontal="center"/>
    </xf>
    <xf numFmtId="0" fontId="17" fillId="0" borderId="0" xfId="12" applyFont="1"/>
    <xf numFmtId="0" fontId="3" fillId="0" borderId="0" xfId="0" applyFont="1"/>
    <xf numFmtId="0" fontId="3" fillId="0" borderId="30" xfId="12" applyFont="1" applyBorder="1"/>
    <xf numFmtId="0" fontId="3" fillId="0" borderId="30" xfId="0" applyFont="1" applyBorder="1"/>
    <xf numFmtId="0" fontId="12" fillId="0" borderId="0" xfId="0" applyFont="1"/>
    <xf numFmtId="15" fontId="0" fillId="0" borderId="0" xfId="0" applyNumberFormat="1"/>
    <xf numFmtId="0" fontId="1" fillId="0" borderId="0" xfId="0" applyFont="1"/>
    <xf numFmtId="0" fontId="21" fillId="0" borderId="0" xfId="0" applyFont="1"/>
    <xf numFmtId="15" fontId="1" fillId="0" borderId="0" xfId="0" applyNumberFormat="1" applyFont="1"/>
    <xf numFmtId="0" fontId="3" fillId="0" borderId="0" xfId="12" applyFont="1" applyAlignment="1">
      <alignment horizontal="left"/>
    </xf>
    <xf numFmtId="0" fontId="0" fillId="0" borderId="0" xfId="0" applyAlignment="1">
      <alignment horizontal="left"/>
    </xf>
    <xf numFmtId="0" fontId="7" fillId="0" borderId="31" xfId="0" applyFont="1" applyBorder="1"/>
    <xf numFmtId="0" fontId="7" fillId="0" borderId="32" xfId="0" applyFont="1" applyBorder="1" applyAlignment="1">
      <alignment horizontal="left"/>
    </xf>
    <xf numFmtId="0" fontId="7" fillId="0" borderId="31" xfId="0" quotePrefix="1" applyFont="1" applyBorder="1"/>
    <xf numFmtId="9" fontId="7" fillId="0" borderId="32" xfId="13" applyFont="1" applyBorder="1"/>
    <xf numFmtId="9" fontId="7" fillId="0" borderId="31" xfId="13" applyFont="1" applyBorder="1"/>
    <xf numFmtId="0" fontId="0" fillId="0" borderId="31" xfId="0" applyBorder="1"/>
    <xf numFmtId="0" fontId="7" fillId="0" borderId="32" xfId="0" applyFont="1" applyBorder="1"/>
    <xf numFmtId="3" fontId="7" fillId="0" borderId="32" xfId="1" applyNumberFormat="1" applyFont="1" applyBorder="1"/>
    <xf numFmtId="3" fontId="7" fillId="0" borderId="31" xfId="1" applyNumberFormat="1" applyFont="1" applyBorder="1"/>
    <xf numFmtId="3" fontId="7" fillId="0" borderId="31" xfId="1" applyNumberFormat="1" applyFont="1" applyBorder="1" applyAlignment="1">
      <alignment horizontal="right"/>
    </xf>
    <xf numFmtId="0" fontId="7" fillId="0" borderId="32" xfId="0" quotePrefix="1" applyFont="1" applyBorder="1" applyAlignment="1">
      <alignment horizontal="left"/>
    </xf>
    <xf numFmtId="0" fontId="0" fillId="0" borderId="27" xfId="0" applyBorder="1"/>
    <xf numFmtId="0" fontId="7" fillId="0" borderId="30" xfId="0" applyFont="1" applyBorder="1"/>
    <xf numFmtId="9" fontId="7" fillId="0" borderId="32" xfId="13" applyFont="1" applyBorder="1" applyAlignment="1">
      <alignment horizontal="center"/>
    </xf>
    <xf numFmtId="0" fontId="7" fillId="0" borderId="27" xfId="0" applyFont="1" applyBorder="1"/>
    <xf numFmtId="14" fontId="4" fillId="5" borderId="31" xfId="0" applyNumberFormat="1" applyFont="1" applyFill="1" applyBorder="1" applyProtection="1">
      <protection locked="0"/>
    </xf>
    <xf numFmtId="10" fontId="6" fillId="0" borderId="0" xfId="0" applyNumberFormat="1" applyFont="1" applyAlignment="1">
      <alignment horizontal="centerContinuous"/>
    </xf>
    <xf numFmtId="10" fontId="6" fillId="0" borderId="0" xfId="0" applyNumberFormat="1" applyFont="1"/>
    <xf numFmtId="10" fontId="7" fillId="0" borderId="0" xfId="0" applyNumberFormat="1" applyFont="1"/>
    <xf numFmtId="37" fontId="6" fillId="0" borderId="0" xfId="0" applyNumberFormat="1" applyFont="1" applyAlignment="1">
      <alignment horizontal="center"/>
    </xf>
    <xf numFmtId="10" fontId="6" fillId="0" borderId="0" xfId="0" applyNumberFormat="1" applyFont="1" applyAlignment="1">
      <alignment horizontal="center"/>
    </xf>
    <xf numFmtId="10" fontId="6" fillId="0" borderId="0" xfId="0" applyNumberFormat="1" applyFont="1" applyAlignment="1">
      <alignment horizontal="right"/>
    </xf>
    <xf numFmtId="10" fontId="7" fillId="0" borderId="2" xfId="0" applyNumberFormat="1" applyFont="1" applyBorder="1" applyAlignment="1">
      <alignment horizontal="center"/>
    </xf>
    <xf numFmtId="0" fontId="7" fillId="0" borderId="33" xfId="0" applyFont="1" applyBorder="1"/>
    <xf numFmtId="10" fontId="7" fillId="0" borderId="3" xfId="0" applyNumberFormat="1" applyFont="1" applyBorder="1" applyAlignment="1">
      <alignment horizontal="center"/>
    </xf>
    <xf numFmtId="9" fontId="7" fillId="0" borderId="27" xfId="13" applyFont="1" applyBorder="1"/>
    <xf numFmtId="9" fontId="7" fillId="0" borderId="31" xfId="13" applyFont="1" applyBorder="1" applyAlignment="1">
      <alignment horizontal="left"/>
    </xf>
    <xf numFmtId="0" fontId="7" fillId="0" borderId="0" xfId="0" applyFont="1" applyAlignment="1">
      <alignment horizontal="center"/>
    </xf>
    <xf numFmtId="6" fontId="7" fillId="0" borderId="0" xfId="6" applyNumberFormat="1" applyFont="1"/>
    <xf numFmtId="37" fontId="12" fillId="0" borderId="0" xfId="0" applyNumberFormat="1" applyFont="1" applyAlignment="1">
      <alignment horizontal="left"/>
    </xf>
    <xf numFmtId="0" fontId="12" fillId="0" borderId="0" xfId="0" applyFont="1" applyAlignment="1">
      <alignment horizontal="left"/>
    </xf>
    <xf numFmtId="0" fontId="0" fillId="0" borderId="34" xfId="0" applyBorder="1"/>
    <xf numFmtId="0" fontId="0" fillId="0" borderId="35" xfId="0" applyBorder="1"/>
    <xf numFmtId="0" fontId="1" fillId="0" borderId="34" xfId="0" applyFont="1" applyBorder="1"/>
    <xf numFmtId="41" fontId="0" fillId="0" borderId="0" xfId="0" applyNumberFormat="1"/>
    <xf numFmtId="0" fontId="0" fillId="0" borderId="4" xfId="0" applyBorder="1"/>
    <xf numFmtId="43" fontId="6" fillId="0" borderId="0" xfId="10" applyNumberFormat="1" applyFont="1" applyAlignment="1">
      <alignment horizontal="left"/>
    </xf>
    <xf numFmtId="49" fontId="6" fillId="0" borderId="0" xfId="10" applyNumberFormat="1" applyFont="1"/>
    <xf numFmtId="43" fontId="6" fillId="0" borderId="0" xfId="10" applyNumberFormat="1" applyFont="1"/>
    <xf numFmtId="43" fontId="6" fillId="0" borderId="0" xfId="10" applyNumberFormat="1" applyFont="1" applyAlignment="1">
      <alignment horizontal="center"/>
    </xf>
    <xf numFmtId="0" fontId="6" fillId="0" borderId="0" xfId="10" applyFont="1"/>
    <xf numFmtId="49" fontId="6" fillId="0" borderId="0" xfId="10" applyNumberFormat="1" applyFont="1" applyAlignment="1">
      <alignment horizontal="center"/>
    </xf>
    <xf numFmtId="0" fontId="7" fillId="0" borderId="0" xfId="10" applyFont="1"/>
    <xf numFmtId="43" fontId="6" fillId="0" borderId="0" xfId="10" applyNumberFormat="1" applyFont="1" applyAlignment="1">
      <alignment horizontal="right"/>
    </xf>
    <xf numFmtId="14" fontId="6" fillId="0" borderId="0" xfId="10" applyNumberFormat="1" applyFont="1"/>
    <xf numFmtId="43" fontId="7" fillId="0" borderId="17" xfId="10" applyNumberFormat="1" applyFont="1" applyBorder="1" applyAlignment="1">
      <alignment horizontal="center"/>
    </xf>
    <xf numFmtId="0" fontId="7" fillId="0" borderId="5" xfId="10" applyFont="1" applyBorder="1" applyAlignment="1">
      <alignment horizontal="center"/>
    </xf>
    <xf numFmtId="43" fontId="7" fillId="0" borderId="0" xfId="10" applyNumberFormat="1" applyFont="1" applyAlignment="1">
      <alignment horizontal="center"/>
    </xf>
    <xf numFmtId="43" fontId="7" fillId="0" borderId="5" xfId="10" applyNumberFormat="1" applyFont="1" applyBorder="1" applyAlignment="1">
      <alignment horizontal="center"/>
    </xf>
    <xf numFmtId="0" fontId="6" fillId="0" borderId="36" xfId="10" applyFont="1" applyBorder="1"/>
    <xf numFmtId="41" fontId="30" fillId="0" borderId="18" xfId="10" applyNumberFormat="1" applyFont="1" applyBorder="1"/>
    <xf numFmtId="41" fontId="30" fillId="0" borderId="37" xfId="2" applyNumberFormat="1" applyFont="1" applyBorder="1"/>
    <xf numFmtId="43" fontId="7" fillId="0" borderId="9" xfId="2" applyNumberFormat="1" applyFont="1" applyBorder="1"/>
    <xf numFmtId="41" fontId="1" fillId="5" borderId="6" xfId="0" applyNumberFormat="1" applyFont="1" applyFill="1" applyBorder="1" applyProtection="1">
      <protection locked="0"/>
    </xf>
    <xf numFmtId="10" fontId="30" fillId="0" borderId="0" xfId="13" applyNumberFormat="1" applyFont="1"/>
    <xf numFmtId="10" fontId="7" fillId="0" borderId="9" xfId="13" applyNumberFormat="1" applyFont="1" applyBorder="1"/>
    <xf numFmtId="10" fontId="30" fillId="0" borderId="9" xfId="13" applyNumberFormat="1" applyFont="1" applyBorder="1"/>
    <xf numFmtId="10" fontId="30" fillId="0" borderId="4" xfId="13" applyNumberFormat="1" applyFont="1" applyBorder="1"/>
    <xf numFmtId="10" fontId="7" fillId="0" borderId="0" xfId="13" applyNumberFormat="1" applyFont="1" applyAlignment="1">
      <alignment horizontal="center"/>
    </xf>
    <xf numFmtId="0" fontId="1" fillId="5" borderId="4" xfId="0" applyFont="1" applyFill="1" applyBorder="1" applyAlignment="1" applyProtection="1">
      <alignment horizontal="center"/>
      <protection locked="0"/>
    </xf>
    <xf numFmtId="0" fontId="1" fillId="5" borderId="35" xfId="0" applyFont="1" applyFill="1" applyBorder="1" applyAlignment="1" applyProtection="1">
      <alignment horizontal="center"/>
      <protection locked="0"/>
    </xf>
    <xf numFmtId="0" fontId="0" fillId="5" borderId="6" xfId="0" applyFill="1" applyBorder="1" applyAlignment="1" applyProtection="1">
      <alignment horizontal="center"/>
      <protection locked="0"/>
    </xf>
    <xf numFmtId="10" fontId="7" fillId="6" borderId="38" xfId="13" applyNumberFormat="1" applyFont="1" applyFill="1" applyBorder="1"/>
    <xf numFmtId="0" fontId="1" fillId="0" borderId="0" xfId="0" applyFont="1" applyAlignment="1">
      <alignment horizontal="center"/>
    </xf>
    <xf numFmtId="0" fontId="6" fillId="0" borderId="9" xfId="0" applyFont="1" applyBorder="1" applyAlignment="1">
      <alignment horizontal="left"/>
    </xf>
    <xf numFmtId="38" fontId="6" fillId="0" borderId="18" xfId="6" applyNumberFormat="1" applyFont="1" applyBorder="1" applyAlignment="1">
      <alignment horizontal="left"/>
    </xf>
    <xf numFmtId="49" fontId="7" fillId="0" borderId="3" xfId="0" applyNumberFormat="1" applyFont="1" applyBorder="1" applyAlignment="1">
      <alignment horizontal="center"/>
    </xf>
    <xf numFmtId="37" fontId="7" fillId="0" borderId="3" xfId="0" applyNumberFormat="1" applyFont="1" applyBorder="1" applyAlignment="1">
      <alignment horizontal="center"/>
    </xf>
    <xf numFmtId="0" fontId="6" fillId="0" borderId="0" xfId="11" applyFont="1" applyAlignment="1">
      <alignment horizontal="left" vertical="center"/>
    </xf>
    <xf numFmtId="41" fontId="0" fillId="5" borderId="39" xfId="0" applyNumberFormat="1" applyFill="1" applyBorder="1" applyProtection="1">
      <protection locked="0"/>
    </xf>
    <xf numFmtId="41" fontId="1" fillId="5" borderId="39" xfId="0" applyNumberFormat="1" applyFont="1" applyFill="1" applyBorder="1" applyProtection="1">
      <protection locked="0"/>
    </xf>
    <xf numFmtId="41" fontId="0" fillId="5" borderId="40" xfId="0" applyNumberFormat="1" applyFill="1" applyBorder="1" applyProtection="1">
      <protection locked="0"/>
    </xf>
    <xf numFmtId="49" fontId="1" fillId="5" borderId="41" xfId="0" applyNumberFormat="1" applyFont="1" applyFill="1" applyBorder="1" applyAlignment="1" applyProtection="1">
      <alignment horizontal="center" wrapText="1"/>
      <protection locked="0"/>
    </xf>
    <xf numFmtId="0" fontId="6" fillId="0" borderId="2" xfId="0" applyFont="1" applyBorder="1" applyAlignment="1">
      <alignment horizontal="center"/>
    </xf>
    <xf numFmtId="15" fontId="12" fillId="0" borderId="0" xfId="0" applyNumberFormat="1" applyFont="1"/>
    <xf numFmtId="0" fontId="36" fillId="0" borderId="0" xfId="0" applyFont="1" applyAlignment="1">
      <alignment horizontal="left"/>
    </xf>
    <xf numFmtId="0" fontId="3" fillId="0" borderId="42" xfId="12" applyFont="1" applyBorder="1"/>
    <xf numFmtId="43" fontId="6" fillId="0" borderId="9" xfId="10" applyNumberFormat="1" applyFont="1" applyBorder="1" applyAlignment="1">
      <alignment horizontal="center"/>
    </xf>
    <xf numFmtId="0" fontId="7" fillId="0" borderId="31" xfId="1" applyNumberFormat="1" applyFont="1" applyBorder="1" applyAlignment="1">
      <alignment horizontal="center"/>
    </xf>
    <xf numFmtId="43" fontId="7" fillId="0" borderId="43" xfId="10" applyNumberFormat="1" applyFont="1" applyBorder="1" applyAlignment="1">
      <alignment horizontal="center"/>
    </xf>
    <xf numFmtId="0" fontId="49" fillId="0" borderId="0" xfId="8" applyProtection="1">
      <protection locked="0"/>
    </xf>
    <xf numFmtId="0" fontId="1" fillId="0" borderId="17" xfId="12" applyBorder="1"/>
    <xf numFmtId="0" fontId="1" fillId="0" borderId="0" xfId="12" applyAlignment="1">
      <alignment horizontal="right"/>
    </xf>
    <xf numFmtId="0" fontId="1" fillId="5" borderId="27" xfId="12" applyFill="1" applyBorder="1" applyAlignment="1" applyProtection="1">
      <alignment horizontal="center"/>
      <protection locked="0"/>
    </xf>
    <xf numFmtId="0" fontId="9" fillId="0" borderId="0" xfId="0" applyFont="1"/>
    <xf numFmtId="10" fontId="7" fillId="0" borderId="0" xfId="0" applyNumberFormat="1" applyFont="1" applyAlignment="1">
      <alignment horizontal="center"/>
    </xf>
    <xf numFmtId="10" fontId="7" fillId="0" borderId="17" xfId="13" applyNumberFormat="1" applyFont="1" applyBorder="1"/>
    <xf numFmtId="0" fontId="6" fillId="0" borderId="0" xfId="0" applyFont="1" applyAlignment="1">
      <alignment horizontal="left" vertical="top" wrapText="1"/>
    </xf>
    <xf numFmtId="0" fontId="23" fillId="0" borderId="0" xfId="0" applyFont="1" applyAlignment="1">
      <alignment vertical="center"/>
    </xf>
    <xf numFmtId="0" fontId="22" fillId="5" borderId="0" xfId="0" applyFont="1" applyFill="1" applyAlignment="1">
      <alignment vertical="center"/>
    </xf>
    <xf numFmtId="0" fontId="23" fillId="5" borderId="0" xfId="0" applyFont="1" applyFill="1" applyAlignment="1">
      <alignment vertical="center"/>
    </xf>
    <xf numFmtId="37" fontId="37" fillId="0" borderId="44" xfId="11" applyNumberFormat="1" applyFont="1" applyBorder="1" applyAlignment="1">
      <alignment horizontal="center" wrapText="1"/>
    </xf>
    <xf numFmtId="37" fontId="6" fillId="0" borderId="24" xfId="11" applyNumberFormat="1" applyFont="1" applyBorder="1" applyAlignment="1">
      <alignment horizontal="center"/>
    </xf>
    <xf numFmtId="37" fontId="37" fillId="0" borderId="25" xfId="11" applyNumberFormat="1" applyFont="1" applyBorder="1" applyAlignment="1">
      <alignment horizontal="center" wrapText="1"/>
    </xf>
    <xf numFmtId="37" fontId="6" fillId="0" borderId="45" xfId="11" applyNumberFormat="1" applyFont="1" applyBorder="1" applyAlignment="1">
      <alignment horizontal="center"/>
    </xf>
    <xf numFmtId="9" fontId="7" fillId="0" borderId="0" xfId="0" applyNumberFormat="1" applyFont="1" applyAlignment="1">
      <alignment horizontal="center"/>
    </xf>
    <xf numFmtId="0" fontId="7" fillId="0" borderId="9" xfId="0" applyFont="1" applyBorder="1"/>
    <xf numFmtId="164" fontId="7" fillId="0" borderId="19" xfId="11" applyNumberFormat="1" applyFont="1" applyBorder="1" applyAlignment="1">
      <alignment horizontal="left" vertical="center"/>
    </xf>
    <xf numFmtId="0" fontId="0" fillId="0" borderId="5" xfId="0" applyBorder="1"/>
    <xf numFmtId="0" fontId="7" fillId="0" borderId="10" xfId="0" applyFont="1" applyBorder="1"/>
    <xf numFmtId="43" fontId="7" fillId="0" borderId="46" xfId="11" applyNumberFormat="1" applyFont="1" applyBorder="1" applyAlignment="1">
      <alignment horizontal="left" vertical="center"/>
    </xf>
    <xf numFmtId="0" fontId="7" fillId="0" borderId="8" xfId="0" applyFont="1" applyBorder="1"/>
    <xf numFmtId="164" fontId="7" fillId="0" borderId="27" xfId="11" applyNumberFormat="1" applyFont="1" applyBorder="1" applyAlignment="1">
      <alignment horizontal="left" vertical="center"/>
    </xf>
    <xf numFmtId="164" fontId="7" fillId="0" borderId="27" xfId="11" applyNumberFormat="1" applyFont="1" applyBorder="1" applyAlignment="1">
      <alignment vertical="center"/>
    </xf>
    <xf numFmtId="164" fontId="7" fillId="0" borderId="31" xfId="11" applyNumberFormat="1" applyFont="1" applyBorder="1" applyAlignment="1">
      <alignment vertical="center"/>
    </xf>
    <xf numFmtId="164" fontId="7" fillId="0" borderId="47" xfId="11" applyNumberFormat="1" applyFont="1" applyBorder="1" applyAlignment="1">
      <alignment horizontal="center" vertical="center"/>
    </xf>
    <xf numFmtId="0" fontId="7" fillId="0" borderId="32" xfId="11" applyFont="1" applyBorder="1" applyAlignment="1">
      <alignment vertical="center"/>
    </xf>
    <xf numFmtId="164" fontId="7" fillId="0" borderId="31" xfId="11" applyNumberFormat="1" applyFont="1" applyBorder="1" applyAlignment="1">
      <alignment horizontal="left" vertical="center"/>
    </xf>
    <xf numFmtId="43" fontId="7" fillId="5" borderId="31" xfId="11" applyNumberFormat="1" applyFont="1" applyFill="1" applyBorder="1" applyAlignment="1" applyProtection="1">
      <alignment horizontal="left" vertical="center"/>
      <protection locked="0"/>
    </xf>
    <xf numFmtId="43" fontId="7" fillId="5" borderId="48" xfId="11" applyNumberFormat="1" applyFont="1" applyFill="1" applyBorder="1" applyAlignment="1" applyProtection="1">
      <alignment horizontal="left" vertical="center"/>
      <protection locked="0"/>
    </xf>
    <xf numFmtId="10" fontId="7" fillId="0" borderId="49" xfId="11" applyNumberFormat="1" applyFont="1" applyBorder="1" applyAlignment="1">
      <alignment vertical="center"/>
    </xf>
    <xf numFmtId="10" fontId="7" fillId="0" borderId="50" xfId="11" applyNumberFormat="1" applyFont="1" applyBorder="1" applyAlignment="1">
      <alignment vertical="center"/>
    </xf>
    <xf numFmtId="10" fontId="7" fillId="0" borderId="51" xfId="11" applyNumberFormat="1" applyFont="1" applyBorder="1" applyAlignment="1">
      <alignment vertical="center"/>
    </xf>
    <xf numFmtId="43" fontId="7" fillId="0" borderId="31" xfId="11" applyNumberFormat="1" applyFont="1" applyBorder="1" applyAlignment="1">
      <alignment horizontal="left" vertical="center"/>
    </xf>
    <xf numFmtId="43" fontId="7" fillId="0" borderId="50" xfId="11" applyNumberFormat="1" applyFont="1" applyBorder="1" applyAlignment="1">
      <alignment horizontal="left" vertical="center" wrapText="1"/>
    </xf>
    <xf numFmtId="43" fontId="7" fillId="0" borderId="48" xfId="11" applyNumberFormat="1" applyFont="1" applyBorder="1" applyAlignment="1">
      <alignment horizontal="left" vertical="center"/>
    </xf>
    <xf numFmtId="10" fontId="7" fillId="0" borderId="52" xfId="13" applyNumberFormat="1" applyFont="1" applyBorder="1" applyAlignment="1">
      <alignment vertical="center"/>
    </xf>
    <xf numFmtId="0" fontId="0" fillId="0" borderId="9" xfId="0" applyBorder="1"/>
    <xf numFmtId="0" fontId="6" fillId="0" borderId="37" xfId="0" applyFont="1" applyBorder="1" applyAlignment="1">
      <alignment horizontal="left"/>
    </xf>
    <xf numFmtId="49" fontId="7" fillId="0" borderId="5" xfId="11" applyNumberFormat="1" applyFont="1" applyBorder="1" applyAlignment="1">
      <alignment horizontal="center" vertical="center"/>
    </xf>
    <xf numFmtId="38" fontId="6" fillId="0" borderId="19" xfId="6" applyNumberFormat="1" applyFont="1" applyBorder="1" applyAlignment="1">
      <alignment horizontal="left"/>
    </xf>
    <xf numFmtId="0" fontId="6" fillId="0" borderId="19" xfId="11" applyFont="1" applyBorder="1" applyAlignment="1">
      <alignment horizontal="centerContinuous" vertical="center"/>
    </xf>
    <xf numFmtId="37" fontId="6" fillId="0" borderId="19" xfId="11" applyNumberFormat="1" applyFont="1" applyBorder="1" applyAlignment="1">
      <alignment horizontal="center" vertical="center"/>
    </xf>
    <xf numFmtId="9" fontId="7" fillId="0" borderId="4" xfId="0" applyNumberFormat="1" applyFont="1" applyBorder="1" applyAlignment="1">
      <alignment horizontal="center" vertical="center"/>
    </xf>
    <xf numFmtId="43" fontId="7" fillId="0" borderId="4" xfId="0" applyNumberFormat="1" applyFont="1" applyBorder="1" applyAlignment="1">
      <alignment horizontal="center" vertical="center"/>
    </xf>
    <xf numFmtId="9" fontId="7" fillId="0" borderId="4" xfId="0" applyNumberFormat="1" applyFont="1" applyBorder="1" applyAlignment="1">
      <alignment horizontal="center"/>
    </xf>
    <xf numFmtId="0" fontId="7" fillId="0" borderId="4" xfId="0" applyFont="1" applyBorder="1"/>
    <xf numFmtId="0" fontId="7" fillId="0" borderId="53" xfId="0" applyFont="1" applyBorder="1"/>
    <xf numFmtId="5" fontId="7" fillId="0" borderId="0" xfId="6" applyFont="1"/>
    <xf numFmtId="10" fontId="7" fillId="0" borderId="54" xfId="6" applyNumberFormat="1" applyFont="1" applyBorder="1"/>
    <xf numFmtId="38" fontId="7" fillId="3" borderId="54" xfId="6" applyNumberFormat="1" applyFont="1" applyFill="1" applyBorder="1"/>
    <xf numFmtId="10" fontId="7" fillId="0" borderId="54" xfId="13" applyNumberFormat="1" applyFont="1" applyBorder="1"/>
    <xf numFmtId="38" fontId="7" fillId="3" borderId="54" xfId="5" applyNumberFormat="1" applyFont="1" applyFill="1" applyBorder="1"/>
    <xf numFmtId="10" fontId="7" fillId="3" borderId="54" xfId="13" applyNumberFormat="1" applyFont="1" applyFill="1" applyBorder="1"/>
    <xf numFmtId="38" fontId="7" fillId="3" borderId="54" xfId="13" applyNumberFormat="1" applyFont="1" applyFill="1" applyBorder="1"/>
    <xf numFmtId="10" fontId="7" fillId="0" borderId="55" xfId="13" applyNumberFormat="1" applyFont="1" applyBorder="1"/>
    <xf numFmtId="38" fontId="7" fillId="0" borderId="56" xfId="6" applyNumberFormat="1" applyFont="1" applyBorder="1"/>
    <xf numFmtId="0" fontId="7" fillId="0" borderId="54" xfId="0" applyFont="1" applyBorder="1"/>
    <xf numFmtId="0" fontId="7" fillId="0" borderId="54" xfId="0" applyFont="1" applyBorder="1" applyAlignment="1">
      <alignment horizontal="center"/>
    </xf>
    <xf numFmtId="0" fontId="7" fillId="0" borderId="49" xfId="0" applyFont="1" applyBorder="1"/>
    <xf numFmtId="37" fontId="7" fillId="0" borderId="57" xfId="0" applyNumberFormat="1" applyFont="1" applyBorder="1" applyAlignment="1">
      <alignment horizontal="center"/>
    </xf>
    <xf numFmtId="0" fontId="7" fillId="0" borderId="57" xfId="0" applyFont="1" applyBorder="1" applyAlignment="1">
      <alignment horizontal="center"/>
    </xf>
    <xf numFmtId="0" fontId="7" fillId="0" borderId="58" xfId="0" applyFont="1" applyBorder="1" applyAlignment="1">
      <alignment horizontal="center"/>
    </xf>
    <xf numFmtId="9" fontId="7" fillId="0" borderId="5" xfId="13" applyFont="1" applyBorder="1"/>
    <xf numFmtId="3" fontId="7" fillId="0" borderId="5" xfId="1" applyNumberFormat="1" applyFont="1" applyBorder="1"/>
    <xf numFmtId="10" fontId="7" fillId="6" borderId="59" xfId="13" applyNumberFormat="1" applyFont="1" applyFill="1" applyBorder="1"/>
    <xf numFmtId="0" fontId="8" fillId="0" borderId="5" xfId="0" applyFont="1" applyBorder="1"/>
    <xf numFmtId="0" fontId="8" fillId="0" borderId="10" xfId="0" applyFont="1" applyBorder="1"/>
    <xf numFmtId="0" fontId="31" fillId="0" borderId="54" xfId="0" applyFont="1" applyBorder="1" applyAlignment="1">
      <alignment horizontal="center"/>
    </xf>
    <xf numFmtId="0" fontId="31" fillId="0" borderId="54" xfId="0" quotePrefix="1" applyFont="1" applyBorder="1" applyAlignment="1">
      <alignment horizontal="center"/>
    </xf>
    <xf numFmtId="41" fontId="7" fillId="0" borderId="32" xfId="13" applyNumberFormat="1" applyFont="1" applyBorder="1"/>
    <xf numFmtId="41" fontId="7" fillId="0" borderId="32" xfId="0" applyNumberFormat="1" applyFont="1" applyBorder="1"/>
    <xf numFmtId="0" fontId="7" fillId="0" borderId="60" xfId="0" applyFont="1" applyBorder="1"/>
    <xf numFmtId="0" fontId="7" fillId="0" borderId="61" xfId="0" applyFont="1" applyBorder="1"/>
    <xf numFmtId="0" fontId="7" fillId="0" borderId="62" xfId="0" applyFont="1" applyBorder="1" applyAlignment="1">
      <alignment horizontal="center"/>
    </xf>
    <xf numFmtId="0" fontId="7" fillId="0" borderId="0" xfId="6" applyNumberFormat="1" applyFont="1"/>
    <xf numFmtId="10" fontId="7" fillId="0" borderId="63" xfId="6" applyNumberFormat="1" applyFont="1" applyBorder="1"/>
    <xf numFmtId="10" fontId="7" fillId="0" borderId="63" xfId="13" applyNumberFormat="1" applyFont="1" applyBorder="1"/>
    <xf numFmtId="0" fontId="7" fillId="0" borderId="64" xfId="0" applyFont="1" applyBorder="1"/>
    <xf numFmtId="0" fontId="7" fillId="0" borderId="65" xfId="0" applyFont="1" applyBorder="1" applyAlignment="1">
      <alignment horizontal="center"/>
    </xf>
    <xf numFmtId="10" fontId="7" fillId="0" borderId="65" xfId="0" applyNumberFormat="1" applyFont="1" applyBorder="1" applyAlignment="1">
      <alignment horizontal="center"/>
    </xf>
    <xf numFmtId="10" fontId="7" fillId="0" borderId="66" xfId="0" applyNumberFormat="1" applyFont="1" applyBorder="1" applyAlignment="1">
      <alignment horizontal="center"/>
    </xf>
    <xf numFmtId="10" fontId="7" fillId="0" borderId="67" xfId="0" applyNumberFormat="1" applyFont="1" applyBorder="1" applyAlignment="1">
      <alignment horizontal="center"/>
    </xf>
    <xf numFmtId="0" fontId="7" fillId="0" borderId="68" xfId="0" applyFont="1" applyBorder="1"/>
    <xf numFmtId="10" fontId="7" fillId="0" borderId="69" xfId="0" applyNumberFormat="1" applyFont="1" applyBorder="1" applyAlignment="1">
      <alignment horizontal="center"/>
    </xf>
    <xf numFmtId="0" fontId="6" fillId="0" borderId="5" xfId="0" applyFont="1" applyBorder="1"/>
    <xf numFmtId="10" fontId="7" fillId="0" borderId="52" xfId="6" applyNumberFormat="1" applyFont="1" applyBorder="1"/>
    <xf numFmtId="10" fontId="7" fillId="0" borderId="52" xfId="13" applyNumberFormat="1" applyFont="1" applyBorder="1"/>
    <xf numFmtId="10" fontId="7" fillId="3" borderId="52" xfId="13" applyNumberFormat="1" applyFont="1" applyFill="1" applyBorder="1"/>
    <xf numFmtId="0" fontId="7" fillId="0" borderId="70" xfId="0" applyFont="1" applyBorder="1" applyAlignment="1">
      <alignment horizontal="center"/>
    </xf>
    <xf numFmtId="10" fontId="7" fillId="0" borderId="71" xfId="13" applyNumberFormat="1" applyFont="1" applyBorder="1"/>
    <xf numFmtId="10" fontId="7" fillId="0" borderId="72" xfId="13" applyNumberFormat="1" applyFont="1" applyBorder="1"/>
    <xf numFmtId="10" fontId="7" fillId="0" borderId="19" xfId="13" applyNumberFormat="1" applyFont="1" applyBorder="1"/>
    <xf numFmtId="10" fontId="7" fillId="0" borderId="73" xfId="13" applyNumberFormat="1" applyFont="1" applyBorder="1"/>
    <xf numFmtId="0" fontId="7" fillId="0" borderId="74" xfId="0" applyFont="1" applyBorder="1"/>
    <xf numFmtId="0" fontId="7" fillId="0" borderId="21" xfId="0" applyFont="1" applyBorder="1"/>
    <xf numFmtId="0" fontId="7" fillId="0" borderId="75" xfId="0" applyFont="1" applyBorder="1" applyAlignment="1">
      <alignment horizontal="center"/>
    </xf>
    <xf numFmtId="38" fontId="7" fillId="7" borderId="76" xfId="6" applyNumberFormat="1" applyFont="1" applyFill="1" applyBorder="1"/>
    <xf numFmtId="38" fontId="7" fillId="3" borderId="7" xfId="6" applyNumberFormat="1" applyFont="1" applyFill="1" applyBorder="1"/>
    <xf numFmtId="38" fontId="7" fillId="3" borderId="71" xfId="6" applyNumberFormat="1" applyFont="1" applyFill="1" applyBorder="1"/>
    <xf numFmtId="10" fontId="7" fillId="6" borderId="26" xfId="13" applyNumberFormat="1" applyFont="1" applyFill="1" applyBorder="1"/>
    <xf numFmtId="38" fontId="7" fillId="3" borderId="26" xfId="6" applyNumberFormat="1" applyFont="1" applyFill="1" applyBorder="1"/>
    <xf numFmtId="38" fontId="7" fillId="3" borderId="72" xfId="6" applyNumberFormat="1" applyFont="1" applyFill="1" applyBorder="1"/>
    <xf numFmtId="0" fontId="29" fillId="0" borderId="5" xfId="0" applyFont="1" applyBorder="1"/>
    <xf numFmtId="10" fontId="7" fillId="0" borderId="77" xfId="13" applyNumberFormat="1" applyFont="1" applyBorder="1"/>
    <xf numFmtId="0" fontId="7" fillId="8" borderId="5" xfId="0" applyFont="1" applyFill="1" applyBorder="1"/>
    <xf numFmtId="172" fontId="7" fillId="7" borderId="76" xfId="6" applyNumberFormat="1" applyFont="1" applyFill="1" applyBorder="1"/>
    <xf numFmtId="172" fontId="7" fillId="7" borderId="7" xfId="6" applyNumberFormat="1" applyFont="1" applyFill="1" applyBorder="1"/>
    <xf numFmtId="38" fontId="7" fillId="7" borderId="7" xfId="6" applyNumberFormat="1" applyFont="1" applyFill="1" applyBorder="1"/>
    <xf numFmtId="172" fontId="7" fillId="0" borderId="7" xfId="6" applyNumberFormat="1" applyFont="1" applyBorder="1"/>
    <xf numFmtId="38" fontId="7" fillId="0" borderId="71" xfId="6" applyNumberFormat="1" applyFont="1" applyBorder="1"/>
    <xf numFmtId="0" fontId="9" fillId="0" borderId="5" xfId="0" applyFont="1" applyBorder="1"/>
    <xf numFmtId="9" fontId="7" fillId="0" borderId="30" xfId="13" applyFont="1" applyBorder="1"/>
    <xf numFmtId="10" fontId="7" fillId="0" borderId="78" xfId="0" applyNumberFormat="1" applyFont="1" applyBorder="1"/>
    <xf numFmtId="10" fontId="7" fillId="0" borderId="79" xfId="0" applyNumberFormat="1" applyFont="1" applyBorder="1"/>
    <xf numFmtId="10" fontId="7" fillId="0" borderId="80" xfId="0" applyNumberFormat="1" applyFont="1" applyBorder="1"/>
    <xf numFmtId="0" fontId="7" fillId="0" borderId="81" xfId="0" applyFont="1" applyBorder="1"/>
    <xf numFmtId="166" fontId="7" fillId="0" borderId="31" xfId="0" applyNumberFormat="1" applyFont="1" applyBorder="1"/>
    <xf numFmtId="38" fontId="7" fillId="0" borderId="31" xfId="6" applyNumberFormat="1" applyFont="1" applyBorder="1"/>
    <xf numFmtId="38" fontId="7" fillId="0" borderId="31" xfId="5" applyNumberFormat="1" applyFont="1" applyBorder="1"/>
    <xf numFmtId="10" fontId="7" fillId="0" borderId="31" xfId="13" applyNumberFormat="1" applyFont="1" applyBorder="1"/>
    <xf numFmtId="10" fontId="7" fillId="0" borderId="51" xfId="13" applyNumberFormat="1" applyFont="1" applyBorder="1"/>
    <xf numFmtId="0" fontId="7" fillId="0" borderId="23" xfId="0" applyFont="1" applyBorder="1"/>
    <xf numFmtId="0" fontId="7" fillId="0" borderId="23" xfId="0" applyFont="1" applyBorder="1" applyAlignment="1">
      <alignment horizontal="center"/>
    </xf>
    <xf numFmtId="0" fontId="7" fillId="0" borderId="27" xfId="0" applyFont="1" applyBorder="1" applyAlignment="1">
      <alignment horizontal="center"/>
    </xf>
    <xf numFmtId="0" fontId="7" fillId="0" borderId="32" xfId="0" applyFont="1" applyBorder="1" applyAlignment="1">
      <alignment horizontal="center"/>
    </xf>
    <xf numFmtId="0" fontId="7" fillId="0" borderId="31" xfId="0" applyFont="1" applyBorder="1" applyAlignment="1">
      <alignment horizontal="center"/>
    </xf>
    <xf numFmtId="0" fontId="31" fillId="0" borderId="32" xfId="0" applyFont="1" applyBorder="1"/>
    <xf numFmtId="0" fontId="31" fillId="0" borderId="49" xfId="0" applyFont="1" applyBorder="1"/>
    <xf numFmtId="0" fontId="29" fillId="0" borderId="49" xfId="0" applyFont="1" applyBorder="1"/>
    <xf numFmtId="0" fontId="27" fillId="0" borderId="32" xfId="0" applyFont="1" applyBorder="1"/>
    <xf numFmtId="9" fontId="7" fillId="0" borderId="32" xfId="13" applyFont="1" applyBorder="1" applyAlignment="1">
      <alignment horizontal="left"/>
    </xf>
    <xf numFmtId="10" fontId="7" fillId="6" borderId="52" xfId="6" applyNumberFormat="1" applyFont="1" applyFill="1" applyBorder="1"/>
    <xf numFmtId="0" fontId="29" fillId="0" borderId="31" xfId="0" applyFont="1" applyBorder="1"/>
    <xf numFmtId="0" fontId="31" fillId="0" borderId="30" xfId="0" applyFont="1" applyBorder="1" applyAlignment="1">
      <alignment horizontal="center"/>
    </xf>
    <xf numFmtId="5" fontId="7" fillId="0" borderId="30" xfId="6" applyFont="1" applyBorder="1"/>
    <xf numFmtId="5" fontId="7" fillId="0" borderId="61" xfId="6" applyFont="1" applyBorder="1"/>
    <xf numFmtId="5" fontId="7" fillId="6" borderId="54" xfId="6" applyFont="1" applyFill="1" applyBorder="1"/>
    <xf numFmtId="10" fontId="7" fillId="6" borderId="77" xfId="13" applyNumberFormat="1" applyFont="1" applyFill="1" applyBorder="1"/>
    <xf numFmtId="172" fontId="7" fillId="6" borderId="76" xfId="6" applyNumberFormat="1" applyFont="1" applyFill="1" applyBorder="1"/>
    <xf numFmtId="38" fontId="7" fillId="6" borderId="71" xfId="6" applyNumberFormat="1" applyFont="1" applyFill="1" applyBorder="1"/>
    <xf numFmtId="9" fontId="7" fillId="0" borderId="30" xfId="13" applyFont="1" applyBorder="1" applyAlignment="1">
      <alignment horizontal="left"/>
    </xf>
    <xf numFmtId="0" fontId="7" fillId="0" borderId="17" xfId="0" applyFont="1" applyBorder="1" applyAlignment="1">
      <alignment horizontal="left"/>
    </xf>
    <xf numFmtId="6" fontId="7" fillId="0" borderId="17" xfId="6" applyNumberFormat="1" applyFont="1" applyBorder="1"/>
    <xf numFmtId="9" fontId="42" fillId="0" borderId="0" xfId="13" applyFont="1" applyAlignment="1">
      <alignment horizontal="left"/>
    </xf>
    <xf numFmtId="166" fontId="7" fillId="0" borderId="61" xfId="0" applyNumberFormat="1" applyFont="1" applyBorder="1"/>
    <xf numFmtId="10" fontId="7" fillId="0" borderId="71" xfId="6" applyNumberFormat="1" applyFont="1" applyBorder="1"/>
    <xf numFmtId="5" fontId="7" fillId="0" borderId="21" xfId="6" applyFont="1" applyBorder="1"/>
    <xf numFmtId="0" fontId="0" fillId="0" borderId="0" xfId="0" applyAlignment="1">
      <alignment horizontal="left" wrapText="1"/>
    </xf>
    <xf numFmtId="0" fontId="7" fillId="0" borderId="17" xfId="10" applyFont="1" applyBorder="1"/>
    <xf numFmtId="0" fontId="6" fillId="0" borderId="4" xfId="10" applyFont="1" applyBorder="1"/>
    <xf numFmtId="0" fontId="7" fillId="0" borderId="9" xfId="10" applyFont="1" applyBorder="1"/>
    <xf numFmtId="0" fontId="6" fillId="0" borderId="9" xfId="10" applyFont="1" applyBorder="1"/>
    <xf numFmtId="9" fontId="7" fillId="0" borderId="32" xfId="13" applyFont="1" applyBorder="1" applyAlignment="1">
      <alignment horizontal="right"/>
    </xf>
    <xf numFmtId="0" fontId="7" fillId="0" borderId="27" xfId="10" applyFont="1" applyBorder="1" applyAlignment="1">
      <alignment horizontal="center"/>
    </xf>
    <xf numFmtId="43" fontId="7" fillId="0" borderId="82" xfId="2" applyNumberFormat="1" applyFont="1" applyBorder="1"/>
    <xf numFmtId="43" fontId="7" fillId="0" borderId="27" xfId="10" applyNumberFormat="1" applyFont="1" applyBorder="1"/>
    <xf numFmtId="0" fontId="7" fillId="0" borderId="31" xfId="10" applyFont="1" applyBorder="1" applyAlignment="1">
      <alignment horizontal="center"/>
    </xf>
    <xf numFmtId="41" fontId="7" fillId="2" borderId="83" xfId="2" applyNumberFormat="1" applyFont="1" applyFill="1" applyBorder="1" applyProtection="1">
      <protection locked="0"/>
    </xf>
    <xf numFmtId="41" fontId="7" fillId="2" borderId="31" xfId="2" applyNumberFormat="1" applyFont="1" applyFill="1" applyBorder="1" applyProtection="1">
      <protection locked="0"/>
    </xf>
    <xf numFmtId="41" fontId="30" fillId="0" borderId="47" xfId="10" applyNumberFormat="1" applyFont="1" applyBorder="1"/>
    <xf numFmtId="41" fontId="30" fillId="0" borderId="47" xfId="10" applyNumberFormat="1" applyFont="1" applyBorder="1" applyAlignment="1">
      <alignment horizontal="center"/>
    </xf>
    <xf numFmtId="41" fontId="7" fillId="0" borderId="83" xfId="2" applyNumberFormat="1" applyFont="1" applyBorder="1"/>
    <xf numFmtId="0" fontId="6" fillId="0" borderId="84" xfId="10" applyFont="1" applyBorder="1"/>
    <xf numFmtId="0" fontId="7" fillId="0" borderId="84" xfId="10" applyFont="1" applyBorder="1" applyAlignment="1">
      <alignment horizontal="center"/>
    </xf>
    <xf numFmtId="10" fontId="30" fillId="0" borderId="84" xfId="13" applyNumberFormat="1" applyFont="1" applyBorder="1"/>
    <xf numFmtId="43" fontId="7" fillId="0" borderId="83" xfId="2" applyNumberFormat="1" applyFont="1" applyBorder="1"/>
    <xf numFmtId="9" fontId="30" fillId="0" borderId="31" xfId="13" applyFont="1" applyBorder="1"/>
    <xf numFmtId="41" fontId="30" fillId="0" borderId="51" xfId="10" applyNumberFormat="1" applyFont="1" applyBorder="1"/>
    <xf numFmtId="10" fontId="7" fillId="0" borderId="84" xfId="13" applyNumberFormat="1" applyFont="1" applyBorder="1"/>
    <xf numFmtId="41" fontId="30" fillId="0" borderId="85" xfId="10" applyNumberFormat="1" applyFont="1" applyBorder="1"/>
    <xf numFmtId="41" fontId="7" fillId="2" borderId="32" xfId="2" applyNumberFormat="1" applyFont="1" applyFill="1" applyBorder="1" applyProtection="1">
      <protection locked="0"/>
    </xf>
    <xf numFmtId="41" fontId="7" fillId="0" borderId="32" xfId="2" applyNumberFormat="1" applyFont="1" applyBorder="1"/>
    <xf numFmtId="41" fontId="7" fillId="0" borderId="86" xfId="2" applyNumberFormat="1" applyFont="1" applyBorder="1"/>
    <xf numFmtId="43" fontId="7" fillId="0" borderId="86" xfId="2" applyNumberFormat="1" applyFont="1" applyBorder="1"/>
    <xf numFmtId="41" fontId="30" fillId="0" borderId="87" xfId="2" applyNumberFormat="1" applyFont="1" applyBorder="1"/>
    <xf numFmtId="0" fontId="7" fillId="0" borderId="31" xfId="10" quotePrefix="1" applyFont="1" applyBorder="1" applyAlignment="1">
      <alignment horizontal="center"/>
    </xf>
    <xf numFmtId="0" fontId="7" fillId="0" borderId="31" xfId="10" applyFont="1" applyBorder="1"/>
    <xf numFmtId="41" fontId="7" fillId="4" borderId="83" xfId="13" applyNumberFormat="1" applyFont="1" applyFill="1" applyBorder="1" applyProtection="1">
      <protection locked="0"/>
    </xf>
    <xf numFmtId="41" fontId="7" fillId="4" borderId="32" xfId="13" applyNumberFormat="1" applyFont="1" applyFill="1" applyBorder="1" applyProtection="1">
      <protection locked="0"/>
    </xf>
    <xf numFmtId="41" fontId="7" fillId="0" borderId="47" xfId="2" applyNumberFormat="1" applyFont="1" applyBorder="1"/>
    <xf numFmtId="0" fontId="6" fillId="0" borderId="83" xfId="10" applyFont="1" applyBorder="1"/>
    <xf numFmtId="0" fontId="6" fillId="0" borderId="31" xfId="10" applyFont="1" applyBorder="1"/>
    <xf numFmtId="0" fontId="7" fillId="0" borderId="8" xfId="10" applyFont="1" applyBorder="1" applyAlignment="1">
      <alignment horizontal="center"/>
    </xf>
    <xf numFmtId="9" fontId="7" fillId="0" borderId="9" xfId="13" applyFont="1" applyBorder="1" applyAlignment="1">
      <alignment horizontal="center"/>
    </xf>
    <xf numFmtId="0" fontId="7" fillId="0" borderId="88" xfId="10" applyFont="1" applyBorder="1"/>
    <xf numFmtId="0" fontId="7" fillId="0" borderId="89" xfId="0" applyFont="1" applyBorder="1"/>
    <xf numFmtId="0" fontId="7" fillId="0" borderId="83" xfId="0" applyFont="1" applyBorder="1"/>
    <xf numFmtId="0" fontId="7" fillId="0" borderId="8" xfId="10" applyFont="1" applyBorder="1"/>
    <xf numFmtId="0" fontId="7" fillId="0" borderId="90" xfId="0" applyFont="1" applyBorder="1"/>
    <xf numFmtId="0" fontId="6" fillId="0" borderId="8" xfId="10" applyFont="1" applyBorder="1"/>
    <xf numFmtId="0" fontId="7" fillId="0" borderId="91" xfId="0" applyFont="1" applyBorder="1"/>
    <xf numFmtId="0" fontId="7" fillId="0" borderId="83" xfId="10" applyFont="1" applyBorder="1"/>
    <xf numFmtId="0" fontId="7" fillId="0" borderId="18" xfId="10" applyFont="1" applyBorder="1" applyAlignment="1">
      <alignment horizontal="right"/>
    </xf>
    <xf numFmtId="0" fontId="11" fillId="0" borderId="18" xfId="11" applyFont="1" applyBorder="1" applyAlignment="1">
      <alignment vertical="center"/>
    </xf>
    <xf numFmtId="0" fontId="6" fillId="0" borderId="8" xfId="11" applyFont="1" applyBorder="1" applyAlignment="1">
      <alignment vertical="center"/>
    </xf>
    <xf numFmtId="0" fontId="7" fillId="0" borderId="9" xfId="11" applyFont="1" applyBorder="1" applyAlignment="1">
      <alignment vertical="center"/>
    </xf>
    <xf numFmtId="37" fontId="34" fillId="0" borderId="39" xfId="11" applyNumberFormat="1" applyFont="1" applyBorder="1" applyAlignment="1">
      <alignment vertical="center"/>
    </xf>
    <xf numFmtId="37" fontId="34" fillId="0" borderId="35" xfId="11" applyNumberFormat="1" applyFont="1" applyBorder="1" applyAlignment="1">
      <alignment vertical="center"/>
    </xf>
    <xf numFmtId="37" fontId="6" fillId="0" borderId="35" xfId="11" applyNumberFormat="1" applyFont="1" applyBorder="1" applyAlignment="1">
      <alignment vertical="center"/>
    </xf>
    <xf numFmtId="37" fontId="6" fillId="0" borderId="35" xfId="11" applyNumberFormat="1" applyFont="1" applyBorder="1" applyAlignment="1">
      <alignment horizontal="left" vertical="center"/>
    </xf>
    <xf numFmtId="37" fontId="34" fillId="0" borderId="8" xfId="11" applyNumberFormat="1" applyFont="1" applyBorder="1" applyAlignment="1">
      <alignment vertical="center"/>
    </xf>
    <xf numFmtId="37" fontId="34" fillId="0" borderId="9" xfId="11" applyNumberFormat="1" applyFont="1" applyBorder="1" applyAlignment="1">
      <alignment vertical="center"/>
    </xf>
    <xf numFmtId="37" fontId="6" fillId="0" borderId="9" xfId="11" applyNumberFormat="1" applyFont="1" applyBorder="1" applyAlignment="1">
      <alignment vertical="center"/>
    </xf>
    <xf numFmtId="37" fontId="6" fillId="0" borderId="9" xfId="11" applyNumberFormat="1" applyFont="1" applyBorder="1" applyAlignment="1">
      <alignment horizontal="left" vertical="center"/>
    </xf>
    <xf numFmtId="37" fontId="6" fillId="0" borderId="92" xfId="11" applyNumberFormat="1" applyFont="1" applyBorder="1" applyAlignment="1">
      <alignment horizontal="center" vertical="center"/>
    </xf>
    <xf numFmtId="43" fontId="6" fillId="0" borderId="93" xfId="11" applyNumberFormat="1" applyFont="1" applyBorder="1" applyAlignment="1">
      <alignment horizontal="center" vertical="center"/>
    </xf>
    <xf numFmtId="37" fontId="6" fillId="0" borderId="94" xfId="11" applyNumberFormat="1" applyFont="1" applyBorder="1" applyAlignment="1">
      <alignment horizontal="center" vertical="center"/>
    </xf>
    <xf numFmtId="43" fontId="7" fillId="0" borderId="95" xfId="11" applyNumberFormat="1" applyFont="1" applyBorder="1" applyAlignment="1">
      <alignment horizontal="left" vertical="center"/>
    </xf>
    <xf numFmtId="0" fontId="6" fillId="0" borderId="96" xfId="0" applyFont="1" applyBorder="1" applyAlignment="1">
      <alignment horizontal="center" wrapText="1"/>
    </xf>
    <xf numFmtId="0" fontId="6" fillId="0" borderId="97" xfId="0" applyFont="1" applyBorder="1" applyAlignment="1">
      <alignment horizontal="center"/>
    </xf>
    <xf numFmtId="0" fontId="6" fillId="0" borderId="98" xfId="0" applyFont="1" applyBorder="1" applyAlignment="1">
      <alignment horizontal="center" wrapText="1"/>
    </xf>
    <xf numFmtId="0" fontId="6" fillId="0" borderId="99" xfId="0" applyFont="1" applyBorder="1" applyAlignment="1">
      <alignment horizontal="center" wrapText="1"/>
    </xf>
    <xf numFmtId="37" fontId="6" fillId="0" borderId="100" xfId="11" applyNumberFormat="1" applyFont="1" applyBorder="1" applyAlignment="1">
      <alignment horizontal="center" vertical="center"/>
    </xf>
    <xf numFmtId="37" fontId="6" fillId="0" borderId="63" xfId="11" applyNumberFormat="1" applyFont="1" applyBorder="1" applyAlignment="1">
      <alignment horizontal="center" vertical="center"/>
    </xf>
    <xf numFmtId="10" fontId="7" fillId="0" borderId="52" xfId="11" applyNumberFormat="1" applyFont="1" applyBorder="1" applyAlignment="1">
      <alignment vertical="center"/>
    </xf>
    <xf numFmtId="164" fontId="7" fillId="0" borderId="30" xfId="11" applyNumberFormat="1" applyFont="1" applyBorder="1" applyAlignment="1">
      <alignment vertical="center"/>
    </xf>
    <xf numFmtId="0" fontId="11" fillId="0" borderId="27" xfId="11" applyFont="1" applyBorder="1" applyAlignment="1">
      <alignment vertical="center"/>
    </xf>
    <xf numFmtId="164" fontId="7" fillId="0" borderId="101" xfId="11" applyNumberFormat="1" applyFont="1" applyBorder="1" applyAlignment="1">
      <alignment horizontal="left" vertical="center"/>
    </xf>
    <xf numFmtId="43" fontId="7" fillId="0" borderId="27" xfId="11" applyNumberFormat="1" applyFont="1" applyBorder="1" applyAlignment="1">
      <alignment horizontal="left" vertical="center"/>
    </xf>
    <xf numFmtId="0" fontId="7" fillId="0" borderId="102" xfId="0" applyFont="1" applyBorder="1"/>
    <xf numFmtId="164" fontId="7" fillId="0" borderId="102" xfId="11" applyNumberFormat="1" applyFont="1" applyBorder="1" applyAlignment="1">
      <alignment vertical="center"/>
    </xf>
    <xf numFmtId="10" fontId="7" fillId="0" borderId="103" xfId="11" applyNumberFormat="1" applyFont="1" applyBorder="1" applyAlignment="1">
      <alignment vertical="center"/>
    </xf>
    <xf numFmtId="43" fontId="7" fillId="0" borderId="54" xfId="11" applyNumberFormat="1" applyFont="1" applyBorder="1" applyAlignment="1">
      <alignment horizontal="left" vertical="center" wrapText="1"/>
    </xf>
    <xf numFmtId="37" fontId="6" fillId="0" borderId="100" xfId="11" applyNumberFormat="1" applyFont="1" applyBorder="1" applyAlignment="1">
      <alignment horizontal="center"/>
    </xf>
    <xf numFmtId="37" fontId="6" fillId="0" borderId="94" xfId="11" applyNumberFormat="1" applyFont="1" applyBorder="1" applyAlignment="1">
      <alignment horizontal="center"/>
    </xf>
    <xf numFmtId="37" fontId="6" fillId="0" borderId="63" xfId="11" applyNumberFormat="1" applyFont="1" applyBorder="1" applyAlignment="1">
      <alignment horizontal="center"/>
    </xf>
    <xf numFmtId="37" fontId="6" fillId="0" borderId="104" xfId="11" applyNumberFormat="1" applyFont="1" applyBorder="1" applyAlignment="1">
      <alignment horizontal="center"/>
    </xf>
    <xf numFmtId="37" fontId="6" fillId="9" borderId="63" xfId="11" applyNumberFormat="1" applyFont="1" applyFill="1" applyBorder="1" applyAlignment="1">
      <alignment horizontal="center"/>
    </xf>
    <xf numFmtId="0" fontId="11" fillId="0" borderId="9" xfId="11" applyFont="1" applyBorder="1" applyAlignment="1">
      <alignment vertical="center"/>
    </xf>
    <xf numFmtId="0" fontId="11" fillId="0" borderId="37" xfId="11" applyFont="1" applyBorder="1" applyAlignment="1">
      <alignment vertical="center"/>
    </xf>
    <xf numFmtId="49" fontId="6" fillId="0" borderId="5" xfId="11" applyNumberFormat="1" applyFont="1" applyBorder="1" applyAlignment="1">
      <alignment horizontal="center" vertical="center"/>
    </xf>
    <xf numFmtId="0" fontId="11" fillId="0" borderId="19" xfId="11" applyFont="1" applyBorder="1" applyAlignment="1">
      <alignment vertical="center"/>
    </xf>
    <xf numFmtId="0" fontId="10" fillId="0" borderId="19" xfId="11" applyFont="1" applyBorder="1" applyAlignment="1">
      <alignment vertical="center"/>
    </xf>
    <xf numFmtId="10" fontId="6" fillId="0" borderId="2" xfId="0" applyNumberFormat="1" applyFont="1" applyBorder="1" applyAlignment="1">
      <alignment horizontal="center"/>
    </xf>
    <xf numFmtId="0" fontId="0" fillId="0" borderId="105" xfId="0" applyBorder="1"/>
    <xf numFmtId="5" fontId="7" fillId="0" borderId="27" xfId="6" applyFont="1" applyBorder="1"/>
    <xf numFmtId="0" fontId="0" fillId="0" borderId="22" xfId="0" applyBorder="1"/>
    <xf numFmtId="10" fontId="7" fillId="0" borderId="30" xfId="0" applyNumberFormat="1" applyFont="1" applyBorder="1"/>
    <xf numFmtId="172" fontId="7" fillId="7" borderId="106" xfId="6" applyNumberFormat="1" applyFont="1" applyFill="1" applyBorder="1"/>
    <xf numFmtId="172" fontId="7" fillId="0" borderId="106" xfId="6" applyNumberFormat="1" applyFont="1" applyBorder="1"/>
    <xf numFmtId="0" fontId="7" fillId="0" borderId="66" xfId="0" applyFont="1" applyBorder="1" applyAlignment="1">
      <alignment horizontal="center"/>
    </xf>
    <xf numFmtId="0" fontId="7" fillId="0" borderId="67" xfId="0" applyFont="1" applyBorder="1" applyAlignment="1">
      <alignment horizontal="center"/>
    </xf>
    <xf numFmtId="0" fontId="7" fillId="0" borderId="69" xfId="0" applyFont="1" applyBorder="1" applyAlignment="1">
      <alignment horizontal="center"/>
    </xf>
    <xf numFmtId="0" fontId="0" fillId="0" borderId="107" xfId="0" applyBorder="1"/>
    <xf numFmtId="0" fontId="0" fillId="0" borderId="101" xfId="0" applyBorder="1"/>
    <xf numFmtId="0" fontId="7" fillId="6" borderId="32" xfId="0" applyFont="1" applyFill="1" applyBorder="1"/>
    <xf numFmtId="0" fontId="7" fillId="6" borderId="49" xfId="0" applyFont="1" applyFill="1" applyBorder="1"/>
    <xf numFmtId="0" fontId="7" fillId="6" borderId="32" xfId="0" applyFont="1" applyFill="1" applyBorder="1" applyAlignment="1">
      <alignment horizontal="center"/>
    </xf>
    <xf numFmtId="10" fontId="7" fillId="6" borderId="54" xfId="13" applyNumberFormat="1" applyFont="1" applyFill="1" applyBorder="1"/>
    <xf numFmtId="38" fontId="7" fillId="6" borderId="52" xfId="6" applyNumberFormat="1" applyFont="1" applyFill="1" applyBorder="1"/>
    <xf numFmtId="0" fontId="0" fillId="0" borderId="19" xfId="0" applyBorder="1"/>
    <xf numFmtId="38" fontId="7" fillId="6" borderId="7" xfId="6" applyNumberFormat="1" applyFont="1" applyFill="1" applyBorder="1"/>
    <xf numFmtId="38" fontId="7" fillId="6" borderId="108" xfId="6" applyNumberFormat="1" applyFont="1" applyFill="1" applyBorder="1"/>
    <xf numFmtId="6" fontId="7" fillId="0" borderId="19" xfId="6" applyNumberFormat="1" applyFont="1" applyBorder="1"/>
    <xf numFmtId="0" fontId="0" fillId="0" borderId="109" xfId="0" applyBorder="1"/>
    <xf numFmtId="0" fontId="31" fillId="6" borderId="32" xfId="0" applyFont="1" applyFill="1" applyBorder="1"/>
    <xf numFmtId="0" fontId="29" fillId="6" borderId="49" xfId="0" applyFont="1" applyFill="1" applyBorder="1"/>
    <xf numFmtId="0" fontId="31" fillId="6" borderId="54" xfId="0" applyFont="1" applyFill="1" applyBorder="1" applyAlignment="1">
      <alignment horizontal="center"/>
    </xf>
    <xf numFmtId="0" fontId="31" fillId="0" borderId="27" xfId="0" applyFont="1" applyBorder="1"/>
    <xf numFmtId="0" fontId="31" fillId="0" borderId="27" xfId="0" applyFont="1" applyBorder="1" applyAlignment="1">
      <alignment horizontal="center"/>
    </xf>
    <xf numFmtId="6" fontId="7" fillId="0" borderId="27" xfId="6" applyNumberFormat="1" applyFont="1" applyBorder="1"/>
    <xf numFmtId="0" fontId="7" fillId="0" borderId="27" xfId="6" applyNumberFormat="1" applyFont="1" applyBorder="1"/>
    <xf numFmtId="10" fontId="7" fillId="0" borderId="27" xfId="13" applyNumberFormat="1" applyFont="1" applyBorder="1"/>
    <xf numFmtId="6" fontId="7" fillId="0" borderId="101" xfId="6" applyNumberFormat="1" applyFont="1" applyBorder="1"/>
    <xf numFmtId="10" fontId="7" fillId="6" borderId="54" xfId="6" applyNumberFormat="1" applyFont="1" applyFill="1" applyBorder="1"/>
    <xf numFmtId="6" fontId="7" fillId="0" borderId="110" xfId="6" applyNumberFormat="1" applyFont="1" applyBorder="1"/>
    <xf numFmtId="10" fontId="7" fillId="0" borderId="111" xfId="13" applyNumberFormat="1" applyFont="1" applyBorder="1"/>
    <xf numFmtId="10" fontId="7" fillId="0" borderId="112" xfId="13" applyNumberFormat="1" applyFont="1" applyBorder="1"/>
    <xf numFmtId="10" fontId="7" fillId="0" borderId="108" xfId="13" applyNumberFormat="1" applyFont="1" applyBorder="1"/>
    <xf numFmtId="10" fontId="7" fillId="0" borderId="113" xfId="13" applyNumberFormat="1" applyFont="1" applyBorder="1"/>
    <xf numFmtId="0" fontId="0" fillId="0" borderId="23" xfId="0" applyBorder="1"/>
    <xf numFmtId="0" fontId="0" fillId="0" borderId="114" xfId="0" applyBorder="1"/>
    <xf numFmtId="38" fontId="7" fillId="0" borderId="51" xfId="6" applyNumberFormat="1" applyFont="1" applyBorder="1"/>
    <xf numFmtId="10" fontId="7" fillId="0" borderId="115" xfId="13" applyNumberFormat="1" applyFont="1" applyBorder="1"/>
    <xf numFmtId="10" fontId="7" fillId="6" borderId="7" xfId="13" applyNumberFormat="1" applyFont="1" applyFill="1" applyBorder="1"/>
    <xf numFmtId="38" fontId="7" fillId="6" borderId="52" xfId="6" applyNumberFormat="1" applyFont="1" applyFill="1" applyBorder="1" applyProtection="1">
      <protection locked="0"/>
    </xf>
    <xf numFmtId="6" fontId="7" fillId="0" borderId="0" xfId="13" applyNumberFormat="1" applyFont="1" applyAlignment="1">
      <alignment horizontal="right"/>
    </xf>
    <xf numFmtId="6" fontId="7" fillId="0" borderId="0" xfId="13" applyNumberFormat="1" applyFont="1"/>
    <xf numFmtId="38" fontId="7" fillId="6" borderId="75" xfId="7" applyNumberFormat="1" applyFont="1" applyFill="1" applyBorder="1"/>
    <xf numFmtId="38" fontId="7" fillId="6" borderId="116" xfId="7" applyNumberFormat="1" applyFont="1" applyFill="1" applyBorder="1"/>
    <xf numFmtId="0" fontId="27" fillId="6" borderId="32" xfId="0" applyFont="1" applyFill="1" applyBorder="1"/>
    <xf numFmtId="0" fontId="31" fillId="6" borderId="49" xfId="0" applyFont="1" applyFill="1" applyBorder="1"/>
    <xf numFmtId="0" fontId="7" fillId="0" borderId="115" xfId="0" applyFont="1" applyBorder="1"/>
    <xf numFmtId="0" fontId="29" fillId="0" borderId="117" xfId="0" applyFont="1" applyBorder="1"/>
    <xf numFmtId="0" fontId="31" fillId="6" borderId="54" xfId="0" quotePrefix="1" applyFont="1" applyFill="1" applyBorder="1" applyAlignment="1">
      <alignment horizontal="center"/>
    </xf>
    <xf numFmtId="10" fontId="7" fillId="0" borderId="21" xfId="13" applyNumberFormat="1" applyFont="1" applyBorder="1"/>
    <xf numFmtId="10" fontId="7" fillId="0" borderId="118" xfId="13" applyNumberFormat="1" applyFont="1" applyBorder="1"/>
    <xf numFmtId="10" fontId="7" fillId="6" borderId="71" xfId="13" applyNumberFormat="1" applyFont="1" applyFill="1" applyBorder="1"/>
    <xf numFmtId="0" fontId="31" fillId="0" borderId="119" xfId="0" applyFont="1" applyBorder="1"/>
    <xf numFmtId="0" fontId="29" fillId="0" borderId="30" xfId="0" applyFont="1" applyBorder="1"/>
    <xf numFmtId="43" fontId="7" fillId="0" borderId="31" xfId="10" applyNumberFormat="1" applyFont="1" applyBorder="1"/>
    <xf numFmtId="41" fontId="7" fillId="0" borderId="31" xfId="2" applyNumberFormat="1" applyFont="1" applyBorder="1"/>
    <xf numFmtId="41" fontId="7" fillId="4" borderId="31" xfId="13" applyNumberFormat="1" applyFont="1" applyFill="1" applyBorder="1" applyProtection="1">
      <protection locked="0"/>
    </xf>
    <xf numFmtId="41" fontId="7" fillId="0" borderId="0" xfId="13" applyNumberFormat="1" applyFont="1"/>
    <xf numFmtId="41" fontId="30" fillId="0" borderId="0" xfId="10" applyNumberFormat="1" applyFont="1"/>
    <xf numFmtId="9" fontId="30" fillId="0" borderId="51" xfId="13" applyFont="1" applyBorder="1"/>
    <xf numFmtId="10" fontId="30" fillId="0" borderId="120" xfId="13" applyNumberFormat="1" applyFont="1" applyBorder="1"/>
    <xf numFmtId="10" fontId="7" fillId="0" borderId="37" xfId="13" applyNumberFormat="1" applyFont="1" applyBorder="1"/>
    <xf numFmtId="10" fontId="7" fillId="0" borderId="120" xfId="13" applyNumberFormat="1" applyFont="1" applyBorder="1"/>
    <xf numFmtId="10" fontId="30" fillId="0" borderId="37" xfId="13" applyNumberFormat="1" applyFont="1" applyBorder="1"/>
    <xf numFmtId="10" fontId="7" fillId="0" borderId="19" xfId="13" applyNumberFormat="1" applyFont="1" applyBorder="1" applyAlignment="1">
      <alignment horizontal="center"/>
    </xf>
    <xf numFmtId="10" fontId="30" fillId="0" borderId="19" xfId="13" applyNumberFormat="1" applyFont="1" applyBorder="1"/>
    <xf numFmtId="10" fontId="30" fillId="0" borderId="53" xfId="13" applyNumberFormat="1" applyFont="1" applyBorder="1"/>
    <xf numFmtId="0" fontId="6" fillId="0" borderId="27" xfId="10" applyFont="1" applyBorder="1"/>
    <xf numFmtId="43" fontId="7" fillId="0" borderId="27" xfId="2" applyNumberFormat="1" applyFont="1" applyBorder="1"/>
    <xf numFmtId="43" fontId="7" fillId="0" borderId="101" xfId="10" applyNumberFormat="1" applyFont="1" applyBorder="1"/>
    <xf numFmtId="41" fontId="7" fillId="0" borderId="27" xfId="2" applyNumberFormat="1" applyFont="1" applyBorder="1"/>
    <xf numFmtId="41" fontId="7" fillId="2" borderId="121" xfId="2" applyNumberFormat="1" applyFont="1" applyFill="1" applyBorder="1" applyProtection="1">
      <protection locked="0"/>
    </xf>
    <xf numFmtId="0" fontId="7" fillId="0" borderId="37" xfId="10" applyFont="1" applyBorder="1" applyAlignment="1">
      <alignment horizontal="center"/>
    </xf>
    <xf numFmtId="0" fontId="7" fillId="0" borderId="19" xfId="10" applyFont="1" applyBorder="1" applyAlignment="1">
      <alignment horizontal="center"/>
    </xf>
    <xf numFmtId="0" fontId="7" fillId="0" borderId="122" xfId="10" applyFont="1" applyBorder="1" applyAlignment="1">
      <alignment horizontal="right"/>
    </xf>
    <xf numFmtId="10" fontId="30" fillId="0" borderId="27" xfId="13" applyNumberFormat="1" applyFont="1" applyBorder="1"/>
    <xf numFmtId="10" fontId="7" fillId="0" borderId="49" xfId="13" applyNumberFormat="1" applyFont="1" applyBorder="1"/>
    <xf numFmtId="10" fontId="7" fillId="0" borderId="123" xfId="13" applyNumberFormat="1" applyFont="1" applyBorder="1"/>
    <xf numFmtId="10" fontId="30" fillId="0" borderId="123" xfId="13" applyNumberFormat="1" applyFont="1" applyBorder="1"/>
    <xf numFmtId="10" fontId="7" fillId="0" borderId="124" xfId="13" applyNumberFormat="1" applyFont="1" applyBorder="1" applyAlignment="1">
      <alignment horizontal="center"/>
    </xf>
    <xf numFmtId="10" fontId="7" fillId="0" borderId="125" xfId="13" applyNumberFormat="1" applyFont="1" applyBorder="1" applyAlignment="1">
      <alignment horizontal="center"/>
    </xf>
    <xf numFmtId="10" fontId="30" fillId="0" borderId="125" xfId="13" applyNumberFormat="1" applyFont="1" applyBorder="1"/>
    <xf numFmtId="10" fontId="30" fillId="0" borderId="126" xfId="13" applyNumberFormat="1" applyFont="1" applyBorder="1"/>
    <xf numFmtId="10" fontId="7" fillId="0" borderId="125" xfId="13" applyNumberFormat="1" applyFont="1" applyBorder="1"/>
    <xf numFmtId="43" fontId="7" fillId="0" borderId="8" xfId="2" applyNumberFormat="1" applyFont="1" applyBorder="1" applyAlignment="1">
      <alignment horizontal="center"/>
    </xf>
    <xf numFmtId="43" fontId="7" fillId="0" borderId="9" xfId="10" applyNumberFormat="1" applyFont="1" applyBorder="1" applyAlignment="1">
      <alignment horizontal="center"/>
    </xf>
    <xf numFmtId="9" fontId="7" fillId="0" borderId="37" xfId="13" applyFont="1" applyBorder="1" applyAlignment="1">
      <alignment horizontal="center"/>
    </xf>
    <xf numFmtId="41" fontId="7" fillId="2" borderId="127" xfId="2" applyNumberFormat="1" applyFont="1" applyFill="1" applyBorder="1" applyProtection="1">
      <protection locked="0"/>
    </xf>
    <xf numFmtId="41" fontId="7" fillId="0" borderId="122" xfId="13" applyNumberFormat="1" applyFont="1" applyBorder="1"/>
    <xf numFmtId="9" fontId="7" fillId="0" borderId="101" xfId="13" applyFont="1" applyBorder="1"/>
    <xf numFmtId="41" fontId="7" fillId="0" borderId="82" xfId="2" applyNumberFormat="1" applyFont="1" applyBorder="1"/>
    <xf numFmtId="10" fontId="7" fillId="0" borderId="101" xfId="13" applyNumberFormat="1" applyFont="1" applyBorder="1"/>
    <xf numFmtId="10" fontId="7" fillId="0" borderId="37" xfId="13" applyNumberFormat="1" applyFont="1" applyBorder="1" applyAlignment="1">
      <alignment horizontal="center"/>
    </xf>
    <xf numFmtId="10" fontId="30" fillId="0" borderId="101" xfId="13" applyNumberFormat="1" applyFont="1" applyBorder="1"/>
    <xf numFmtId="0" fontId="49" fillId="0" borderId="0" xfId="8" applyAlignment="1">
      <alignment horizontal="left"/>
    </xf>
    <xf numFmtId="10" fontId="7" fillId="0" borderId="22" xfId="13" applyNumberFormat="1" applyFont="1" applyBorder="1"/>
    <xf numFmtId="10" fontId="7" fillId="0" borderId="109" xfId="13" applyNumberFormat="1" applyFont="1" applyBorder="1"/>
    <xf numFmtId="43" fontId="7" fillId="0" borderId="128" xfId="10" applyNumberFormat="1" applyFont="1" applyBorder="1"/>
    <xf numFmtId="0" fontId="7" fillId="0" borderId="56" xfId="0" applyFont="1" applyBorder="1" applyAlignment="1">
      <alignment horizontal="center"/>
    </xf>
    <xf numFmtId="0" fontId="31" fillId="0" borderId="0" xfId="0" applyFont="1" applyAlignment="1">
      <alignment horizontal="center"/>
    </xf>
    <xf numFmtId="6" fontId="7" fillId="0" borderId="22" xfId="6" applyNumberFormat="1" applyFont="1" applyBorder="1"/>
    <xf numFmtId="43" fontId="7" fillId="0" borderId="32" xfId="11" applyNumberFormat="1" applyFont="1" applyBorder="1" applyAlignment="1">
      <alignment horizontal="left" vertical="center" wrapText="1"/>
    </xf>
    <xf numFmtId="0" fontId="6" fillId="0" borderId="17" xfId="11" applyFont="1" applyBorder="1" applyAlignment="1">
      <alignment horizontal="center" vertical="center"/>
    </xf>
    <xf numFmtId="43" fontId="6" fillId="0" borderId="17" xfId="11" applyNumberFormat="1" applyFont="1" applyBorder="1" applyAlignment="1">
      <alignment horizontal="center" vertical="center"/>
    </xf>
    <xf numFmtId="0" fontId="6" fillId="0" borderId="128" xfId="11" applyFont="1" applyBorder="1" applyAlignment="1">
      <alignment horizontal="center" vertical="center"/>
    </xf>
    <xf numFmtId="164" fontId="7" fillId="0" borderId="27" xfId="11" applyNumberFormat="1" applyFont="1" applyBorder="1" applyAlignment="1">
      <alignment horizontal="center" vertical="center"/>
    </xf>
    <xf numFmtId="164" fontId="7" fillId="0" borderId="30" xfId="11" applyNumberFormat="1" applyFont="1" applyBorder="1" applyAlignment="1">
      <alignment horizontal="center" vertical="center"/>
    </xf>
    <xf numFmtId="43" fontId="7" fillId="0" borderId="30" xfId="11" applyNumberFormat="1" applyFont="1" applyBorder="1" applyAlignment="1">
      <alignment horizontal="left" vertical="center"/>
    </xf>
    <xf numFmtId="164" fontId="7" fillId="0" borderId="30" xfId="11" applyNumberFormat="1" applyFont="1" applyBorder="1" applyAlignment="1">
      <alignment horizontal="left" vertical="center"/>
    </xf>
    <xf numFmtId="164" fontId="7" fillId="0" borderId="129" xfId="11" applyNumberFormat="1" applyFont="1" applyBorder="1" applyAlignment="1">
      <alignment horizontal="left" vertical="center"/>
    </xf>
    <xf numFmtId="0" fontId="7" fillId="0" borderId="30" xfId="11" applyFont="1" applyBorder="1" applyAlignment="1">
      <alignment vertical="center"/>
    </xf>
    <xf numFmtId="10" fontId="7" fillId="0" borderId="30" xfId="11" applyNumberFormat="1" applyFont="1" applyBorder="1" applyAlignment="1">
      <alignment vertical="center"/>
    </xf>
    <xf numFmtId="10" fontId="7" fillId="0" borderId="129" xfId="11" applyNumberFormat="1" applyFont="1" applyBorder="1" applyAlignment="1">
      <alignment vertical="center"/>
    </xf>
    <xf numFmtId="164" fontId="7" fillId="0" borderId="0" xfId="11" applyNumberFormat="1" applyFont="1" applyAlignment="1">
      <alignment horizontal="center" vertical="center"/>
    </xf>
    <xf numFmtId="10" fontId="7" fillId="0" borderId="27" xfId="11" applyNumberFormat="1" applyFont="1" applyBorder="1" applyAlignment="1">
      <alignment vertical="center"/>
    </xf>
    <xf numFmtId="10" fontId="7" fillId="0" borderId="0" xfId="11" applyNumberFormat="1" applyFont="1" applyAlignment="1">
      <alignment vertical="center"/>
    </xf>
    <xf numFmtId="0" fontId="6" fillId="0" borderId="0" xfId="0" applyFont="1" applyAlignment="1">
      <alignment horizontal="left" vertical="top"/>
    </xf>
    <xf numFmtId="43" fontId="7" fillId="0" borderId="46" xfId="11" applyNumberFormat="1" applyFont="1" applyBorder="1" applyAlignment="1">
      <alignment horizontal="left" vertical="center" wrapText="1"/>
    </xf>
    <xf numFmtId="165" fontId="7" fillId="0" borderId="0" xfId="1" applyNumberFormat="1" applyFont="1" applyAlignment="1">
      <alignment vertical="center"/>
    </xf>
    <xf numFmtId="164" fontId="7" fillId="0" borderId="130" xfId="11" applyNumberFormat="1" applyFont="1" applyBorder="1" applyAlignment="1">
      <alignment horizontal="center" vertical="center"/>
    </xf>
    <xf numFmtId="3" fontId="7" fillId="0" borderId="54" xfId="13" applyNumberFormat="1" applyFont="1" applyBorder="1"/>
    <xf numFmtId="3" fontId="7" fillId="0" borderId="31" xfId="6" applyNumberFormat="1" applyFont="1" applyBorder="1"/>
    <xf numFmtId="3" fontId="7" fillId="0" borderId="31" xfId="5" applyNumberFormat="1" applyFont="1" applyBorder="1"/>
    <xf numFmtId="3" fontId="7" fillId="0" borderId="31" xfId="13" applyNumberFormat="1" applyFont="1" applyBorder="1"/>
    <xf numFmtId="3" fontId="7" fillId="6" borderId="54" xfId="13" applyNumberFormat="1" applyFont="1" applyFill="1" applyBorder="1"/>
    <xf numFmtId="3" fontId="7" fillId="6" borderId="54" xfId="6" applyNumberFormat="1" applyFont="1" applyFill="1" applyBorder="1"/>
    <xf numFmtId="10" fontId="7" fillId="0" borderId="76" xfId="7" applyNumberFormat="1" applyFont="1" applyBorder="1"/>
    <xf numFmtId="10" fontId="7" fillId="0" borderId="31" xfId="6" applyNumberFormat="1" applyFont="1" applyBorder="1"/>
    <xf numFmtId="3" fontId="7" fillId="6" borderId="32" xfId="6" applyNumberFormat="1" applyFont="1" applyFill="1" applyBorder="1"/>
    <xf numFmtId="3" fontId="7" fillId="6" borderId="32" xfId="13" applyNumberFormat="1" applyFont="1" applyFill="1" applyBorder="1"/>
    <xf numFmtId="10" fontId="7" fillId="0" borderId="131" xfId="6" applyNumberFormat="1" applyFont="1" applyBorder="1"/>
    <xf numFmtId="10" fontId="7" fillId="0" borderId="51" xfId="6" applyNumberFormat="1" applyFont="1" applyBorder="1"/>
    <xf numFmtId="10" fontId="7" fillId="0" borderId="132" xfId="6" applyNumberFormat="1" applyFont="1" applyBorder="1"/>
    <xf numFmtId="10" fontId="7" fillId="0" borderId="110" xfId="6" applyNumberFormat="1" applyFont="1" applyBorder="1"/>
    <xf numFmtId="10" fontId="7" fillId="0" borderId="133" xfId="6" applyNumberFormat="1" applyFont="1" applyBorder="1"/>
    <xf numFmtId="10" fontId="7" fillId="0" borderId="134" xfId="6" applyNumberFormat="1" applyFont="1" applyBorder="1"/>
    <xf numFmtId="3" fontId="7" fillId="6" borderId="112" xfId="6" applyNumberFormat="1" applyFont="1" applyFill="1" applyBorder="1"/>
    <xf numFmtId="3" fontId="7" fillId="6" borderId="75" xfId="6" applyNumberFormat="1" applyFont="1" applyFill="1" applyBorder="1"/>
    <xf numFmtId="10" fontId="7" fillId="0" borderId="26" xfId="6" applyNumberFormat="1" applyFont="1" applyBorder="1"/>
    <xf numFmtId="10" fontId="7" fillId="6" borderId="112" xfId="6" applyNumberFormat="1" applyFont="1" applyFill="1" applyBorder="1"/>
    <xf numFmtId="10" fontId="7" fillId="6" borderId="108" xfId="6" applyNumberFormat="1" applyFont="1" applyFill="1" applyBorder="1"/>
    <xf numFmtId="10" fontId="7" fillId="6" borderId="111" xfId="6" applyNumberFormat="1" applyFont="1" applyFill="1" applyBorder="1"/>
    <xf numFmtId="10" fontId="7" fillId="6" borderId="113" xfId="6" applyNumberFormat="1" applyFont="1" applyFill="1" applyBorder="1"/>
    <xf numFmtId="5" fontId="7" fillId="0" borderId="31" xfId="6" applyFont="1" applyBorder="1"/>
    <xf numFmtId="0" fontId="0" fillId="0" borderId="51" xfId="0" applyBorder="1"/>
    <xf numFmtId="3" fontId="7" fillId="6" borderId="7" xfId="13" applyNumberFormat="1" applyFont="1" applyFill="1" applyBorder="1"/>
    <xf numFmtId="0" fontId="31" fillId="0" borderId="31" xfId="0" quotePrefix="1" applyFont="1" applyBorder="1" applyAlignment="1">
      <alignment horizontal="center"/>
    </xf>
    <xf numFmtId="10" fontId="7" fillId="0" borderId="63" xfId="0" applyNumberFormat="1" applyFont="1" applyBorder="1"/>
    <xf numFmtId="10" fontId="7" fillId="0" borderId="132" xfId="0" applyNumberFormat="1" applyFont="1" applyBorder="1"/>
    <xf numFmtId="6" fontId="7" fillId="0" borderId="19" xfId="13" applyNumberFormat="1" applyFont="1" applyBorder="1"/>
    <xf numFmtId="10" fontId="7" fillId="0" borderId="135" xfId="13" applyNumberFormat="1" applyFont="1" applyBorder="1"/>
    <xf numFmtId="3" fontId="7" fillId="6" borderId="54" xfId="6" applyNumberFormat="1" applyFont="1" applyFill="1" applyBorder="1" applyProtection="1">
      <protection locked="0"/>
    </xf>
    <xf numFmtId="10" fontId="7" fillId="6" borderId="76" xfId="7" applyNumberFormat="1" applyFont="1" applyFill="1" applyBorder="1" applyProtection="1">
      <protection locked="0"/>
    </xf>
    <xf numFmtId="10" fontId="7" fillId="6" borderId="76" xfId="7" applyNumberFormat="1" applyFont="1" applyFill="1" applyBorder="1"/>
    <xf numFmtId="10" fontId="7" fillId="6" borderId="7" xfId="7" applyNumberFormat="1" applyFont="1" applyFill="1" applyBorder="1" applyProtection="1">
      <protection locked="0"/>
    </xf>
    <xf numFmtId="10" fontId="7" fillId="6" borderId="54" xfId="6" applyNumberFormat="1" applyFont="1" applyFill="1" applyBorder="1" applyProtection="1">
      <protection locked="0"/>
    </xf>
    <xf numFmtId="10" fontId="7" fillId="6" borderId="131" xfId="6" applyNumberFormat="1" applyFont="1" applyFill="1" applyBorder="1"/>
    <xf numFmtId="10" fontId="7" fillId="6" borderId="26" xfId="6" applyNumberFormat="1" applyFont="1" applyFill="1" applyBorder="1"/>
    <xf numFmtId="3" fontId="7" fillId="6" borderId="11" xfId="13" applyNumberFormat="1" applyFont="1" applyFill="1" applyBorder="1"/>
    <xf numFmtId="3" fontId="7" fillId="6" borderId="76" xfId="6" applyNumberFormat="1" applyFont="1" applyFill="1" applyBorder="1"/>
    <xf numFmtId="3" fontId="7" fillId="6" borderId="7" xfId="6" applyNumberFormat="1" applyFont="1" applyFill="1" applyBorder="1"/>
    <xf numFmtId="3" fontId="7" fillId="6" borderId="136" xfId="13" applyNumberFormat="1" applyFont="1" applyFill="1" applyBorder="1"/>
    <xf numFmtId="3" fontId="7" fillId="6" borderId="75" xfId="13" applyNumberFormat="1" applyFont="1" applyFill="1" applyBorder="1"/>
    <xf numFmtId="3" fontId="7" fillId="6" borderId="112" xfId="13" applyNumberFormat="1" applyFont="1" applyFill="1" applyBorder="1"/>
    <xf numFmtId="0" fontId="0" fillId="0" borderId="61" xfId="0" applyBorder="1"/>
    <xf numFmtId="0" fontId="0" fillId="0" borderId="137" xfId="0" applyBorder="1"/>
    <xf numFmtId="10" fontId="7" fillId="6" borderId="7" xfId="6" applyNumberFormat="1" applyFont="1" applyFill="1" applyBorder="1"/>
    <xf numFmtId="0" fontId="6" fillId="0" borderId="0" xfId="11" applyFont="1" applyAlignment="1">
      <alignment horizontal="center" vertical="center"/>
    </xf>
    <xf numFmtId="0" fontId="7" fillId="0" borderId="54" xfId="10" quotePrefix="1" applyFont="1" applyBorder="1" applyAlignment="1">
      <alignment horizontal="center"/>
    </xf>
    <xf numFmtId="0" fontId="7" fillId="0" borderId="54" xfId="10" applyFont="1" applyBorder="1" applyAlignment="1">
      <alignment horizontal="center"/>
    </xf>
    <xf numFmtId="43" fontId="7" fillId="0" borderId="138" xfId="2" applyNumberFormat="1" applyFont="1" applyBorder="1" applyAlignment="1">
      <alignment horizontal="center"/>
    </xf>
    <xf numFmtId="0" fontId="7" fillId="0" borderId="63" xfId="0" applyFont="1" applyBorder="1" applyAlignment="1">
      <alignment horizontal="center"/>
    </xf>
    <xf numFmtId="3" fontId="7" fillId="7" borderId="7" xfId="6" applyNumberFormat="1" applyFont="1" applyFill="1" applyBorder="1"/>
    <xf numFmtId="10" fontId="7" fillId="6" borderId="20" xfId="0" applyNumberFormat="1" applyFont="1" applyFill="1" applyBorder="1"/>
    <xf numFmtId="10" fontId="7" fillId="6" borderId="78" xfId="0" applyNumberFormat="1" applyFont="1" applyFill="1" applyBorder="1"/>
    <xf numFmtId="10" fontId="7" fillId="0" borderId="111" xfId="6" applyNumberFormat="1" applyFont="1" applyBorder="1"/>
    <xf numFmtId="10" fontId="7" fillId="0" borderId="112" xfId="6" applyNumberFormat="1" applyFont="1" applyBorder="1"/>
    <xf numFmtId="10" fontId="7" fillId="0" borderId="11" xfId="6" applyNumberFormat="1" applyFont="1" applyBorder="1"/>
    <xf numFmtId="10" fontId="7" fillId="0" borderId="21" xfId="6" applyNumberFormat="1" applyFont="1" applyBorder="1"/>
    <xf numFmtId="10" fontId="0" fillId="0" borderId="54" xfId="0" applyNumberFormat="1" applyBorder="1"/>
    <xf numFmtId="10" fontId="7" fillId="0" borderId="139" xfId="6" applyNumberFormat="1" applyFont="1" applyBorder="1"/>
    <xf numFmtId="10" fontId="7" fillId="0" borderId="140" xfId="6" applyNumberFormat="1" applyFont="1" applyBorder="1"/>
    <xf numFmtId="10" fontId="7" fillId="0" borderId="118" xfId="6" applyNumberFormat="1" applyFont="1" applyBorder="1"/>
    <xf numFmtId="10" fontId="7" fillId="0" borderId="108" xfId="6" applyNumberFormat="1" applyFont="1" applyBorder="1"/>
    <xf numFmtId="10" fontId="7" fillId="0" borderId="113" xfId="6" applyNumberFormat="1" applyFont="1" applyBorder="1"/>
    <xf numFmtId="10" fontId="7" fillId="0" borderId="7" xfId="7" applyNumberFormat="1" applyFont="1" applyBorder="1"/>
    <xf numFmtId="10" fontId="7" fillId="0" borderId="141" xfId="6" applyNumberFormat="1" applyFont="1" applyBorder="1"/>
    <xf numFmtId="10" fontId="7" fillId="0" borderId="80" xfId="6" applyNumberFormat="1" applyFont="1" applyBorder="1"/>
    <xf numFmtId="10" fontId="7" fillId="0" borderId="79" xfId="6" applyNumberFormat="1" applyFont="1" applyBorder="1"/>
    <xf numFmtId="10" fontId="7" fillId="0" borderId="142" xfId="6" applyNumberFormat="1" applyFont="1" applyBorder="1"/>
    <xf numFmtId="10" fontId="0" fillId="6" borderId="112" xfId="0" applyNumberFormat="1" applyFill="1" applyBorder="1"/>
    <xf numFmtId="3" fontId="0" fillId="6" borderId="112" xfId="0" applyNumberFormat="1" applyFill="1" applyBorder="1"/>
    <xf numFmtId="10" fontId="0" fillId="6" borderId="111" xfId="0" applyNumberFormat="1" applyFill="1" applyBorder="1"/>
    <xf numFmtId="3" fontId="7" fillId="6" borderId="143" xfId="6" applyNumberFormat="1" applyFont="1" applyFill="1" applyBorder="1"/>
    <xf numFmtId="10" fontId="7" fillId="6" borderId="11" xfId="6" applyNumberFormat="1" applyFont="1" applyFill="1" applyBorder="1"/>
    <xf numFmtId="0" fontId="7" fillId="0" borderId="31" xfId="0" applyFont="1" applyBorder="1" applyAlignment="1">
      <alignment vertical="center"/>
    </xf>
    <xf numFmtId="9" fontId="7" fillId="0" borderId="32" xfId="13" applyFont="1" applyBorder="1" applyAlignment="1">
      <alignment vertical="center"/>
    </xf>
    <xf numFmtId="10" fontId="7" fillId="0" borderId="22" xfId="13" applyNumberFormat="1" applyFont="1" applyBorder="1" applyAlignment="1">
      <alignment horizontal="right"/>
    </xf>
    <xf numFmtId="10" fontId="7" fillId="0" borderId="109" xfId="13" applyNumberFormat="1" applyFont="1" applyBorder="1" applyAlignment="1">
      <alignment horizontal="right"/>
    </xf>
    <xf numFmtId="1" fontId="7" fillId="0" borderId="3" xfId="0" applyNumberFormat="1" applyFont="1" applyBorder="1" applyAlignment="1">
      <alignment horizontal="center"/>
    </xf>
    <xf numFmtId="38" fontId="7" fillId="0" borderId="17" xfId="6" applyNumberFormat="1" applyFont="1" applyBorder="1"/>
    <xf numFmtId="43" fontId="7" fillId="6" borderId="50" xfId="11" applyNumberFormat="1" applyFont="1" applyFill="1" applyBorder="1" applyAlignment="1">
      <alignment horizontal="left" vertical="center"/>
    </xf>
    <xf numFmtId="43" fontId="7" fillId="6" borderId="54" xfId="11" applyNumberFormat="1" applyFont="1" applyFill="1" applyBorder="1" applyAlignment="1">
      <alignment horizontal="left" vertical="center"/>
    </xf>
    <xf numFmtId="43" fontId="7" fillId="6" borderId="32" xfId="11" applyNumberFormat="1" applyFont="1" applyFill="1" applyBorder="1" applyAlignment="1">
      <alignment horizontal="left" vertical="center"/>
    </xf>
    <xf numFmtId="37" fontId="6" fillId="0" borderId="41" xfId="11" applyNumberFormat="1" applyFont="1" applyBorder="1" applyAlignment="1">
      <alignment horizontal="center" vertical="center"/>
    </xf>
    <xf numFmtId="0" fontId="6" fillId="0" borderId="5" xfId="11" applyFont="1" applyBorder="1" applyAlignment="1">
      <alignment vertical="center"/>
    </xf>
    <xf numFmtId="37" fontId="6" fillId="0" borderId="37" xfId="11" applyNumberFormat="1" applyFont="1" applyBorder="1" applyAlignment="1">
      <alignment vertical="center"/>
    </xf>
    <xf numFmtId="0" fontId="4" fillId="0" borderId="27" xfId="0" applyFont="1" applyBorder="1"/>
    <xf numFmtId="0" fontId="7" fillId="0" borderId="19" xfId="0" applyFont="1" applyBorder="1" applyAlignment="1">
      <alignment horizontal="center"/>
    </xf>
    <xf numFmtId="166" fontId="7" fillId="0" borderId="22" xfId="6" applyNumberFormat="1" applyFont="1" applyBorder="1" applyAlignment="1">
      <alignment horizontal="right"/>
    </xf>
    <xf numFmtId="0" fontId="4" fillId="0" borderId="30" xfId="0" applyFont="1" applyBorder="1"/>
    <xf numFmtId="43" fontId="7" fillId="0" borderId="115" xfId="13" applyNumberFormat="1" applyFont="1" applyBorder="1"/>
    <xf numFmtId="172" fontId="7" fillId="0" borderId="115" xfId="6" applyNumberFormat="1" applyFont="1" applyBorder="1"/>
    <xf numFmtId="165" fontId="7" fillId="0" borderId="115" xfId="13" applyNumberFormat="1" applyFont="1" applyBorder="1"/>
    <xf numFmtId="10" fontId="7" fillId="0" borderId="144" xfId="13" applyNumberFormat="1" applyFont="1" applyBorder="1"/>
    <xf numFmtId="0" fontId="6" fillId="0" borderId="27" xfId="0" applyFont="1" applyBorder="1"/>
    <xf numFmtId="0" fontId="19" fillId="0" borderId="27" xfId="0" applyFont="1" applyBorder="1"/>
    <xf numFmtId="166" fontId="6" fillId="0" borderId="22" xfId="6" applyNumberFormat="1" applyFont="1" applyBorder="1" applyAlignment="1">
      <alignment horizontal="right"/>
    </xf>
    <xf numFmtId="10" fontId="6" fillId="0" borderId="22" xfId="13" applyNumberFormat="1" applyFont="1" applyBorder="1" applyAlignment="1">
      <alignment horizontal="right"/>
    </xf>
    <xf numFmtId="10" fontId="6" fillId="0" borderId="109" xfId="13" applyNumberFormat="1" applyFont="1" applyBorder="1" applyAlignment="1">
      <alignment horizontal="right"/>
    </xf>
    <xf numFmtId="43" fontId="7" fillId="0" borderId="22" xfId="13" applyNumberFormat="1" applyFont="1" applyBorder="1"/>
    <xf numFmtId="40" fontId="7" fillId="0" borderId="22" xfId="13" applyNumberFormat="1" applyFont="1" applyBorder="1"/>
    <xf numFmtId="43" fontId="7" fillId="0" borderId="22" xfId="0" applyNumberFormat="1" applyFont="1" applyBorder="1"/>
    <xf numFmtId="43" fontId="7" fillId="0" borderId="27" xfId="6" applyNumberFormat="1" applyFont="1" applyBorder="1"/>
    <xf numFmtId="10" fontId="7" fillId="0" borderId="27" xfId="0" applyNumberFormat="1" applyFont="1" applyBorder="1"/>
    <xf numFmtId="10" fontId="7" fillId="0" borderId="101" xfId="0" applyNumberFormat="1" applyFont="1" applyBorder="1"/>
    <xf numFmtId="0" fontId="9" fillId="0" borderId="39" xfId="0" applyFont="1" applyBorder="1"/>
    <xf numFmtId="0" fontId="7" fillId="0" borderId="35" xfId="0" applyFont="1" applyBorder="1"/>
    <xf numFmtId="0" fontId="4" fillId="0" borderId="145" xfId="0" applyFont="1" applyBorder="1"/>
    <xf numFmtId="0" fontId="6" fillId="0" borderId="5" xfId="0" applyFont="1" applyBorder="1" applyAlignment="1">
      <alignment horizontal="left"/>
    </xf>
    <xf numFmtId="9" fontId="6" fillId="0" borderId="5" xfId="13" applyFont="1" applyBorder="1"/>
    <xf numFmtId="0" fontId="6" fillId="0" borderId="5" xfId="0" quotePrefix="1" applyFont="1" applyBorder="1" applyAlignment="1">
      <alignment horizontal="left"/>
    </xf>
    <xf numFmtId="10" fontId="7" fillId="6" borderId="52" xfId="13" applyNumberFormat="1" applyFont="1" applyFill="1" applyBorder="1"/>
    <xf numFmtId="169" fontId="7" fillId="6" borderId="38" xfId="13" applyNumberFormat="1" applyFont="1" applyFill="1" applyBorder="1"/>
    <xf numFmtId="169" fontId="7" fillId="6" borderId="38" xfId="6" applyNumberFormat="1" applyFont="1" applyFill="1" applyBorder="1"/>
    <xf numFmtId="10" fontId="7" fillId="5" borderId="32" xfId="0" quotePrefix="1" applyNumberFormat="1" applyFont="1" applyFill="1" applyBorder="1" applyAlignment="1" applyProtection="1">
      <alignment horizontal="center"/>
      <protection locked="0"/>
    </xf>
    <xf numFmtId="41" fontId="7" fillId="10" borderId="75" xfId="7" applyNumberFormat="1" applyFont="1" applyFill="1" applyBorder="1" applyProtection="1">
      <protection locked="0"/>
    </xf>
    <xf numFmtId="41" fontId="7" fillId="4" borderId="54" xfId="5" applyNumberFormat="1" applyFont="1" applyFill="1" applyBorder="1" applyProtection="1">
      <protection locked="0"/>
    </xf>
    <xf numFmtId="41" fontId="7" fillId="0" borderId="54" xfId="6" applyNumberFormat="1" applyFont="1" applyBorder="1"/>
    <xf numFmtId="41" fontId="7" fillId="0" borderId="54" xfId="5" applyNumberFormat="1" applyFont="1" applyBorder="1"/>
    <xf numFmtId="41" fontId="7" fillId="11" borderId="54" xfId="6" applyNumberFormat="1" applyFont="1" applyFill="1" applyBorder="1"/>
    <xf numFmtId="41" fontId="7" fillId="11" borderId="54" xfId="5" applyNumberFormat="1" applyFont="1" applyFill="1" applyBorder="1"/>
    <xf numFmtId="41" fontId="7" fillId="4" borderId="54" xfId="6" applyNumberFormat="1" applyFont="1" applyFill="1" applyBorder="1" applyProtection="1">
      <protection locked="0"/>
    </xf>
    <xf numFmtId="41" fontId="7" fillId="3" borderId="54" xfId="6" applyNumberFormat="1" applyFont="1" applyFill="1" applyBorder="1"/>
    <xf numFmtId="41" fontId="7" fillId="0" borderId="63" xfId="5" applyNumberFormat="1" applyFont="1" applyBorder="1"/>
    <xf numFmtId="41" fontId="7" fillId="0" borderId="63" xfId="6" applyNumberFormat="1" applyFont="1" applyBorder="1"/>
    <xf numFmtId="41" fontId="7" fillId="4" borderId="112" xfId="7" applyNumberFormat="1" applyFont="1" applyFill="1" applyBorder="1" applyProtection="1">
      <protection locked="0"/>
    </xf>
    <xf numFmtId="41" fontId="7" fillId="4" borderId="7" xfId="7" applyNumberFormat="1" applyFont="1" applyFill="1" applyBorder="1" applyProtection="1">
      <protection locked="0"/>
    </xf>
    <xf numFmtId="42" fontId="7" fillId="10" borderId="106" xfId="6" applyNumberFormat="1" applyFont="1" applyFill="1" applyBorder="1" applyProtection="1">
      <protection locked="0"/>
    </xf>
    <xf numFmtId="42" fontId="7" fillId="4" borderId="7" xfId="6" applyNumberFormat="1" applyFont="1" applyFill="1" applyBorder="1" applyProtection="1">
      <protection locked="0"/>
    </xf>
    <xf numFmtId="42" fontId="7" fillId="4" borderId="146" xfId="6" applyNumberFormat="1" applyFont="1" applyFill="1" applyBorder="1" applyProtection="1">
      <protection locked="0"/>
    </xf>
    <xf numFmtId="42" fontId="7" fillId="4" borderId="26" xfId="6" applyNumberFormat="1" applyFont="1" applyFill="1" applyBorder="1" applyProtection="1">
      <protection locked="0"/>
    </xf>
    <xf numFmtId="41" fontId="7" fillId="5" borderId="112" xfId="6" applyNumberFormat="1" applyFont="1" applyFill="1" applyBorder="1" applyProtection="1">
      <protection locked="0"/>
    </xf>
    <xf numFmtId="41" fontId="7" fillId="5" borderId="108" xfId="6" applyNumberFormat="1" applyFont="1" applyFill="1" applyBorder="1" applyProtection="1">
      <protection locked="0"/>
    </xf>
    <xf numFmtId="41" fontId="7" fillId="0" borderId="108" xfId="6" applyNumberFormat="1" applyFont="1" applyBorder="1"/>
    <xf numFmtId="41" fontId="7" fillId="0" borderId="147" xfId="6" applyNumberFormat="1" applyFont="1" applyBorder="1"/>
    <xf numFmtId="41" fontId="7" fillId="0" borderId="55" xfId="6" applyNumberFormat="1" applyFont="1" applyBorder="1"/>
    <xf numFmtId="41" fontId="7" fillId="5" borderId="148" xfId="6" applyNumberFormat="1" applyFont="1" applyFill="1" applyBorder="1" applyProtection="1">
      <protection locked="0"/>
    </xf>
    <xf numFmtId="41" fontId="7" fillId="5" borderId="21" xfId="6" applyNumberFormat="1" applyFont="1" applyFill="1" applyBorder="1" applyProtection="1">
      <protection locked="0"/>
    </xf>
    <xf numFmtId="41" fontId="7" fillId="5" borderId="112" xfId="13" applyNumberFormat="1" applyFont="1" applyFill="1" applyBorder="1" applyProtection="1">
      <protection locked="0"/>
    </xf>
    <xf numFmtId="41" fontId="7" fillId="5" borderId="21" xfId="13" applyNumberFormat="1" applyFont="1" applyFill="1" applyBorder="1" applyProtection="1">
      <protection locked="0"/>
    </xf>
    <xf numFmtId="41" fontId="7" fillId="5" borderId="115" xfId="6" applyNumberFormat="1" applyFont="1" applyFill="1" applyBorder="1" applyProtection="1">
      <protection locked="0"/>
    </xf>
    <xf numFmtId="41" fontId="7" fillId="5" borderId="76" xfId="6" applyNumberFormat="1" applyFont="1" applyFill="1" applyBorder="1" applyProtection="1">
      <protection locked="0"/>
    </xf>
    <xf numFmtId="41" fontId="7" fillId="5" borderId="76" xfId="13" applyNumberFormat="1" applyFont="1" applyFill="1" applyBorder="1" applyProtection="1">
      <protection locked="0"/>
    </xf>
    <xf numFmtId="41" fontId="7" fillId="5" borderId="149" xfId="6" applyNumberFormat="1" applyFont="1" applyFill="1" applyBorder="1" applyProtection="1">
      <protection locked="0"/>
    </xf>
    <xf numFmtId="41" fontId="7" fillId="5" borderId="7" xfId="6" applyNumberFormat="1" applyFont="1" applyFill="1" applyBorder="1" applyProtection="1">
      <protection locked="0"/>
    </xf>
    <xf numFmtId="41" fontId="7" fillId="5" borderId="7" xfId="13" applyNumberFormat="1" applyFont="1" applyFill="1" applyBorder="1" applyProtection="1">
      <protection locked="0"/>
    </xf>
    <xf numFmtId="41" fontId="7" fillId="5" borderId="26" xfId="6" applyNumberFormat="1" applyFont="1" applyFill="1" applyBorder="1" applyProtection="1">
      <protection locked="0"/>
    </xf>
    <xf numFmtId="41" fontId="7" fillId="5" borderId="75" xfId="6" applyNumberFormat="1" applyFont="1" applyFill="1" applyBorder="1" applyProtection="1">
      <protection locked="0"/>
    </xf>
    <xf numFmtId="41" fontId="7" fillId="5" borderId="112" xfId="7" applyNumberFormat="1" applyFont="1" applyFill="1" applyBorder="1" applyProtection="1">
      <protection locked="0"/>
    </xf>
    <xf numFmtId="41" fontId="7" fillId="5" borderId="75" xfId="13" applyNumberFormat="1" applyFont="1" applyFill="1" applyBorder="1" applyProtection="1">
      <protection locked="0"/>
    </xf>
    <xf numFmtId="41" fontId="7" fillId="5" borderId="21" xfId="3" applyNumberFormat="1" applyFont="1" applyFill="1" applyBorder="1" applyProtection="1">
      <protection locked="0"/>
    </xf>
    <xf numFmtId="41" fontId="7" fillId="5" borderId="21" xfId="1" applyNumberFormat="1" applyFont="1" applyFill="1" applyBorder="1" applyProtection="1">
      <protection locked="0"/>
    </xf>
    <xf numFmtId="41" fontId="7" fillId="5" borderId="21" xfId="0" applyNumberFormat="1" applyFont="1" applyFill="1" applyBorder="1" applyProtection="1">
      <protection locked="0"/>
    </xf>
    <xf numFmtId="41" fontId="7" fillId="5" borderId="0" xfId="0" applyNumberFormat="1" applyFont="1" applyFill="1" applyProtection="1">
      <protection locked="0"/>
    </xf>
    <xf numFmtId="41" fontId="7" fillId="5" borderId="31" xfId="13" applyNumberFormat="1" applyFont="1" applyFill="1" applyBorder="1" applyProtection="1">
      <protection locked="0"/>
    </xf>
    <xf numFmtId="41" fontId="7" fillId="5" borderId="31" xfId="6" applyNumberFormat="1" applyFont="1" applyFill="1" applyBorder="1" applyProtection="1">
      <protection locked="0"/>
    </xf>
    <xf numFmtId="41" fontId="7" fillId="5" borderId="31" xfId="1" applyNumberFormat="1" applyFont="1" applyFill="1" applyBorder="1" applyProtection="1">
      <protection locked="0"/>
    </xf>
    <xf numFmtId="41" fontId="7" fillId="5" borderId="31" xfId="3" applyNumberFormat="1" applyFont="1" applyFill="1" applyBorder="1" applyProtection="1">
      <protection locked="0"/>
    </xf>
    <xf numFmtId="41" fontId="7" fillId="5" borderId="30" xfId="6" applyNumberFormat="1" applyFont="1" applyFill="1" applyBorder="1" applyProtection="1">
      <protection locked="0"/>
    </xf>
    <xf numFmtId="41" fontId="7" fillId="5" borderId="76" xfId="3" applyNumberFormat="1" applyFont="1" applyFill="1" applyBorder="1" applyProtection="1">
      <protection locked="0"/>
    </xf>
    <xf numFmtId="41" fontId="7" fillId="5" borderId="76" xfId="1" applyNumberFormat="1" applyFont="1" applyFill="1" applyBorder="1" applyProtection="1">
      <protection locked="0"/>
    </xf>
    <xf numFmtId="41" fontId="7" fillId="5" borderId="49" xfId="13" applyNumberFormat="1" applyFont="1" applyFill="1" applyBorder="1" applyProtection="1">
      <protection locked="0"/>
    </xf>
    <xf numFmtId="41" fontId="7" fillId="5" borderId="49" xfId="6" applyNumberFormat="1" applyFont="1" applyFill="1" applyBorder="1" applyProtection="1">
      <protection locked="0"/>
    </xf>
    <xf numFmtId="41" fontId="7" fillId="5" borderId="49" xfId="1" applyNumberFormat="1" applyFont="1" applyFill="1" applyBorder="1" applyProtection="1">
      <protection locked="0"/>
    </xf>
    <xf numFmtId="41" fontId="7" fillId="5" borderId="49" xfId="3" applyNumberFormat="1" applyFont="1" applyFill="1" applyBorder="1" applyProtection="1">
      <protection locked="0"/>
    </xf>
    <xf numFmtId="41" fontId="7" fillId="5" borderId="7" xfId="3" applyNumberFormat="1" applyFont="1" applyFill="1" applyBorder="1" applyProtection="1">
      <protection locked="0"/>
    </xf>
    <xf numFmtId="41" fontId="7" fillId="5" borderId="7" xfId="1" applyNumberFormat="1" applyFont="1" applyFill="1" applyBorder="1" applyProtection="1">
      <protection locked="0"/>
    </xf>
    <xf numFmtId="41" fontId="7" fillId="5" borderId="54" xfId="13" applyNumberFormat="1" applyFont="1" applyFill="1" applyBorder="1" applyProtection="1">
      <protection locked="0"/>
    </xf>
    <xf numFmtId="41" fontId="7" fillId="5" borderId="54" xfId="6" applyNumberFormat="1" applyFont="1" applyFill="1" applyBorder="1" applyProtection="1">
      <protection locked="0"/>
    </xf>
    <xf numFmtId="41" fontId="7" fillId="5" borderId="54" xfId="1" applyNumberFormat="1" applyFont="1" applyFill="1" applyBorder="1" applyProtection="1">
      <protection locked="0"/>
    </xf>
    <xf numFmtId="41" fontId="7" fillId="5" borderId="54" xfId="3" applyNumberFormat="1" applyFont="1" applyFill="1" applyBorder="1" applyProtection="1">
      <protection locked="0"/>
    </xf>
    <xf numFmtId="41" fontId="7" fillId="5" borderId="150" xfId="6" applyNumberFormat="1" applyFont="1" applyFill="1" applyBorder="1" applyProtection="1">
      <protection locked="0"/>
    </xf>
    <xf numFmtId="41" fontId="7" fillId="5" borderId="151" xfId="6" applyNumberFormat="1" applyFont="1" applyFill="1" applyBorder="1" applyProtection="1">
      <protection locked="0"/>
    </xf>
    <xf numFmtId="41" fontId="7" fillId="5" borderId="0" xfId="6" applyNumberFormat="1" applyFont="1" applyFill="1" applyProtection="1">
      <protection locked="0"/>
    </xf>
    <xf numFmtId="41" fontId="0" fillId="5" borderId="150" xfId="0" applyNumberFormat="1" applyFill="1" applyBorder="1" applyProtection="1">
      <protection locked="0"/>
    </xf>
    <xf numFmtId="41" fontId="7" fillId="5" borderId="32" xfId="6" applyNumberFormat="1" applyFont="1" applyFill="1" applyBorder="1" applyProtection="1">
      <protection locked="0"/>
    </xf>
    <xf numFmtId="41" fontId="7" fillId="5" borderId="119" xfId="6" applyNumberFormat="1" applyFont="1" applyFill="1" applyBorder="1" applyProtection="1">
      <protection locked="0"/>
    </xf>
    <xf numFmtId="41" fontId="7" fillId="0" borderId="54" xfId="13" applyNumberFormat="1" applyFont="1" applyBorder="1"/>
    <xf numFmtId="41" fontId="7" fillId="4" borderId="76" xfId="7" applyNumberFormat="1" applyFont="1" applyFill="1" applyBorder="1" applyProtection="1">
      <protection locked="0"/>
    </xf>
    <xf numFmtId="41" fontId="7" fillId="4" borderId="7" xfId="6" applyNumberFormat="1" applyFont="1" applyFill="1" applyBorder="1" applyProtection="1">
      <protection locked="0"/>
    </xf>
    <xf numFmtId="41" fontId="7" fillId="4" borderId="26" xfId="6" applyNumberFormat="1" applyFont="1" applyFill="1" applyBorder="1" applyProtection="1">
      <protection locked="0"/>
    </xf>
    <xf numFmtId="41" fontId="7" fillId="10" borderId="62" xfId="6" applyNumberFormat="1" applyFont="1" applyFill="1" applyBorder="1" applyProtection="1">
      <protection locked="0"/>
    </xf>
    <xf numFmtId="41" fontId="7" fillId="0" borderId="75" xfId="6" applyNumberFormat="1" applyFont="1" applyBorder="1"/>
    <xf numFmtId="41" fontId="7" fillId="0" borderId="7" xfId="5" applyNumberFormat="1" applyFont="1" applyBorder="1"/>
    <xf numFmtId="41" fontId="7" fillId="0" borderId="75" xfId="5" applyNumberFormat="1" applyFont="1" applyBorder="1"/>
    <xf numFmtId="41" fontId="7" fillId="0" borderId="76" xfId="6" applyNumberFormat="1" applyFont="1" applyBorder="1"/>
    <xf numFmtId="41" fontId="7" fillId="0" borderId="7" xfId="6" applyNumberFormat="1" applyFont="1" applyBorder="1"/>
    <xf numFmtId="41" fontId="7" fillId="0" borderId="75" xfId="13" applyNumberFormat="1" applyFont="1" applyBorder="1"/>
    <xf numFmtId="41" fontId="7" fillId="0" borderId="76" xfId="13" applyNumberFormat="1" applyFont="1" applyBorder="1"/>
    <xf numFmtId="41" fontId="7" fillId="0" borderId="0" xfId="5" applyNumberFormat="1" applyFont="1"/>
    <xf numFmtId="41" fontId="7" fillId="0" borderId="0" xfId="6" applyNumberFormat="1" applyFont="1"/>
    <xf numFmtId="41" fontId="7" fillId="0" borderId="106" xfId="5" applyNumberFormat="1" applyFont="1" applyBorder="1"/>
    <xf numFmtId="41" fontId="7" fillId="0" borderId="106" xfId="6" applyNumberFormat="1" applyFont="1" applyBorder="1"/>
    <xf numFmtId="43" fontId="7" fillId="0" borderId="21" xfId="6" applyNumberFormat="1" applyFont="1" applyBorder="1"/>
    <xf numFmtId="42" fontId="30" fillId="0" borderId="90" xfId="2" applyNumberFormat="1" applyFont="1" applyBorder="1"/>
    <xf numFmtId="42" fontId="30" fillId="0" borderId="152" xfId="2" applyNumberFormat="1" applyFont="1" applyBorder="1"/>
    <xf numFmtId="42" fontId="30" fillId="0" borderId="84" xfId="2" applyNumberFormat="1" applyFont="1" applyBorder="1"/>
    <xf numFmtId="42" fontId="30" fillId="0" borderId="130" xfId="2" applyNumberFormat="1" applyFont="1" applyBorder="1"/>
    <xf numFmtId="41" fontId="30" fillId="12" borderId="15" xfId="10" applyNumberFormat="1" applyFont="1" applyFill="1" applyBorder="1"/>
    <xf numFmtId="41" fontId="30" fillId="12" borderId="91" xfId="10" applyNumberFormat="1" applyFont="1" applyFill="1" applyBorder="1"/>
    <xf numFmtId="41" fontId="30" fillId="12" borderId="129" xfId="10" applyNumberFormat="1" applyFont="1" applyFill="1" applyBorder="1"/>
    <xf numFmtId="41" fontId="30" fillId="12" borderId="5" xfId="10" applyNumberFormat="1" applyFont="1" applyFill="1" applyBorder="1"/>
    <xf numFmtId="41" fontId="30" fillId="12" borderId="19" xfId="10" applyNumberFormat="1" applyFont="1" applyFill="1" applyBorder="1"/>
    <xf numFmtId="41" fontId="30" fillId="12" borderId="5" xfId="2" applyNumberFormat="1" applyFont="1" applyFill="1" applyBorder="1"/>
    <xf numFmtId="41" fontId="30" fillId="12" borderId="19" xfId="2" applyNumberFormat="1" applyFont="1" applyFill="1" applyBorder="1"/>
    <xf numFmtId="43" fontId="7" fillId="0" borderId="31" xfId="2" applyNumberFormat="1" applyFont="1" applyBorder="1"/>
    <xf numFmtId="0" fontId="7" fillId="0" borderId="82" xfId="10" applyFont="1" applyBorder="1"/>
    <xf numFmtId="0" fontId="7" fillId="0" borderId="27" xfId="10" applyFont="1" applyBorder="1"/>
    <xf numFmtId="164" fontId="7" fillId="6" borderId="54" xfId="11" applyNumberFormat="1" applyFont="1" applyFill="1" applyBorder="1" applyAlignment="1">
      <alignment horizontal="left" vertical="center"/>
    </xf>
    <xf numFmtId="41" fontId="7" fillId="13" borderId="54" xfId="6" applyNumberFormat="1" applyFont="1" applyFill="1" applyBorder="1" applyProtection="1">
      <protection locked="0"/>
    </xf>
    <xf numFmtId="41" fontId="7" fillId="13" borderId="54" xfId="13" applyNumberFormat="1" applyFont="1" applyFill="1" applyBorder="1" applyProtection="1">
      <protection locked="0"/>
    </xf>
    <xf numFmtId="41" fontId="7" fillId="0" borderId="32" xfId="6" applyNumberFormat="1" applyFont="1" applyBorder="1"/>
    <xf numFmtId="41" fontId="7" fillId="13" borderId="32" xfId="6" applyNumberFormat="1" applyFont="1" applyFill="1" applyBorder="1" applyProtection="1">
      <protection locked="0"/>
    </xf>
    <xf numFmtId="41" fontId="7" fillId="6" borderId="32" xfId="6" applyNumberFormat="1" applyFont="1" applyFill="1" applyBorder="1"/>
    <xf numFmtId="41" fontId="7" fillId="13" borderId="32" xfId="13" applyNumberFormat="1" applyFont="1" applyFill="1" applyBorder="1" applyProtection="1">
      <protection locked="0"/>
    </xf>
    <xf numFmtId="41" fontId="7" fillId="6" borderId="54" xfId="6" applyNumberFormat="1" applyFont="1" applyFill="1" applyBorder="1"/>
    <xf numFmtId="43" fontId="7" fillId="6" borderId="54" xfId="13" applyNumberFormat="1" applyFont="1" applyFill="1" applyBorder="1"/>
    <xf numFmtId="43" fontId="7" fillId="6" borderId="32" xfId="13" applyNumberFormat="1" applyFont="1" applyFill="1" applyBorder="1"/>
    <xf numFmtId="43" fontId="7" fillId="6" borderId="54" xfId="6" applyNumberFormat="1" applyFont="1" applyFill="1" applyBorder="1"/>
    <xf numFmtId="43" fontId="7" fillId="6" borderId="112" xfId="6" applyNumberFormat="1" applyFont="1" applyFill="1" applyBorder="1"/>
    <xf numFmtId="43" fontId="7" fillId="6" borderId="108" xfId="6" applyNumberFormat="1" applyFont="1" applyFill="1" applyBorder="1"/>
    <xf numFmtId="43" fontId="7" fillId="6" borderId="75" xfId="6" applyNumberFormat="1" applyFont="1" applyFill="1" applyBorder="1"/>
    <xf numFmtId="43" fontId="7" fillId="6" borderId="116" xfId="6" applyNumberFormat="1" applyFont="1" applyFill="1" applyBorder="1"/>
    <xf numFmtId="41" fontId="7" fillId="0" borderId="63" xfId="13" applyNumberFormat="1" applyFont="1" applyBorder="1"/>
    <xf numFmtId="41" fontId="7" fillId="13" borderId="7" xfId="6" applyNumberFormat="1" applyFont="1" applyFill="1" applyBorder="1" applyProtection="1">
      <protection locked="0"/>
    </xf>
    <xf numFmtId="41" fontId="7" fillId="13" borderId="7" xfId="13" applyNumberFormat="1" applyFont="1" applyFill="1" applyBorder="1" applyProtection="1">
      <protection locked="0"/>
    </xf>
    <xf numFmtId="41" fontId="7" fillId="13" borderId="26" xfId="13" applyNumberFormat="1" applyFont="1" applyFill="1" applyBorder="1" applyProtection="1">
      <protection locked="0"/>
    </xf>
    <xf numFmtId="41" fontId="7" fillId="13" borderId="75" xfId="13" applyNumberFormat="1" applyFont="1" applyFill="1" applyBorder="1" applyProtection="1">
      <protection locked="0"/>
    </xf>
    <xf numFmtId="41" fontId="7" fillId="13" borderId="116" xfId="13" applyNumberFormat="1" applyFont="1" applyFill="1" applyBorder="1" applyProtection="1">
      <protection locked="0"/>
    </xf>
    <xf numFmtId="41" fontId="7" fillId="13" borderId="112" xfId="13" applyNumberFormat="1" applyFont="1" applyFill="1" applyBorder="1" applyProtection="1">
      <protection locked="0"/>
    </xf>
    <xf numFmtId="41" fontId="7" fillId="13" borderId="108" xfId="13" applyNumberFormat="1" applyFont="1" applyFill="1" applyBorder="1" applyProtection="1">
      <protection locked="0"/>
    </xf>
    <xf numFmtId="42" fontId="7" fillId="0" borderId="131" xfId="13" applyNumberFormat="1" applyFont="1" applyBorder="1"/>
    <xf numFmtId="41" fontId="7" fillId="0" borderId="7" xfId="13" applyNumberFormat="1" applyFont="1" applyBorder="1"/>
    <xf numFmtId="41" fontId="7" fillId="0" borderId="62" xfId="7" applyNumberFormat="1" applyFont="1" applyBorder="1"/>
    <xf numFmtId="41" fontId="7" fillId="0" borderId="75" xfId="7" applyNumberFormat="1" applyFont="1" applyBorder="1"/>
    <xf numFmtId="41" fontId="7" fillId="0" borderId="149" xfId="6" applyNumberFormat="1" applyFont="1" applyBorder="1"/>
    <xf numFmtId="41" fontId="7" fillId="0" borderId="26" xfId="6" applyNumberFormat="1" applyFont="1" applyBorder="1"/>
    <xf numFmtId="5" fontId="7" fillId="0" borderId="105" xfId="6" applyFont="1" applyBorder="1"/>
    <xf numFmtId="41" fontId="7" fillId="3" borderId="76" xfId="7" applyNumberFormat="1" applyFont="1" applyFill="1" applyBorder="1"/>
    <xf numFmtId="41" fontId="7" fillId="6" borderId="54" xfId="13" applyNumberFormat="1" applyFont="1" applyFill="1" applyBorder="1"/>
    <xf numFmtId="41" fontId="7" fillId="3" borderId="75" xfId="13" applyNumberFormat="1" applyFont="1" applyFill="1" applyBorder="1"/>
    <xf numFmtId="41" fontId="7" fillId="0" borderId="31" xfId="6" applyNumberFormat="1" applyFont="1" applyBorder="1"/>
    <xf numFmtId="41" fontId="7" fillId="0" borderId="31" xfId="5" applyNumberFormat="1" applyFont="1" applyBorder="1"/>
    <xf numFmtId="41" fontId="7" fillId="0" borderId="31" xfId="13" applyNumberFormat="1" applyFont="1" applyBorder="1"/>
    <xf numFmtId="41" fontId="7" fillId="6" borderId="32" xfId="13" applyNumberFormat="1" applyFont="1" applyFill="1" applyBorder="1"/>
    <xf numFmtId="41" fontId="7" fillId="0" borderId="62" xfId="6" applyNumberFormat="1" applyFont="1" applyBorder="1"/>
    <xf numFmtId="41" fontId="7" fillId="0" borderId="55" xfId="13" applyNumberFormat="1" applyFont="1" applyBorder="1"/>
    <xf numFmtId="41" fontId="7" fillId="13" borderId="76" xfId="6" applyNumberFormat="1" applyFont="1" applyFill="1" applyBorder="1" applyProtection="1">
      <protection locked="0"/>
    </xf>
    <xf numFmtId="41" fontId="7" fillId="0" borderId="26" xfId="13" applyNumberFormat="1" applyFont="1" applyBorder="1"/>
    <xf numFmtId="41" fontId="7" fillId="13" borderId="11" xfId="13" applyNumberFormat="1" applyFont="1" applyFill="1" applyBorder="1" applyProtection="1">
      <protection locked="0"/>
    </xf>
    <xf numFmtId="41" fontId="7" fillId="6" borderId="7" xfId="13" applyNumberFormat="1" applyFont="1" applyFill="1" applyBorder="1"/>
    <xf numFmtId="41" fontId="7" fillId="0" borderId="143" xfId="6" applyNumberFormat="1" applyFont="1" applyBorder="1"/>
    <xf numFmtId="41" fontId="7" fillId="6" borderId="76" xfId="6" applyNumberFormat="1" applyFont="1" applyFill="1" applyBorder="1"/>
    <xf numFmtId="41" fontId="7" fillId="0" borderId="21" xfId="6" applyNumberFormat="1" applyFont="1" applyBorder="1"/>
    <xf numFmtId="41" fontId="7" fillId="0" borderId="21" xfId="13" applyNumberFormat="1" applyFont="1" applyBorder="1"/>
    <xf numFmtId="41" fontId="7" fillId="5" borderId="116" xfId="6" applyNumberFormat="1" applyFont="1" applyFill="1" applyBorder="1" applyProtection="1">
      <protection locked="0"/>
    </xf>
    <xf numFmtId="41" fontId="7" fillId="5" borderId="75" xfId="3" applyNumberFormat="1" applyFont="1" applyFill="1" applyBorder="1" applyProtection="1">
      <protection locked="0"/>
    </xf>
    <xf numFmtId="41" fontId="7" fillId="5" borderId="75" xfId="1" applyNumberFormat="1" applyFont="1" applyFill="1" applyBorder="1" applyProtection="1">
      <protection locked="0"/>
    </xf>
    <xf numFmtId="41" fontId="7" fillId="5" borderId="32" xfId="13" applyNumberFormat="1" applyFont="1" applyFill="1" applyBorder="1" applyProtection="1">
      <protection locked="0"/>
    </xf>
    <xf numFmtId="41" fontId="7" fillId="5" borderId="32" xfId="1" applyNumberFormat="1" applyFont="1" applyFill="1" applyBorder="1" applyProtection="1">
      <protection locked="0"/>
    </xf>
    <xf numFmtId="41" fontId="7" fillId="5" borderId="32" xfId="3" applyNumberFormat="1" applyFont="1" applyFill="1" applyBorder="1" applyProtection="1">
      <protection locked="0"/>
    </xf>
    <xf numFmtId="41" fontId="7" fillId="5" borderId="112" xfId="3" applyNumberFormat="1" applyFont="1" applyFill="1" applyBorder="1" applyProtection="1">
      <protection locked="0"/>
    </xf>
    <xf numFmtId="41" fontId="7" fillId="5" borderId="112" xfId="1" applyNumberFormat="1" applyFont="1" applyFill="1" applyBorder="1" applyProtection="1">
      <protection locked="0"/>
    </xf>
    <xf numFmtId="41" fontId="7" fillId="5" borderId="112" xfId="0" applyNumberFormat="1" applyFont="1" applyFill="1" applyBorder="1" applyProtection="1">
      <protection locked="0"/>
    </xf>
    <xf numFmtId="41" fontId="7" fillId="5" borderId="153" xfId="0" applyNumberFormat="1" applyFont="1" applyFill="1" applyBorder="1" applyProtection="1">
      <protection locked="0"/>
    </xf>
    <xf numFmtId="41" fontId="7" fillId="5" borderId="63" xfId="6" applyNumberFormat="1" applyFont="1" applyFill="1" applyBorder="1" applyProtection="1">
      <protection locked="0"/>
    </xf>
    <xf numFmtId="41" fontId="7" fillId="5" borderId="154" xfId="6" applyNumberFormat="1" applyFont="1" applyFill="1" applyBorder="1" applyProtection="1">
      <protection locked="0"/>
    </xf>
    <xf numFmtId="41" fontId="7" fillId="5" borderId="20" xfId="6" applyNumberFormat="1" applyFont="1" applyFill="1" applyBorder="1" applyProtection="1">
      <protection locked="0"/>
    </xf>
    <xf numFmtId="41" fontId="7" fillId="5" borderId="78" xfId="6" applyNumberFormat="1" applyFont="1" applyFill="1" applyBorder="1" applyProtection="1">
      <protection locked="0"/>
    </xf>
    <xf numFmtId="41" fontId="7" fillId="5" borderId="70" xfId="6" applyNumberFormat="1" applyFont="1" applyFill="1" applyBorder="1" applyProtection="1">
      <protection locked="0"/>
    </xf>
    <xf numFmtId="10" fontId="7" fillId="0" borderId="105" xfId="6" applyNumberFormat="1" applyFont="1" applyBorder="1"/>
    <xf numFmtId="10" fontId="7" fillId="0" borderId="27" xfId="6" applyNumberFormat="1" applyFont="1" applyBorder="1"/>
    <xf numFmtId="10" fontId="7" fillId="0" borderId="23" xfId="6" applyNumberFormat="1" applyFont="1" applyBorder="1"/>
    <xf numFmtId="10" fontId="7" fillId="0" borderId="22" xfId="6" applyNumberFormat="1" applyFont="1" applyBorder="1"/>
    <xf numFmtId="10" fontId="42" fillId="0" borderId="0" xfId="13" applyNumberFormat="1" applyFont="1" applyAlignment="1">
      <alignment horizontal="left"/>
    </xf>
    <xf numFmtId="10" fontId="0" fillId="0" borderId="105" xfId="0" applyNumberFormat="1" applyBorder="1"/>
    <xf numFmtId="10" fontId="0" fillId="0" borderId="27" xfId="0" applyNumberFormat="1" applyBorder="1"/>
    <xf numFmtId="10" fontId="0" fillId="0" borderId="23" xfId="0" applyNumberFormat="1" applyBorder="1"/>
    <xf numFmtId="10" fontId="0" fillId="0" borderId="22" xfId="0" applyNumberFormat="1" applyBorder="1"/>
    <xf numFmtId="10" fontId="0" fillId="0" borderId="31" xfId="0" applyNumberFormat="1" applyBorder="1"/>
    <xf numFmtId="10" fontId="0" fillId="0" borderId="107" xfId="0" applyNumberFormat="1" applyBorder="1"/>
    <xf numFmtId="10" fontId="0" fillId="0" borderId="101" xfId="0" applyNumberFormat="1" applyBorder="1"/>
    <xf numFmtId="10" fontId="0" fillId="0" borderId="114" xfId="0" applyNumberFormat="1" applyBorder="1"/>
    <xf numFmtId="10" fontId="0" fillId="0" borderId="109" xfId="0" applyNumberFormat="1" applyBorder="1"/>
    <xf numFmtId="10" fontId="7" fillId="0" borderId="101" xfId="6" applyNumberFormat="1" applyFont="1" applyBorder="1"/>
    <xf numFmtId="10" fontId="0" fillId="0" borderId="51" xfId="0" applyNumberFormat="1" applyBorder="1"/>
    <xf numFmtId="10" fontId="0" fillId="0" borderId="19" xfId="0" applyNumberFormat="1" applyBorder="1"/>
    <xf numFmtId="41" fontId="7" fillId="4" borderId="147" xfId="5" applyNumberFormat="1" applyFont="1" applyFill="1" applyBorder="1" applyProtection="1">
      <protection locked="0"/>
    </xf>
    <xf numFmtId="41" fontId="7" fillId="4" borderId="106" xfId="5" applyNumberFormat="1" applyFont="1" applyFill="1" applyBorder="1" applyProtection="1">
      <protection locked="0"/>
    </xf>
    <xf numFmtId="41" fontId="7" fillId="4" borderId="155" xfId="5" applyNumberFormat="1" applyFont="1" applyFill="1" applyBorder="1" applyProtection="1">
      <protection locked="0"/>
    </xf>
    <xf numFmtId="38" fontId="7" fillId="0" borderId="30" xfId="6" applyNumberFormat="1" applyFont="1" applyBorder="1"/>
    <xf numFmtId="10" fontId="0" fillId="0" borderId="156" xfId="0" applyNumberFormat="1" applyBorder="1"/>
    <xf numFmtId="10" fontId="7" fillId="6" borderId="7" xfId="7" applyNumberFormat="1" applyFont="1" applyFill="1" applyBorder="1"/>
    <xf numFmtId="10" fontId="7" fillId="0" borderId="0" xfId="6" applyNumberFormat="1" applyFont="1"/>
    <xf numFmtId="10" fontId="7" fillId="0" borderId="30" xfId="6" applyNumberFormat="1" applyFont="1" applyBorder="1"/>
    <xf numFmtId="10" fontId="7" fillId="0" borderId="19" xfId="6" applyNumberFormat="1" applyFont="1" applyBorder="1"/>
    <xf numFmtId="10" fontId="7" fillId="0" borderId="129" xfId="6" applyNumberFormat="1" applyFont="1" applyBorder="1"/>
    <xf numFmtId="41" fontId="7" fillId="0" borderId="21" xfId="5" applyNumberFormat="1" applyFont="1" applyBorder="1"/>
    <xf numFmtId="43" fontId="7" fillId="6" borderId="7" xfId="6" applyNumberFormat="1" applyFont="1" applyFill="1" applyBorder="1"/>
    <xf numFmtId="41" fontId="7" fillId="0" borderId="11" xfId="6" applyNumberFormat="1" applyFont="1" applyBorder="1"/>
    <xf numFmtId="41" fontId="0" fillId="0" borderId="21" xfId="0" applyNumberFormat="1" applyBorder="1"/>
    <xf numFmtId="0" fontId="0" fillId="0" borderId="0" xfId="0" applyAlignment="1">
      <alignment vertical="top"/>
    </xf>
    <xf numFmtId="5" fontId="7" fillId="0" borderId="19" xfId="6" applyFont="1" applyBorder="1"/>
    <xf numFmtId="38" fontId="7" fillId="0" borderId="19" xfId="13" applyNumberFormat="1" applyFont="1" applyBorder="1"/>
    <xf numFmtId="38" fontId="7" fillId="0" borderId="129" xfId="6" applyNumberFormat="1" applyFont="1" applyBorder="1"/>
    <xf numFmtId="38" fontId="7" fillId="7" borderId="143" xfId="6" applyNumberFormat="1" applyFont="1" applyFill="1" applyBorder="1"/>
    <xf numFmtId="3" fontId="7" fillId="7" borderId="11" xfId="6" applyNumberFormat="1" applyFont="1" applyFill="1" applyBorder="1"/>
    <xf numFmtId="38" fontId="7" fillId="7" borderId="11" xfId="6" applyNumberFormat="1" applyFont="1" applyFill="1" applyBorder="1"/>
    <xf numFmtId="0" fontId="0" fillId="0" borderId="0" xfId="0" applyAlignment="1">
      <alignment horizontal="center"/>
    </xf>
    <xf numFmtId="41" fontId="7" fillId="6" borderId="7" xfId="6" applyNumberFormat="1" applyFont="1" applyFill="1" applyBorder="1"/>
    <xf numFmtId="41" fontId="7" fillId="7" borderId="76" xfId="6" applyNumberFormat="1" applyFont="1" applyFill="1" applyBorder="1"/>
    <xf numFmtId="41" fontId="7" fillId="7" borderId="149" xfId="6" applyNumberFormat="1" applyFont="1" applyFill="1" applyBorder="1"/>
    <xf numFmtId="41" fontId="7" fillId="5" borderId="116" xfId="7" applyNumberFormat="1" applyFont="1" applyFill="1" applyBorder="1" applyProtection="1">
      <protection locked="0"/>
    </xf>
    <xf numFmtId="41" fontId="7" fillId="6" borderId="112" xfId="6" applyNumberFormat="1" applyFont="1" applyFill="1" applyBorder="1"/>
    <xf numFmtId="41" fontId="7" fillId="6" borderId="108" xfId="6" applyNumberFormat="1" applyFont="1" applyFill="1" applyBorder="1"/>
    <xf numFmtId="41" fontId="7" fillId="0" borderId="55" xfId="7" applyNumberFormat="1" applyFont="1" applyBorder="1"/>
    <xf numFmtId="41" fontId="7" fillId="0" borderId="116" xfId="6" applyNumberFormat="1" applyFont="1" applyBorder="1"/>
    <xf numFmtId="41" fontId="7" fillId="10" borderId="106" xfId="6" applyNumberFormat="1" applyFont="1" applyFill="1" applyBorder="1" applyProtection="1">
      <protection locked="0"/>
    </xf>
    <xf numFmtId="41" fontId="7" fillId="10" borderId="157" xfId="6" applyNumberFormat="1" applyFont="1" applyFill="1" applyBorder="1" applyProtection="1">
      <protection locked="0"/>
    </xf>
    <xf numFmtId="41" fontId="7" fillId="10" borderId="11" xfId="6" applyNumberFormat="1" applyFont="1" applyFill="1" applyBorder="1" applyProtection="1">
      <protection locked="0"/>
    </xf>
    <xf numFmtId="0" fontId="7" fillId="0" borderId="119" xfId="0" applyFont="1" applyBorder="1"/>
    <xf numFmtId="42" fontId="7" fillId="0" borderId="131" xfId="6" applyNumberFormat="1" applyFont="1" applyBorder="1"/>
    <xf numFmtId="10" fontId="7" fillId="0" borderId="131" xfId="13" applyNumberFormat="1" applyFont="1" applyBorder="1"/>
    <xf numFmtId="10" fontId="7" fillId="0" borderId="110" xfId="13" applyNumberFormat="1" applyFont="1" applyBorder="1"/>
    <xf numFmtId="0" fontId="7" fillId="0" borderId="158" xfId="0" applyFont="1" applyBorder="1" applyAlignment="1">
      <alignment horizontal="left"/>
    </xf>
    <xf numFmtId="42" fontId="7" fillId="0" borderId="159" xfId="6" applyNumberFormat="1" applyFont="1" applyBorder="1"/>
    <xf numFmtId="0" fontId="31" fillId="0" borderId="104" xfId="0" applyFont="1" applyBorder="1"/>
    <xf numFmtId="41" fontId="7" fillId="0" borderId="146" xfId="5" applyNumberFormat="1" applyFont="1" applyBorder="1"/>
    <xf numFmtId="41" fontId="7" fillId="0" borderId="26" xfId="5" applyNumberFormat="1" applyFont="1" applyBorder="1"/>
    <xf numFmtId="10" fontId="7" fillId="6" borderId="160" xfId="13" applyNumberFormat="1" applyFont="1" applyFill="1" applyBorder="1"/>
    <xf numFmtId="10" fontId="7" fillId="6" borderId="161" xfId="13" applyNumberFormat="1" applyFont="1" applyFill="1" applyBorder="1"/>
    <xf numFmtId="0" fontId="7" fillId="0" borderId="162" xfId="0" applyFont="1" applyBorder="1"/>
    <xf numFmtId="0" fontId="7" fillId="0" borderId="115" xfId="0" applyFont="1" applyBorder="1" applyAlignment="1">
      <alignment horizontal="center"/>
    </xf>
    <xf numFmtId="0" fontId="7" fillId="0" borderId="159" xfId="0" applyFont="1" applyBorder="1"/>
    <xf numFmtId="0" fontId="7" fillId="0" borderId="131" xfId="0" applyFont="1" applyBorder="1"/>
    <xf numFmtId="0" fontId="7" fillId="0" borderId="131" xfId="0" applyFont="1" applyBorder="1" applyAlignment="1">
      <alignment horizontal="center"/>
    </xf>
    <xf numFmtId="0" fontId="6" fillId="0" borderId="163" xfId="0" applyFont="1" applyBorder="1"/>
    <xf numFmtId="0" fontId="7" fillId="0" borderId="133" xfId="0" applyFont="1" applyBorder="1"/>
    <xf numFmtId="42" fontId="7" fillId="0" borderId="133" xfId="6" applyNumberFormat="1" applyFont="1" applyBorder="1"/>
    <xf numFmtId="10" fontId="7" fillId="0" borderId="133" xfId="13" applyNumberFormat="1" applyFont="1" applyBorder="1"/>
    <xf numFmtId="10" fontId="7" fillId="0" borderId="134" xfId="13" applyNumberFormat="1" applyFont="1" applyBorder="1"/>
    <xf numFmtId="0" fontId="7" fillId="0" borderId="164" xfId="0" applyFont="1" applyBorder="1"/>
    <xf numFmtId="0" fontId="7" fillId="0" borderId="165" xfId="0" applyFont="1" applyBorder="1" applyAlignment="1">
      <alignment horizontal="center"/>
    </xf>
    <xf numFmtId="0" fontId="7" fillId="0" borderId="63" xfId="0" applyFont="1" applyBorder="1"/>
    <xf numFmtId="41" fontId="7" fillId="10" borderId="116" xfId="7" applyNumberFormat="1" applyFont="1" applyFill="1" applyBorder="1" applyProtection="1">
      <protection locked="0"/>
    </xf>
    <xf numFmtId="41" fontId="7" fillId="4" borderId="108" xfId="7" applyNumberFormat="1" applyFont="1" applyFill="1" applyBorder="1" applyProtection="1">
      <protection locked="0"/>
    </xf>
    <xf numFmtId="41" fontId="7" fillId="4" borderId="26" xfId="7" applyNumberFormat="1" applyFont="1" applyFill="1" applyBorder="1" applyProtection="1">
      <protection locked="0"/>
    </xf>
    <xf numFmtId="10" fontId="7" fillId="0" borderId="132" xfId="13" applyNumberFormat="1" applyFont="1" applyBorder="1"/>
    <xf numFmtId="0" fontId="7" fillId="0" borderId="56" xfId="0" applyFont="1" applyBorder="1"/>
    <xf numFmtId="0" fontId="7" fillId="0" borderId="78" xfId="0" applyFont="1" applyBorder="1" applyAlignment="1">
      <alignment horizontal="center"/>
    </xf>
    <xf numFmtId="0" fontId="7" fillId="0" borderId="158" xfId="0" applyFont="1" applyBorder="1"/>
    <xf numFmtId="0" fontId="7" fillId="0" borderId="166" xfId="0" applyFont="1" applyBorder="1"/>
    <xf numFmtId="0" fontId="7" fillId="0" borderId="167" xfId="0" applyFont="1" applyBorder="1"/>
    <xf numFmtId="0" fontId="7" fillId="0" borderId="104" xfId="0" applyFont="1" applyBorder="1"/>
    <xf numFmtId="0" fontId="7" fillId="0" borderId="119" xfId="0" applyFont="1" applyBorder="1" applyAlignment="1">
      <alignment horizontal="center"/>
    </xf>
    <xf numFmtId="41" fontId="7" fillId="4" borderId="63" xfId="6" applyNumberFormat="1" applyFont="1" applyFill="1" applyBorder="1" applyProtection="1">
      <protection locked="0"/>
    </xf>
    <xf numFmtId="41" fontId="7" fillId="4" borderId="149" xfId="7" applyNumberFormat="1" applyFont="1" applyFill="1" applyBorder="1" applyProtection="1">
      <protection locked="0"/>
    </xf>
    <xf numFmtId="0" fontId="0" fillId="6" borderId="160" xfId="0" applyFill="1" applyBorder="1" applyAlignment="1">
      <alignment horizontal="center"/>
    </xf>
    <xf numFmtId="3" fontId="7" fillId="6" borderId="160" xfId="13" applyNumberFormat="1" applyFont="1" applyFill="1" applyBorder="1"/>
    <xf numFmtId="41" fontId="7" fillId="0" borderId="119" xfId="0" applyNumberFormat="1" applyFont="1" applyBorder="1"/>
    <xf numFmtId="41" fontId="7" fillId="0" borderId="158" xfId="0" applyNumberFormat="1" applyFont="1" applyBorder="1"/>
    <xf numFmtId="0" fontId="7" fillId="6" borderId="54" xfId="0" applyFont="1" applyFill="1" applyBorder="1"/>
    <xf numFmtId="38" fontId="7" fillId="6" borderId="54" xfId="13" applyNumberFormat="1" applyFont="1" applyFill="1" applyBorder="1" applyAlignment="1">
      <alignment horizontal="left"/>
    </xf>
    <xf numFmtId="41" fontId="7" fillId="0" borderId="146" xfId="6" applyNumberFormat="1" applyFont="1" applyBorder="1"/>
    <xf numFmtId="41" fontId="7" fillId="0" borderId="115" xfId="6" applyNumberFormat="1" applyFont="1" applyBorder="1"/>
    <xf numFmtId="10" fontId="7" fillId="0" borderId="160" xfId="6" applyNumberFormat="1" applyFont="1" applyBorder="1"/>
    <xf numFmtId="0" fontId="6" fillId="0" borderId="168" xfId="0" applyFont="1" applyBorder="1"/>
    <xf numFmtId="10" fontId="7" fillId="0" borderId="169" xfId="6" applyNumberFormat="1" applyFont="1" applyBorder="1"/>
    <xf numFmtId="10" fontId="7" fillId="0" borderId="170" xfId="6" applyNumberFormat="1" applyFont="1" applyBorder="1"/>
    <xf numFmtId="0" fontId="6" fillId="0" borderId="171" xfId="0" applyFont="1" applyBorder="1"/>
    <xf numFmtId="41" fontId="7" fillId="0" borderId="27" xfId="0" applyNumberFormat="1" applyFont="1" applyBorder="1"/>
    <xf numFmtId="9" fontId="6" fillId="0" borderId="27" xfId="13" applyFont="1" applyBorder="1" applyAlignment="1">
      <alignment horizontal="right"/>
    </xf>
    <xf numFmtId="41" fontId="7" fillId="0" borderId="119" xfId="13" applyNumberFormat="1" applyFont="1" applyBorder="1"/>
    <xf numFmtId="41" fontId="7" fillId="13" borderId="63" xfId="13" applyNumberFormat="1" applyFont="1" applyFill="1" applyBorder="1" applyProtection="1">
      <protection locked="0"/>
    </xf>
    <xf numFmtId="41" fontId="7" fillId="13" borderId="119" xfId="13" applyNumberFormat="1" applyFont="1" applyFill="1" applyBorder="1" applyProtection="1">
      <protection locked="0"/>
    </xf>
    <xf numFmtId="42" fontId="7" fillId="0" borderId="169" xfId="6" applyNumberFormat="1" applyFont="1" applyBorder="1"/>
    <xf numFmtId="41" fontId="7" fillId="6" borderId="75" xfId="6" applyNumberFormat="1" applyFont="1" applyFill="1" applyBorder="1"/>
    <xf numFmtId="42" fontId="7" fillId="0" borderId="54" xfId="13" applyNumberFormat="1" applyFont="1" applyBorder="1"/>
    <xf numFmtId="0" fontId="7" fillId="0" borderId="172" xfId="0" applyFont="1" applyBorder="1"/>
    <xf numFmtId="0" fontId="7" fillId="0" borderId="167" xfId="0" applyFont="1" applyBorder="1" applyAlignment="1">
      <alignment horizontal="center"/>
    </xf>
    <xf numFmtId="0" fontId="7" fillId="0" borderId="169" xfId="0" applyFont="1" applyBorder="1"/>
    <xf numFmtId="42" fontId="7" fillId="0" borderId="169" xfId="13" applyNumberFormat="1" applyFont="1" applyBorder="1"/>
    <xf numFmtId="0" fontId="7" fillId="0" borderId="173" xfId="0" applyFont="1" applyBorder="1"/>
    <xf numFmtId="0" fontId="7" fillId="0" borderId="174" xfId="0" applyFont="1" applyBorder="1" applyAlignment="1">
      <alignment horizontal="center"/>
    </xf>
    <xf numFmtId="5" fontId="7" fillId="0" borderId="56" xfId="6" applyFont="1" applyBorder="1"/>
    <xf numFmtId="10" fontId="7" fillId="0" borderId="56" xfId="13" applyNumberFormat="1" applyFont="1" applyBorder="1"/>
    <xf numFmtId="0" fontId="7" fillId="0" borderId="76" xfId="0" applyFont="1" applyBorder="1" applyAlignment="1">
      <alignment horizontal="center"/>
    </xf>
    <xf numFmtId="0" fontId="29" fillId="6" borderId="31" xfId="0" applyFont="1" applyFill="1" applyBorder="1"/>
    <xf numFmtId="0" fontId="31" fillId="6" borderId="49" xfId="0" quotePrefix="1" applyFont="1" applyFill="1" applyBorder="1" applyAlignment="1">
      <alignment horizontal="center"/>
    </xf>
    <xf numFmtId="9" fontId="6" fillId="0" borderId="0" xfId="13" applyFont="1" applyAlignment="1">
      <alignment horizontal="right"/>
    </xf>
    <xf numFmtId="9" fontId="7" fillId="0" borderId="0" xfId="13" applyFont="1" applyAlignment="1">
      <alignment horizontal="left"/>
    </xf>
    <xf numFmtId="38" fontId="7" fillId="0" borderId="0" xfId="13" applyNumberFormat="1" applyFont="1" applyAlignment="1">
      <alignment horizontal="left"/>
    </xf>
    <xf numFmtId="38" fontId="7" fillId="0" borderId="0" xfId="13" applyNumberFormat="1" applyFont="1"/>
    <xf numFmtId="9" fontId="7" fillId="0" borderId="54" xfId="13" applyFont="1" applyBorder="1" applyAlignment="1">
      <alignment horizontal="left"/>
    </xf>
    <xf numFmtId="167" fontId="7" fillId="6" borderId="54" xfId="6" applyNumberFormat="1" applyFont="1" applyFill="1" applyBorder="1"/>
    <xf numFmtId="167" fontId="7" fillId="6" borderId="54" xfId="13" applyNumberFormat="1" applyFont="1" applyFill="1" applyBorder="1"/>
    <xf numFmtId="44" fontId="7" fillId="0" borderId="54" xfId="13" applyNumberFormat="1" applyFont="1" applyBorder="1"/>
    <xf numFmtId="9" fontId="7" fillId="0" borderId="49" xfId="13" applyFont="1" applyBorder="1" applyAlignment="1">
      <alignment horizontal="left"/>
    </xf>
    <xf numFmtId="3" fontId="7" fillId="6" borderId="54" xfId="13" applyNumberFormat="1" applyFont="1" applyFill="1" applyBorder="1" applyAlignment="1">
      <alignment horizontal="left"/>
    </xf>
    <xf numFmtId="42" fontId="7" fillId="0" borderId="54" xfId="6" applyNumberFormat="1" applyFont="1" applyBorder="1"/>
    <xf numFmtId="41" fontId="7" fillId="0" borderId="74" xfId="5" applyNumberFormat="1" applyFont="1" applyBorder="1"/>
    <xf numFmtId="41" fontId="7" fillId="0" borderId="74" xfId="6" applyNumberFormat="1" applyFont="1" applyBorder="1"/>
    <xf numFmtId="41" fontId="7" fillId="0" borderId="86" xfId="5" applyNumberFormat="1" applyFont="1" applyBorder="1"/>
    <xf numFmtId="10" fontId="0" fillId="0" borderId="0" xfId="0" applyNumberFormat="1"/>
    <xf numFmtId="10" fontId="7" fillId="0" borderId="56" xfId="6" applyNumberFormat="1" applyFont="1" applyBorder="1"/>
    <xf numFmtId="10" fontId="7" fillId="0" borderId="175" xfId="6" applyNumberFormat="1" applyFont="1" applyBorder="1"/>
    <xf numFmtId="0" fontId="7" fillId="0" borderId="176" xfId="0" applyFont="1" applyBorder="1" applyAlignment="1">
      <alignment horizontal="center"/>
    </xf>
    <xf numFmtId="41" fontId="7" fillId="0" borderId="0" xfId="0" applyNumberFormat="1" applyFont="1"/>
    <xf numFmtId="41" fontId="7" fillId="6" borderId="75" xfId="7" applyNumberFormat="1" applyFont="1" applyFill="1" applyBorder="1"/>
    <xf numFmtId="0" fontId="31" fillId="0" borderId="49" xfId="0" applyFont="1" applyBorder="1" applyAlignment="1">
      <alignment horizontal="center"/>
    </xf>
    <xf numFmtId="0" fontId="31" fillId="0" borderId="177" xfId="0" applyFont="1" applyBorder="1" applyAlignment="1">
      <alignment horizontal="center"/>
    </xf>
    <xf numFmtId="0" fontId="31" fillId="6" borderId="49" xfId="0" applyFont="1" applyFill="1" applyBorder="1" applyAlignment="1">
      <alignment horizontal="center"/>
    </xf>
    <xf numFmtId="41" fontId="7" fillId="6" borderId="143" xfId="6" applyNumberFormat="1" applyFont="1" applyFill="1" applyBorder="1"/>
    <xf numFmtId="41" fontId="7" fillId="6" borderId="11" xfId="6" applyNumberFormat="1" applyFont="1" applyFill="1" applyBorder="1"/>
    <xf numFmtId="41" fontId="7" fillId="6" borderId="11" xfId="13" applyNumberFormat="1" applyFont="1" applyFill="1" applyBorder="1"/>
    <xf numFmtId="41" fontId="7" fillId="6" borderId="136" xfId="13" applyNumberFormat="1" applyFont="1" applyFill="1" applyBorder="1"/>
    <xf numFmtId="41" fontId="7" fillId="6" borderId="75" xfId="13" applyNumberFormat="1" applyFont="1" applyFill="1" applyBorder="1"/>
    <xf numFmtId="41" fontId="0" fillId="6" borderId="112" xfId="0" applyNumberFormat="1" applyFill="1" applyBorder="1"/>
    <xf numFmtId="41" fontId="7" fillId="6" borderId="112" xfId="13" applyNumberFormat="1" applyFont="1" applyFill="1" applyBorder="1"/>
    <xf numFmtId="41" fontId="7" fillId="10" borderId="149" xfId="6" applyNumberFormat="1" applyFont="1" applyFill="1" applyBorder="1" applyProtection="1">
      <protection locked="0"/>
    </xf>
    <xf numFmtId="43" fontId="6" fillId="0" borderId="0" xfId="11" applyNumberFormat="1" applyFont="1" applyAlignment="1">
      <alignment horizontal="center" vertical="center"/>
    </xf>
    <xf numFmtId="10" fontId="7" fillId="14" borderId="160" xfId="13" applyNumberFormat="1" applyFont="1" applyFill="1" applyBorder="1"/>
    <xf numFmtId="10" fontId="7" fillId="14" borderId="161" xfId="13" applyNumberFormat="1" applyFont="1" applyFill="1" applyBorder="1"/>
    <xf numFmtId="9" fontId="6" fillId="5" borderId="6" xfId="13" applyFont="1" applyFill="1" applyBorder="1" applyAlignment="1" applyProtection="1">
      <alignment horizontal="center" vertical="center"/>
      <protection locked="0"/>
    </xf>
    <xf numFmtId="10" fontId="30" fillId="0" borderId="178" xfId="13" applyNumberFormat="1" applyFont="1" applyBorder="1"/>
    <xf numFmtId="42" fontId="30" fillId="0" borderId="179" xfId="2" applyNumberFormat="1" applyFont="1" applyBorder="1"/>
    <xf numFmtId="9" fontId="7" fillId="0" borderId="124" xfId="13" applyFont="1" applyBorder="1" applyAlignment="1">
      <alignment horizontal="center"/>
    </xf>
    <xf numFmtId="9" fontId="7" fillId="0" borderId="125" xfId="13" applyFont="1" applyBorder="1" applyAlignment="1">
      <alignment horizontal="center"/>
    </xf>
    <xf numFmtId="41" fontId="7" fillId="0" borderId="45" xfId="13" applyNumberFormat="1" applyFont="1" applyBorder="1"/>
    <xf numFmtId="43" fontId="7" fillId="14" borderId="75" xfId="6" applyNumberFormat="1" applyFont="1" applyFill="1" applyBorder="1"/>
    <xf numFmtId="10" fontId="7" fillId="0" borderId="51" xfId="13" applyNumberFormat="1" applyFont="1" applyBorder="1" applyAlignment="1">
      <alignment vertical="center"/>
    </xf>
    <xf numFmtId="0" fontId="7" fillId="0" borderId="10" xfId="11" applyFont="1" applyBorder="1" applyAlignment="1">
      <alignment vertical="center"/>
    </xf>
    <xf numFmtId="43" fontId="7" fillId="14" borderId="84" xfId="11" applyNumberFormat="1" applyFont="1" applyFill="1" applyBorder="1" applyAlignment="1">
      <alignment horizontal="left" vertical="center"/>
    </xf>
    <xf numFmtId="43" fontId="6" fillId="0" borderId="180" xfId="11" applyNumberFormat="1" applyFont="1" applyBorder="1" applyAlignment="1">
      <alignment horizontal="left" vertical="center" wrapText="1"/>
    </xf>
    <xf numFmtId="43" fontId="6" fillId="0" borderId="46" xfId="11" applyNumberFormat="1" applyFont="1" applyBorder="1" applyAlignment="1">
      <alignment horizontal="left" vertical="center" wrapText="1"/>
    </xf>
    <xf numFmtId="10" fontId="7" fillId="14" borderId="180" xfId="11" applyNumberFormat="1" applyFont="1" applyFill="1" applyBorder="1" applyAlignment="1">
      <alignment vertical="center"/>
    </xf>
    <xf numFmtId="10" fontId="7" fillId="14" borderId="181" xfId="11" applyNumberFormat="1" applyFont="1" applyFill="1" applyBorder="1" applyAlignment="1">
      <alignment vertical="center"/>
    </xf>
    <xf numFmtId="43" fontId="7" fillId="14" borderId="182" xfId="11" applyNumberFormat="1" applyFont="1" applyFill="1" applyBorder="1" applyAlignment="1">
      <alignment horizontal="left" vertical="center"/>
    </xf>
    <xf numFmtId="43" fontId="7" fillId="14" borderId="183" xfId="11" applyNumberFormat="1" applyFont="1" applyFill="1" applyBorder="1" applyAlignment="1">
      <alignment horizontal="left" vertical="center"/>
    </xf>
    <xf numFmtId="42" fontId="7" fillId="0" borderId="7" xfId="13" applyNumberFormat="1" applyFont="1" applyBorder="1"/>
    <xf numFmtId="41" fontId="7" fillId="5" borderId="31" xfId="10" quotePrefix="1" applyNumberFormat="1" applyFont="1" applyFill="1" applyBorder="1" applyAlignment="1" applyProtection="1">
      <alignment horizontal="center"/>
      <protection locked="0"/>
    </xf>
    <xf numFmtId="41" fontId="7" fillId="5" borderId="31" xfId="10" applyNumberFormat="1" applyFont="1" applyFill="1" applyBorder="1" applyAlignment="1" applyProtection="1">
      <alignment horizontal="center"/>
      <protection locked="0"/>
    </xf>
    <xf numFmtId="41" fontId="6" fillId="0" borderId="0" xfId="10" applyNumberFormat="1" applyFont="1"/>
    <xf numFmtId="41" fontId="7" fillId="0" borderId="9" xfId="2" applyNumberFormat="1" applyFont="1" applyBorder="1" applyAlignment="1">
      <alignment horizontal="center"/>
    </xf>
    <xf numFmtId="41" fontId="7" fillId="0" borderId="0" xfId="10" applyNumberFormat="1" applyFont="1" applyAlignment="1">
      <alignment horizontal="center"/>
    </xf>
    <xf numFmtId="41" fontId="7" fillId="0" borderId="0" xfId="10" applyNumberFormat="1" applyFont="1"/>
    <xf numFmtId="41" fontId="7" fillId="0" borderId="184" xfId="10" applyNumberFormat="1" applyFont="1" applyBorder="1" applyAlignment="1">
      <alignment horizontal="center"/>
    </xf>
    <xf numFmtId="41" fontId="7" fillId="0" borderId="86" xfId="10" applyNumberFormat="1" applyFont="1" applyBorder="1" applyAlignment="1">
      <alignment horizontal="center"/>
    </xf>
    <xf numFmtId="41" fontId="7" fillId="0" borderId="17" xfId="10" applyNumberFormat="1" applyFont="1" applyBorder="1"/>
    <xf numFmtId="41" fontId="7" fillId="0" borderId="27" xfId="10" applyNumberFormat="1" applyFont="1" applyBorder="1"/>
    <xf numFmtId="41" fontId="7" fillId="0" borderId="31" xfId="10" applyNumberFormat="1" applyFont="1" applyBorder="1"/>
    <xf numFmtId="41" fontId="6" fillId="0" borderId="0" xfId="10" applyNumberFormat="1" applyFont="1" applyAlignment="1">
      <alignment horizontal="center"/>
    </xf>
    <xf numFmtId="41" fontId="6" fillId="0" borderId="0" xfId="10" applyNumberFormat="1" applyFont="1" applyAlignment="1">
      <alignment horizontal="left"/>
    </xf>
    <xf numFmtId="41" fontId="30" fillId="0" borderId="31" xfId="10" applyNumberFormat="1" applyFont="1" applyBorder="1"/>
    <xf numFmtId="41" fontId="7" fillId="0" borderId="185" xfId="10" applyNumberFormat="1" applyFont="1" applyBorder="1" applyAlignment="1">
      <alignment horizontal="center"/>
    </xf>
    <xf numFmtId="41" fontId="7" fillId="0" borderId="15" xfId="10" applyNumberFormat="1" applyFont="1" applyBorder="1" applyAlignment="1">
      <alignment horizontal="center"/>
    </xf>
    <xf numFmtId="41" fontId="7" fillId="0" borderId="15" xfId="10" applyNumberFormat="1" applyFont="1" applyBorder="1"/>
    <xf numFmtId="41" fontId="7" fillId="0" borderId="101" xfId="10" applyNumberFormat="1" applyFont="1" applyBorder="1"/>
    <xf numFmtId="41" fontId="7" fillId="12" borderId="5" xfId="10" applyNumberFormat="1" applyFont="1" applyFill="1" applyBorder="1"/>
    <xf numFmtId="41" fontId="30" fillId="12" borderId="10" xfId="2" applyNumberFormat="1" applyFont="1" applyFill="1" applyBorder="1"/>
    <xf numFmtId="41" fontId="7" fillId="0" borderId="128" xfId="10" applyNumberFormat="1" applyFont="1" applyBorder="1"/>
    <xf numFmtId="41" fontId="7" fillId="0" borderId="19" xfId="10" applyNumberFormat="1" applyFont="1" applyBorder="1"/>
    <xf numFmtId="41" fontId="30" fillId="12" borderId="185" xfId="10" applyNumberFormat="1" applyFont="1" applyFill="1" applyBorder="1"/>
    <xf numFmtId="41" fontId="30" fillId="12" borderId="186" xfId="2" applyNumberFormat="1" applyFont="1" applyFill="1" applyBorder="1"/>
    <xf numFmtId="41" fontId="7" fillId="12" borderId="19" xfId="10" applyNumberFormat="1" applyFont="1" applyFill="1" applyBorder="1"/>
    <xf numFmtId="41" fontId="30" fillId="12" borderId="53" xfId="2" applyNumberFormat="1" applyFont="1" applyFill="1" applyBorder="1"/>
    <xf numFmtId="42" fontId="30" fillId="0" borderId="4" xfId="2" applyNumberFormat="1" applyFont="1" applyBorder="1"/>
    <xf numFmtId="9" fontId="7" fillId="0" borderId="0" xfId="13" applyFont="1" applyBorder="1" applyAlignment="1">
      <alignment horizontal="center"/>
    </xf>
    <xf numFmtId="41" fontId="7" fillId="0" borderId="4" xfId="13" applyNumberFormat="1" applyFont="1" applyBorder="1"/>
    <xf numFmtId="43" fontId="7" fillId="0" borderId="0" xfId="2" applyNumberFormat="1" applyFont="1" applyBorder="1"/>
    <xf numFmtId="41" fontId="7" fillId="0" borderId="0" xfId="2" applyNumberFormat="1" applyFont="1" applyBorder="1"/>
    <xf numFmtId="42" fontId="30" fillId="0" borderId="10" xfId="2" applyNumberFormat="1" applyFont="1" applyBorder="1"/>
    <xf numFmtId="10" fontId="7" fillId="0" borderId="0" xfId="13" applyNumberFormat="1" applyFont="1" applyBorder="1" applyAlignment="1">
      <alignment horizontal="center"/>
    </xf>
    <xf numFmtId="10" fontId="30" fillId="0" borderId="0" xfId="13" applyNumberFormat="1" applyFont="1" applyBorder="1"/>
    <xf numFmtId="10" fontId="7" fillId="0" borderId="0" xfId="13" applyNumberFormat="1" applyFont="1" applyBorder="1"/>
    <xf numFmtId="42" fontId="30" fillId="0" borderId="87" xfId="2" applyNumberFormat="1" applyFont="1" applyBorder="1"/>
    <xf numFmtId="43" fontId="6" fillId="0" borderId="0" xfId="2" applyNumberFormat="1" applyFont="1" applyFill="1" applyBorder="1" applyAlignment="1">
      <alignment horizontal="center"/>
    </xf>
    <xf numFmtId="41" fontId="7" fillId="2" borderId="187" xfId="2" applyNumberFormat="1" applyFont="1" applyFill="1" applyBorder="1" applyProtection="1">
      <protection locked="0"/>
    </xf>
    <xf numFmtId="10" fontId="7" fillId="0" borderId="124" xfId="13" applyNumberFormat="1" applyFont="1" applyBorder="1"/>
    <xf numFmtId="41" fontId="7" fillId="0" borderId="184" xfId="2" applyNumberFormat="1" applyFont="1" applyBorder="1"/>
    <xf numFmtId="10" fontId="7" fillId="0" borderId="188" xfId="13" applyNumberFormat="1" applyFont="1" applyBorder="1"/>
    <xf numFmtId="41" fontId="7" fillId="0" borderId="189" xfId="2" applyNumberFormat="1" applyFont="1" applyBorder="1"/>
    <xf numFmtId="10" fontId="30" fillId="0" borderId="124" xfId="13" applyNumberFormat="1" applyFont="1" applyBorder="1"/>
    <xf numFmtId="41" fontId="30" fillId="0" borderId="184" xfId="2" applyNumberFormat="1" applyFont="1" applyBorder="1"/>
    <xf numFmtId="43" fontId="7" fillId="0" borderId="189" xfId="2" applyNumberFormat="1" applyFont="1" applyBorder="1"/>
    <xf numFmtId="43" fontId="7" fillId="0" borderId="184" xfId="2" applyNumberFormat="1" applyFont="1" applyBorder="1"/>
    <xf numFmtId="10" fontId="30" fillId="0" borderId="188" xfId="13" applyNumberFormat="1" applyFont="1" applyBorder="1"/>
    <xf numFmtId="9" fontId="7" fillId="0" borderId="99" xfId="13" applyFont="1" applyBorder="1"/>
    <xf numFmtId="0" fontId="7" fillId="0" borderId="190" xfId="0" applyFont="1" applyBorder="1"/>
    <xf numFmtId="0" fontId="7" fillId="0" borderId="51" xfId="10" applyFont="1" applyBorder="1" applyAlignment="1">
      <alignment horizontal="center"/>
    </xf>
    <xf numFmtId="43" fontId="6" fillId="0" borderId="88" xfId="2" applyNumberFormat="1" applyFont="1" applyFill="1" applyBorder="1" applyAlignment="1">
      <alignment horizontal="center"/>
    </xf>
    <xf numFmtId="0" fontId="7" fillId="0" borderId="128" xfId="10" applyFont="1" applyBorder="1" applyAlignment="1">
      <alignment horizontal="center"/>
    </xf>
    <xf numFmtId="0" fontId="7" fillId="0" borderId="101" xfId="10" applyFont="1" applyBorder="1" applyAlignment="1">
      <alignment horizontal="center"/>
    </xf>
    <xf numFmtId="0" fontId="7" fillId="0" borderId="51" xfId="0" applyFont="1" applyBorder="1" applyAlignment="1">
      <alignment horizontal="center"/>
    </xf>
    <xf numFmtId="0" fontId="7" fillId="0" borderId="120" xfId="10" applyFont="1" applyBorder="1" applyAlignment="1">
      <alignment horizontal="center"/>
    </xf>
    <xf numFmtId="0" fontId="7" fillId="0" borderId="51" xfId="10" quotePrefix="1" applyFont="1" applyBorder="1" applyAlignment="1">
      <alignment horizontal="center"/>
    </xf>
    <xf numFmtId="41" fontId="7" fillId="5" borderId="51" xfId="10" quotePrefix="1" applyNumberFormat="1" applyFont="1" applyFill="1" applyBorder="1" applyAlignment="1" applyProtection="1">
      <alignment horizontal="center"/>
      <protection locked="0"/>
    </xf>
    <xf numFmtId="41" fontId="7" fillId="5" borderId="51" xfId="10" applyNumberFormat="1" applyFont="1" applyFill="1" applyBorder="1" applyAlignment="1" applyProtection="1">
      <alignment horizontal="center"/>
      <protection locked="0"/>
    </xf>
    <xf numFmtId="42" fontId="30" fillId="0" borderId="53" xfId="2" applyNumberFormat="1" applyFont="1" applyBorder="1"/>
    <xf numFmtId="0" fontId="7" fillId="0" borderId="53" xfId="10" applyFont="1" applyBorder="1" applyAlignment="1">
      <alignment horizontal="center"/>
    </xf>
    <xf numFmtId="43" fontId="7" fillId="0" borderId="83" xfId="10" applyNumberFormat="1" applyFont="1" applyBorder="1"/>
    <xf numFmtId="41" fontId="7" fillId="0" borderId="8" xfId="2" applyNumberFormat="1" applyFont="1" applyBorder="1" applyAlignment="1">
      <alignment horizontal="center"/>
    </xf>
    <xf numFmtId="41" fontId="7" fillId="0" borderId="5" xfId="10" applyNumberFormat="1" applyFont="1" applyBorder="1" applyAlignment="1">
      <alignment horizontal="center"/>
    </xf>
    <xf numFmtId="41" fontId="7" fillId="0" borderId="88" xfId="2" applyNumberFormat="1" applyFont="1" applyBorder="1"/>
    <xf numFmtId="0" fontId="44" fillId="0" borderId="0" xfId="10" applyFont="1"/>
    <xf numFmtId="10" fontId="7" fillId="6" borderId="191" xfId="13" applyNumberFormat="1" applyFont="1" applyFill="1" applyBorder="1"/>
    <xf numFmtId="41" fontId="7" fillId="6" borderId="62" xfId="13" applyNumberFormat="1" applyFont="1" applyFill="1" applyBorder="1"/>
    <xf numFmtId="41" fontId="7" fillId="6" borderId="148" xfId="13" applyNumberFormat="1" applyFont="1" applyFill="1" applyBorder="1"/>
    <xf numFmtId="10" fontId="7" fillId="6" borderId="55" xfId="6" applyNumberFormat="1" applyFont="1" applyFill="1" applyBorder="1"/>
    <xf numFmtId="10" fontId="7" fillId="6" borderId="148" xfId="6" applyNumberFormat="1" applyFont="1" applyFill="1" applyBorder="1"/>
    <xf numFmtId="10" fontId="7" fillId="6" borderId="135" xfId="6" applyNumberFormat="1" applyFont="1" applyFill="1" applyBorder="1"/>
    <xf numFmtId="44" fontId="7" fillId="0" borderId="54" xfId="13" applyNumberFormat="1" applyFont="1" applyFill="1" applyBorder="1"/>
    <xf numFmtId="42" fontId="7" fillId="0" borderId="54" xfId="6" applyNumberFormat="1" applyFont="1" applyFill="1" applyBorder="1"/>
    <xf numFmtId="44" fontId="7" fillId="6" borderId="54" xfId="13" applyNumberFormat="1" applyFont="1" applyFill="1" applyBorder="1"/>
    <xf numFmtId="42" fontId="7" fillId="6" borderId="54" xfId="6" applyNumberFormat="1" applyFont="1" applyFill="1" applyBorder="1"/>
    <xf numFmtId="41" fontId="7" fillId="0" borderId="75" xfId="7" applyNumberFormat="1" applyFont="1" applyFill="1" applyBorder="1" applyProtection="1">
      <protection locked="0"/>
    </xf>
    <xf numFmtId="0" fontId="7" fillId="6" borderId="119" xfId="0" applyFont="1" applyFill="1" applyBorder="1"/>
    <xf numFmtId="0" fontId="31" fillId="6" borderId="104" xfId="0" applyFont="1" applyFill="1" applyBorder="1"/>
    <xf numFmtId="0" fontId="7" fillId="6" borderId="63" xfId="0" applyFont="1" applyFill="1" applyBorder="1" applyAlignment="1">
      <alignment horizontal="center"/>
    </xf>
    <xf numFmtId="5" fontId="7" fillId="6" borderId="192" xfId="6" applyFont="1" applyFill="1" applyBorder="1" applyAlignment="1">
      <alignment horizontal="left"/>
    </xf>
    <xf numFmtId="5" fontId="7" fillId="6" borderId="193" xfId="6" applyFont="1" applyFill="1" applyBorder="1" applyAlignment="1">
      <alignment horizontal="left"/>
    </xf>
    <xf numFmtId="41" fontId="50" fillId="0" borderId="0" xfId="0" applyNumberFormat="1" applyFont="1" applyAlignment="1">
      <alignment horizontal="center"/>
    </xf>
    <xf numFmtId="41" fontId="51" fillId="0" borderId="0" xfId="0" applyNumberFormat="1" applyFont="1" applyAlignment="1">
      <alignment horizontal="center"/>
    </xf>
    <xf numFmtId="0" fontId="7" fillId="6" borderId="158" xfId="0" applyFont="1" applyFill="1" applyBorder="1"/>
    <xf numFmtId="0" fontId="7" fillId="6" borderId="166" xfId="0" applyFont="1" applyFill="1" applyBorder="1"/>
    <xf numFmtId="0" fontId="7" fillId="6" borderId="166" xfId="0" applyFont="1" applyFill="1" applyBorder="1" applyAlignment="1">
      <alignment horizontal="center"/>
    </xf>
    <xf numFmtId="42" fontId="7" fillId="6" borderId="194" xfId="13" applyNumberFormat="1" applyFont="1" applyFill="1" applyBorder="1"/>
    <xf numFmtId="10" fontId="7" fillId="6" borderId="194" xfId="13" applyNumberFormat="1" applyFont="1" applyFill="1" applyBorder="1"/>
    <xf numFmtId="10" fontId="7" fillId="6" borderId="195" xfId="13" applyNumberFormat="1" applyFont="1" applyFill="1" applyBorder="1"/>
    <xf numFmtId="41" fontId="7" fillId="0" borderId="116" xfId="6" applyNumberFormat="1" applyFont="1" applyFill="1" applyBorder="1"/>
    <xf numFmtId="41" fontId="7" fillId="0" borderId="108" xfId="6" applyNumberFormat="1" applyFont="1" applyFill="1" applyBorder="1"/>
    <xf numFmtId="8" fontId="7" fillId="0" borderId="131" xfId="6" applyNumberFormat="1" applyFont="1" applyFill="1" applyBorder="1"/>
    <xf numFmtId="10" fontId="7" fillId="0" borderId="7" xfId="13" applyNumberFormat="1" applyFont="1" applyFill="1" applyBorder="1"/>
    <xf numFmtId="10" fontId="7" fillId="0" borderId="26" xfId="13" applyNumberFormat="1" applyFont="1" applyFill="1" applyBorder="1"/>
    <xf numFmtId="10" fontId="7" fillId="0" borderId="131" xfId="13" applyNumberFormat="1" applyFont="1" applyFill="1" applyBorder="1"/>
    <xf numFmtId="44" fontId="7" fillId="0" borderId="76" xfId="6" applyNumberFormat="1" applyFont="1" applyFill="1" applyBorder="1"/>
    <xf numFmtId="42" fontId="7" fillId="0" borderId="76" xfId="6" applyNumberFormat="1" applyFont="1" applyFill="1" applyBorder="1"/>
    <xf numFmtId="41" fontId="7" fillId="0" borderId="112" xfId="6" applyNumberFormat="1" applyFont="1" applyFill="1" applyBorder="1"/>
    <xf numFmtId="41" fontId="7" fillId="0" borderId="21" xfId="13" applyNumberFormat="1" applyFont="1" applyFill="1" applyBorder="1"/>
    <xf numFmtId="41" fontId="7" fillId="0" borderId="21" xfId="1" applyNumberFormat="1" applyFont="1" applyFill="1" applyBorder="1"/>
    <xf numFmtId="41" fontId="7" fillId="0" borderId="112" xfId="13" applyNumberFormat="1" applyFont="1" applyFill="1" applyBorder="1"/>
    <xf numFmtId="41" fontId="7" fillId="0" borderId="148" xfId="6" applyNumberFormat="1" applyFont="1" applyFill="1" applyBorder="1"/>
    <xf numFmtId="41" fontId="7" fillId="0" borderId="21" xfId="0" applyNumberFormat="1" applyFont="1" applyBorder="1"/>
    <xf numFmtId="41" fontId="7" fillId="0" borderId="31" xfId="13" applyNumberFormat="1" applyFont="1" applyFill="1" applyBorder="1"/>
    <xf numFmtId="41" fontId="7" fillId="0" borderId="31" xfId="6" applyNumberFormat="1" applyFont="1" applyFill="1" applyBorder="1"/>
    <xf numFmtId="41" fontId="7" fillId="0" borderId="31" xfId="1" applyNumberFormat="1" applyFont="1" applyFill="1" applyBorder="1"/>
    <xf numFmtId="41" fontId="7" fillId="0" borderId="31" xfId="3" applyNumberFormat="1" applyFont="1" applyFill="1" applyBorder="1"/>
    <xf numFmtId="41" fontId="7" fillId="0" borderId="30" xfId="6" applyNumberFormat="1" applyFont="1" applyFill="1" applyBorder="1"/>
    <xf numFmtId="41" fontId="7" fillId="0" borderId="150" xfId="6" applyNumberFormat="1" applyFont="1" applyFill="1" applyBorder="1"/>
    <xf numFmtId="41" fontId="7" fillId="0" borderId="151" xfId="6" applyNumberFormat="1" applyFont="1" applyFill="1" applyBorder="1"/>
    <xf numFmtId="41" fontId="7" fillId="0" borderId="0" xfId="6" applyNumberFormat="1" applyFont="1" applyFill="1"/>
    <xf numFmtId="41" fontId="0" fillId="0" borderId="150" xfId="0" applyNumberFormat="1" applyBorder="1"/>
    <xf numFmtId="41" fontId="0" fillId="0" borderId="196" xfId="0" applyNumberFormat="1" applyBorder="1"/>
    <xf numFmtId="10" fontId="7" fillId="0" borderId="131" xfId="6" applyNumberFormat="1" applyFont="1" applyFill="1" applyBorder="1"/>
    <xf numFmtId="42" fontId="7" fillId="0" borderId="131" xfId="6" applyNumberFormat="1" applyFont="1" applyFill="1" applyBorder="1"/>
    <xf numFmtId="41" fontId="7" fillId="5" borderId="7" xfId="0" applyNumberFormat="1" applyFont="1" applyFill="1" applyBorder="1" applyProtection="1">
      <protection locked="0"/>
    </xf>
    <xf numFmtId="41" fontId="7" fillId="5" borderId="20" xfId="0" applyNumberFormat="1" applyFont="1" applyFill="1" applyBorder="1" applyProtection="1">
      <protection locked="0"/>
    </xf>
    <xf numFmtId="41" fontId="7" fillId="5" borderId="70" xfId="13" applyNumberFormat="1" applyFont="1" applyFill="1" applyBorder="1" applyProtection="1">
      <protection locked="0"/>
    </xf>
    <xf numFmtId="41" fontId="7" fillId="5" borderId="70" xfId="1" applyNumberFormat="1" applyFont="1" applyFill="1" applyBorder="1" applyProtection="1">
      <protection locked="0"/>
    </xf>
    <xf numFmtId="41" fontId="7" fillId="5" borderId="70" xfId="3" applyNumberFormat="1" applyFont="1" applyFill="1" applyBorder="1" applyProtection="1">
      <protection locked="0"/>
    </xf>
    <xf numFmtId="41" fontId="7" fillId="5" borderId="197" xfId="6" applyNumberFormat="1" applyFont="1" applyFill="1" applyBorder="1" applyProtection="1">
      <protection locked="0"/>
    </xf>
    <xf numFmtId="41" fontId="7" fillId="5" borderId="106" xfId="1" applyNumberFormat="1" applyFont="1" applyFill="1" applyBorder="1" applyProtection="1">
      <protection locked="0"/>
    </xf>
    <xf numFmtId="41" fontId="7" fillId="5" borderId="106" xfId="13" applyNumberFormat="1" applyFont="1" applyFill="1" applyBorder="1" applyProtection="1">
      <protection locked="0"/>
    </xf>
    <xf numFmtId="41" fontId="7" fillId="5" borderId="106" xfId="0" applyNumberFormat="1" applyFont="1" applyFill="1" applyBorder="1" applyProtection="1">
      <protection locked="0"/>
    </xf>
    <xf numFmtId="41" fontId="7" fillId="5" borderId="198" xfId="0" applyNumberFormat="1" applyFont="1" applyFill="1" applyBorder="1" applyProtection="1">
      <protection locked="0"/>
    </xf>
    <xf numFmtId="41" fontId="7" fillId="5" borderId="150" xfId="13" applyNumberFormat="1" applyFont="1" applyFill="1" applyBorder="1" applyProtection="1">
      <protection locked="0"/>
    </xf>
    <xf numFmtId="41" fontId="7" fillId="5" borderId="150" xfId="1" applyNumberFormat="1" applyFont="1" applyFill="1" applyBorder="1" applyProtection="1">
      <protection locked="0"/>
    </xf>
    <xf numFmtId="41" fontId="7" fillId="5" borderId="150" xfId="3" applyNumberFormat="1" applyFont="1" applyFill="1" applyBorder="1" applyProtection="1">
      <protection locked="0"/>
    </xf>
    <xf numFmtId="41" fontId="7" fillId="5" borderId="199" xfId="6" applyNumberFormat="1" applyFont="1" applyFill="1" applyBorder="1" applyProtection="1">
      <protection locked="0"/>
    </xf>
    <xf numFmtId="41" fontId="7" fillId="5" borderId="155" xfId="6" applyNumberFormat="1" applyFont="1" applyFill="1" applyBorder="1" applyProtection="1">
      <protection locked="0"/>
    </xf>
    <xf numFmtId="41" fontId="7" fillId="5" borderId="198" xfId="6" applyNumberFormat="1" applyFont="1" applyFill="1" applyBorder="1" applyProtection="1">
      <protection locked="0"/>
    </xf>
    <xf numFmtId="41" fontId="7" fillId="5" borderId="196" xfId="6" applyNumberFormat="1" applyFont="1" applyFill="1" applyBorder="1" applyProtection="1">
      <protection locked="0"/>
    </xf>
    <xf numFmtId="41" fontId="7" fillId="0" borderId="74" xfId="6" applyNumberFormat="1" applyFont="1" applyFill="1" applyBorder="1"/>
    <xf numFmtId="41" fontId="7" fillId="0" borderId="74" xfId="13" applyNumberFormat="1" applyFont="1" applyFill="1" applyBorder="1"/>
    <xf numFmtId="41" fontId="7" fillId="0" borderId="74" xfId="3" applyNumberFormat="1" applyFont="1" applyFill="1" applyBorder="1"/>
    <xf numFmtId="41" fontId="7" fillId="5" borderId="106" xfId="6" applyNumberFormat="1" applyFont="1" applyFill="1" applyBorder="1" applyProtection="1">
      <protection locked="0"/>
    </xf>
    <xf numFmtId="41" fontId="7" fillId="5" borderId="106" xfId="3" applyNumberFormat="1" applyFont="1" applyFill="1" applyBorder="1" applyProtection="1">
      <protection locked="0"/>
    </xf>
    <xf numFmtId="3" fontId="7" fillId="6" borderId="54" xfId="5" applyNumberFormat="1" applyFont="1" applyFill="1" applyBorder="1" applyProtection="1"/>
    <xf numFmtId="3" fontId="7" fillId="6" borderId="54" xfId="6" applyNumberFormat="1" applyFont="1" applyFill="1" applyBorder="1" applyProtection="1"/>
    <xf numFmtId="41" fontId="7" fillId="0" borderId="54" xfId="5" applyNumberFormat="1" applyFont="1" applyFill="1" applyBorder="1" applyProtection="1"/>
    <xf numFmtId="3" fontId="7" fillId="0" borderId="31" xfId="5" applyNumberFormat="1" applyFont="1" applyBorder="1" applyProtection="1"/>
    <xf numFmtId="41" fontId="7" fillId="0" borderId="63" xfId="5" applyNumberFormat="1" applyFont="1" applyFill="1" applyBorder="1" applyProtection="1"/>
    <xf numFmtId="42" fontId="7" fillId="0" borderId="131" xfId="6" applyNumberFormat="1" applyFont="1" applyBorder="1" applyProtection="1"/>
    <xf numFmtId="41" fontId="7" fillId="0" borderId="54" xfId="6" applyNumberFormat="1" applyFont="1" applyFill="1" applyBorder="1" applyProtection="1"/>
    <xf numFmtId="41" fontId="7" fillId="0" borderId="63" xfId="6" applyNumberFormat="1" applyFont="1" applyFill="1" applyBorder="1" applyProtection="1"/>
    <xf numFmtId="41" fontId="7" fillId="0" borderId="7" xfId="6" applyNumberFormat="1" applyFont="1" applyFill="1" applyBorder="1" applyProtection="1"/>
    <xf numFmtId="41" fontId="7" fillId="0" borderId="26" xfId="6" applyNumberFormat="1" applyFont="1" applyFill="1" applyBorder="1" applyProtection="1"/>
    <xf numFmtId="5" fontId="7" fillId="0" borderId="0" xfId="6" applyFont="1" applyProtection="1"/>
    <xf numFmtId="41" fontId="7" fillId="0" borderId="62" xfId="7" applyNumberFormat="1" applyFont="1" applyBorder="1" applyProtection="1"/>
    <xf numFmtId="41" fontId="7" fillId="0" borderId="7" xfId="13" applyNumberFormat="1" applyFont="1" applyFill="1" applyBorder="1" applyProtection="1"/>
    <xf numFmtId="41" fontId="7" fillId="0" borderId="75" xfId="7" applyNumberFormat="1" applyFont="1" applyBorder="1" applyProtection="1"/>
    <xf numFmtId="41" fontId="7" fillId="0" borderId="7" xfId="7" applyNumberFormat="1" applyFont="1" applyFill="1" applyBorder="1" applyProtection="1"/>
    <xf numFmtId="41" fontId="7" fillId="0" borderId="149" xfId="6" applyNumberFormat="1" applyFont="1" applyBorder="1" applyProtection="1"/>
    <xf numFmtId="41" fontId="7" fillId="0" borderId="55" xfId="13" applyNumberFormat="1" applyFont="1" applyBorder="1" applyProtection="1"/>
    <xf numFmtId="41" fontId="7" fillId="0" borderId="147" xfId="6" applyNumberFormat="1" applyFont="1" applyBorder="1" applyProtection="1"/>
    <xf numFmtId="41" fontId="7" fillId="0" borderId="7" xfId="13" applyNumberFormat="1" applyFont="1" applyBorder="1" applyProtection="1"/>
    <xf numFmtId="41" fontId="7" fillId="0" borderId="76" xfId="6" applyNumberFormat="1" applyFont="1" applyFill="1" applyBorder="1" applyProtection="1"/>
    <xf numFmtId="41" fontId="7" fillId="0" borderId="76" xfId="6" applyNumberFormat="1" applyFont="1" applyBorder="1" applyProtection="1"/>
    <xf numFmtId="41" fontId="7" fillId="0" borderId="75" xfId="7" applyNumberFormat="1" applyFont="1" applyFill="1" applyBorder="1" applyProtection="1"/>
    <xf numFmtId="41" fontId="7" fillId="0" borderId="54" xfId="6" applyNumberFormat="1" applyFont="1" applyBorder="1" applyProtection="1"/>
    <xf numFmtId="41" fontId="7" fillId="0" borderId="63" xfId="6" applyNumberFormat="1" applyFont="1" applyBorder="1" applyProtection="1"/>
    <xf numFmtId="41" fontId="7" fillId="0" borderId="26" xfId="7" applyNumberFormat="1" applyFont="1" applyFill="1" applyBorder="1" applyProtection="1"/>
    <xf numFmtId="41" fontId="7" fillId="0" borderId="116" xfId="7" applyNumberFormat="1" applyFont="1" applyFill="1" applyBorder="1" applyProtection="1"/>
    <xf numFmtId="42" fontId="7" fillId="0" borderId="169" xfId="6" applyNumberFormat="1" applyFont="1" applyBorder="1" applyProtection="1"/>
    <xf numFmtId="5" fontId="7" fillId="0" borderId="23" xfId="6" applyFont="1" applyBorder="1" applyProtection="1"/>
    <xf numFmtId="41" fontId="7" fillId="0" borderId="7" xfId="6" applyNumberFormat="1" applyFont="1" applyBorder="1" applyProtection="1"/>
    <xf numFmtId="41" fontId="7" fillId="0" borderId="26" xfId="6" applyNumberFormat="1" applyFont="1" applyBorder="1" applyProtection="1"/>
    <xf numFmtId="41" fontId="7" fillId="0" borderId="62" xfId="6" applyNumberFormat="1" applyFont="1" applyBorder="1" applyProtection="1"/>
    <xf numFmtId="41" fontId="7" fillId="6" borderId="112" xfId="6" applyNumberFormat="1" applyFont="1" applyFill="1" applyBorder="1" applyProtection="1"/>
    <xf numFmtId="41" fontId="7" fillId="6" borderId="108" xfId="6" applyNumberFormat="1" applyFont="1" applyFill="1" applyBorder="1" applyProtection="1"/>
    <xf numFmtId="41" fontId="7" fillId="0" borderId="11" xfId="6" applyNumberFormat="1" applyFont="1" applyFill="1" applyBorder="1" applyProtection="1"/>
    <xf numFmtId="41" fontId="7" fillId="0" borderId="143" xfId="6" applyNumberFormat="1" applyFont="1" applyBorder="1" applyProtection="1"/>
    <xf numFmtId="41" fontId="7" fillId="6" borderId="76" xfId="6" applyNumberFormat="1" applyFont="1" applyFill="1" applyBorder="1" applyProtection="1"/>
    <xf numFmtId="41" fontId="7" fillId="6" borderId="7" xfId="6" applyNumberFormat="1" applyFont="1" applyFill="1" applyBorder="1" applyProtection="1"/>
    <xf numFmtId="41" fontId="7" fillId="0" borderId="21" xfId="6" applyNumberFormat="1" applyFont="1" applyBorder="1" applyProtection="1"/>
    <xf numFmtId="10" fontId="7" fillId="14" borderId="160" xfId="13" applyNumberFormat="1" applyFont="1" applyFill="1" applyBorder="1" applyProtection="1"/>
    <xf numFmtId="41" fontId="7" fillId="0" borderId="26" xfId="13" applyNumberFormat="1" applyFont="1" applyBorder="1" applyProtection="1"/>
    <xf numFmtId="42" fontId="7" fillId="0" borderId="167" xfId="6" applyNumberFormat="1" applyFont="1" applyBorder="1"/>
    <xf numFmtId="41" fontId="7" fillId="0" borderId="200" xfId="7" applyNumberFormat="1" applyFont="1" applyBorder="1"/>
    <xf numFmtId="41" fontId="7" fillId="0" borderId="148" xfId="7" applyNumberFormat="1" applyFont="1" applyBorder="1"/>
    <xf numFmtId="41" fontId="7" fillId="0" borderId="201" xfId="7" applyNumberFormat="1" applyFont="1" applyBorder="1"/>
    <xf numFmtId="41" fontId="7" fillId="5" borderId="201" xfId="6" applyNumberFormat="1" applyFont="1" applyFill="1" applyBorder="1" applyProtection="1">
      <protection locked="0"/>
    </xf>
    <xf numFmtId="41" fontId="7" fillId="5" borderId="202" xfId="6" applyNumberFormat="1" applyFont="1" applyFill="1" applyBorder="1" applyProtection="1">
      <protection locked="0"/>
    </xf>
    <xf numFmtId="41" fontId="7" fillId="5" borderId="153" xfId="6" applyNumberFormat="1" applyFont="1" applyFill="1" applyBorder="1" applyProtection="1">
      <protection locked="0"/>
    </xf>
    <xf numFmtId="0" fontId="0" fillId="0" borderId="0" xfId="0" applyProtection="1">
      <protection locked="0"/>
    </xf>
    <xf numFmtId="0" fontId="11" fillId="0" borderId="0" xfId="11" applyFont="1" applyAlignment="1" applyProtection="1">
      <alignment vertical="center"/>
      <protection locked="0"/>
    </xf>
    <xf numFmtId="0" fontId="10" fillId="0" borderId="0" xfId="11" applyFont="1" applyAlignment="1" applyProtection="1">
      <alignment vertical="center"/>
      <protection locked="0"/>
    </xf>
    <xf numFmtId="0" fontId="8" fillId="0" borderId="0" xfId="0" applyFont="1" applyProtection="1">
      <protection locked="0"/>
    </xf>
    <xf numFmtId="10" fontId="8" fillId="0" borderId="0" xfId="0" applyNumberFormat="1" applyFont="1" applyProtection="1">
      <protection locked="0"/>
    </xf>
    <xf numFmtId="0" fontId="28" fillId="5" borderId="27" xfId="0" quotePrefix="1" applyFont="1" applyFill="1" applyBorder="1" applyAlignment="1" applyProtection="1">
      <alignment horizontal="left"/>
      <protection locked="0"/>
    </xf>
    <xf numFmtId="0" fontId="28" fillId="5" borderId="31" xfId="0" applyFont="1" applyFill="1" applyBorder="1" applyAlignment="1" applyProtection="1">
      <alignment horizontal="left"/>
      <protection locked="0"/>
    </xf>
    <xf numFmtId="49" fontId="28" fillId="5" borderId="31" xfId="0" applyNumberFormat="1" applyFont="1" applyFill="1" applyBorder="1" applyAlignment="1" applyProtection="1">
      <alignment horizontal="left"/>
      <protection locked="0"/>
    </xf>
    <xf numFmtId="10" fontId="7" fillId="0" borderId="108" xfId="6" applyNumberFormat="1" applyFont="1" applyFill="1" applyBorder="1"/>
    <xf numFmtId="10" fontId="7" fillId="0" borderId="113" xfId="6" applyNumberFormat="1" applyFont="1" applyFill="1" applyBorder="1"/>
    <xf numFmtId="10" fontId="7" fillId="0" borderId="55" xfId="6" applyNumberFormat="1" applyFont="1" applyFill="1" applyBorder="1"/>
    <xf numFmtId="10" fontId="7" fillId="0" borderId="26" xfId="6" applyNumberFormat="1" applyFont="1" applyFill="1" applyBorder="1"/>
    <xf numFmtId="10" fontId="7" fillId="0" borderId="54" xfId="6" applyNumberFormat="1" applyFont="1" applyFill="1" applyBorder="1"/>
    <xf numFmtId="10" fontId="7" fillId="0" borderId="128" xfId="13" applyNumberFormat="1" applyFont="1" applyBorder="1"/>
    <xf numFmtId="9" fontId="7" fillId="0" borderId="0" xfId="13" applyFont="1" applyBorder="1"/>
    <xf numFmtId="0" fontId="4" fillId="0" borderId="0" xfId="0" applyFont="1"/>
    <xf numFmtId="43" fontId="7" fillId="0" borderId="0" xfId="13" applyNumberFormat="1" applyFont="1" applyBorder="1"/>
    <xf numFmtId="172" fontId="7" fillId="0" borderId="0" xfId="6" applyNumberFormat="1" applyFont="1" applyBorder="1"/>
    <xf numFmtId="41" fontId="7" fillId="0" borderId="0" xfId="13" applyNumberFormat="1" applyFont="1" applyBorder="1"/>
    <xf numFmtId="10" fontId="7" fillId="0" borderId="0" xfId="13" applyNumberFormat="1" applyFont="1" applyFill="1" applyBorder="1"/>
    <xf numFmtId="0" fontId="1" fillId="0" borderId="0" xfId="0" applyFont="1" applyProtection="1">
      <protection locked="0"/>
    </xf>
    <xf numFmtId="0" fontId="12" fillId="0" borderId="0" xfId="0" applyFont="1" applyProtection="1">
      <protection locked="0"/>
    </xf>
    <xf numFmtId="9" fontId="1" fillId="0" borderId="0" xfId="13" applyFont="1" applyAlignment="1">
      <alignment horizontal="center"/>
    </xf>
    <xf numFmtId="0" fontId="12" fillId="0" borderId="0" xfId="0" applyFont="1" applyAlignment="1">
      <alignment horizontal="center"/>
    </xf>
    <xf numFmtId="0" fontId="6" fillId="0" borderId="23" xfId="0" applyFont="1" applyBorder="1"/>
    <xf numFmtId="42" fontId="7" fillId="0" borderId="0" xfId="6" applyNumberFormat="1" applyFont="1" applyBorder="1"/>
    <xf numFmtId="0" fontId="23" fillId="0" borderId="0" xfId="12" applyFont="1" applyAlignment="1">
      <alignment wrapText="1"/>
    </xf>
    <xf numFmtId="0" fontId="23" fillId="0" borderId="0" xfId="12" applyFont="1" applyAlignment="1">
      <alignment horizontal="center"/>
    </xf>
    <xf numFmtId="0" fontId="23" fillId="0" borderId="0" xfId="12" applyFont="1"/>
    <xf numFmtId="0" fontId="23" fillId="5" borderId="27" xfId="12" applyFont="1" applyFill="1" applyBorder="1" applyAlignment="1" applyProtection="1">
      <alignment horizontal="center"/>
      <protection locked="0"/>
    </xf>
    <xf numFmtId="0" fontId="23" fillId="0" borderId="0" xfId="12" applyFont="1" applyAlignment="1">
      <alignment horizontal="right"/>
    </xf>
    <xf numFmtId="0" fontId="1" fillId="0" borderId="0" xfId="9" applyAlignment="1">
      <alignment horizontal="left"/>
    </xf>
    <xf numFmtId="41" fontId="7" fillId="5" borderId="76" xfId="7" applyNumberFormat="1" applyFont="1" applyFill="1" applyBorder="1" applyProtection="1">
      <protection locked="0"/>
    </xf>
    <xf numFmtId="41" fontId="7" fillId="5" borderId="7" xfId="7" applyNumberFormat="1" applyFont="1" applyFill="1" applyBorder="1" applyProtection="1">
      <protection locked="0"/>
    </xf>
    <xf numFmtId="41" fontId="7" fillId="5" borderId="148" xfId="7" applyNumberFormat="1" applyFont="1" applyFill="1" applyBorder="1" applyProtection="1">
      <protection locked="0"/>
    </xf>
    <xf numFmtId="41" fontId="7" fillId="5" borderId="75" xfId="7" applyNumberFormat="1" applyFont="1" applyFill="1" applyBorder="1" applyProtection="1">
      <protection locked="0"/>
    </xf>
    <xf numFmtId="41" fontId="7" fillId="5" borderId="150" xfId="7" applyNumberFormat="1" applyFont="1" applyFill="1" applyBorder="1" applyProtection="1">
      <protection locked="0"/>
    </xf>
    <xf numFmtId="41" fontId="7" fillId="5" borderId="151" xfId="7" applyNumberFormat="1" applyFont="1" applyFill="1" applyBorder="1" applyProtection="1">
      <protection locked="0"/>
    </xf>
    <xf numFmtId="41" fontId="30" fillId="12" borderId="6" xfId="2" applyNumberFormat="1" applyFont="1" applyFill="1" applyBorder="1"/>
    <xf numFmtId="41" fontId="7" fillId="0" borderId="127" xfId="2" applyNumberFormat="1" applyFont="1" applyFill="1" applyBorder="1" applyProtection="1"/>
    <xf numFmtId="41" fontId="7" fillId="5" borderId="27" xfId="6" applyNumberFormat="1" applyFont="1" applyFill="1" applyBorder="1" applyProtection="1">
      <protection locked="0"/>
    </xf>
    <xf numFmtId="41" fontId="7" fillId="5" borderId="189" xfId="6" applyNumberFormat="1" applyFont="1" applyFill="1" applyBorder="1" applyProtection="1">
      <protection locked="0"/>
    </xf>
    <xf numFmtId="41" fontId="7" fillId="5" borderId="84" xfId="6" applyNumberFormat="1" applyFont="1" applyFill="1" applyBorder="1" applyProtection="1">
      <protection locked="0"/>
    </xf>
    <xf numFmtId="41" fontId="7" fillId="5" borderId="152" xfId="6" applyNumberFormat="1" applyFont="1" applyFill="1" applyBorder="1" applyProtection="1">
      <protection locked="0"/>
    </xf>
    <xf numFmtId="0" fontId="1" fillId="0" borderId="32" xfId="0" applyFont="1" applyBorder="1"/>
    <xf numFmtId="0" fontId="1" fillId="0" borderId="31" xfId="0" applyFont="1" applyBorder="1"/>
    <xf numFmtId="5" fontId="7" fillId="0" borderId="0" xfId="6" applyFont="1" applyFill="1" applyBorder="1" applyAlignment="1">
      <alignment horizontal="left"/>
    </xf>
    <xf numFmtId="3" fontId="7" fillId="0" borderId="0" xfId="13" applyNumberFormat="1" applyFont="1" applyFill="1" applyBorder="1"/>
    <xf numFmtId="10" fontId="7" fillId="0" borderId="19" xfId="13" applyNumberFormat="1" applyFont="1" applyFill="1" applyBorder="1"/>
    <xf numFmtId="0" fontId="3" fillId="0" borderId="203" xfId="12" applyFont="1" applyBorder="1"/>
    <xf numFmtId="0" fontId="1" fillId="0" borderId="203" xfId="12" applyBorder="1"/>
    <xf numFmtId="0" fontId="0" fillId="0" borderId="203" xfId="0" applyBorder="1"/>
    <xf numFmtId="44" fontId="1" fillId="0" borderId="0" xfId="12" applyNumberFormat="1"/>
    <xf numFmtId="0" fontId="5" fillId="0" borderId="17" xfId="12" applyFont="1" applyBorder="1" applyAlignment="1">
      <alignment horizontal="right"/>
    </xf>
    <xf numFmtId="1" fontId="28" fillId="0" borderId="31" xfId="0" applyNumberFormat="1" applyFont="1" applyBorder="1" applyAlignment="1" applyProtection="1">
      <alignment horizontal="left"/>
      <protection locked="0"/>
    </xf>
    <xf numFmtId="171" fontId="0" fillId="0" borderId="0" xfId="13" applyNumberFormat="1" applyFont="1" applyAlignment="1">
      <alignment horizontal="center"/>
    </xf>
    <xf numFmtId="171" fontId="12" fillId="0" borderId="0" xfId="13" applyNumberFormat="1" applyFont="1" applyAlignment="1">
      <alignment horizontal="center"/>
    </xf>
    <xf numFmtId="10" fontId="12" fillId="0" borderId="0" xfId="13" applyNumberFormat="1" applyFont="1" applyAlignment="1">
      <alignment horizontal="center"/>
    </xf>
    <xf numFmtId="10" fontId="7" fillId="6" borderId="204" xfId="13" applyNumberFormat="1" applyFont="1" applyFill="1" applyBorder="1"/>
    <xf numFmtId="0" fontId="0" fillId="0" borderId="205" xfId="0" applyBorder="1"/>
    <xf numFmtId="10" fontId="7" fillId="0" borderId="206" xfId="13" applyNumberFormat="1" applyFont="1" applyBorder="1"/>
    <xf numFmtId="10" fontId="7" fillId="0" borderId="207" xfId="13" applyNumberFormat="1" applyFont="1" applyBorder="1"/>
    <xf numFmtId="6" fontId="7" fillId="0" borderId="208" xfId="6" applyNumberFormat="1" applyFont="1" applyBorder="1"/>
    <xf numFmtId="38" fontId="7" fillId="0" borderId="205" xfId="13" applyNumberFormat="1" applyFont="1" applyBorder="1"/>
    <xf numFmtId="10" fontId="7" fillId="6" borderId="209" xfId="6" applyNumberFormat="1" applyFont="1" applyFill="1" applyBorder="1"/>
    <xf numFmtId="10" fontId="7" fillId="0" borderId="209" xfId="6" applyNumberFormat="1" applyFont="1" applyBorder="1"/>
    <xf numFmtId="6" fontId="7" fillId="0" borderId="205" xfId="13" applyNumberFormat="1" applyFont="1" applyBorder="1"/>
    <xf numFmtId="10" fontId="7" fillId="0" borderId="210" xfId="13" applyNumberFormat="1" applyFont="1" applyBorder="1"/>
    <xf numFmtId="0" fontId="0" fillId="0" borderId="211" xfId="0" applyBorder="1"/>
    <xf numFmtId="9" fontId="42" fillId="0" borderId="22" xfId="13" applyFont="1" applyBorder="1" applyAlignment="1">
      <alignment horizontal="left"/>
    </xf>
    <xf numFmtId="41" fontId="7" fillId="5" borderId="212" xfId="6" applyNumberFormat="1" applyFont="1" applyFill="1" applyBorder="1" applyProtection="1">
      <protection locked="0"/>
    </xf>
    <xf numFmtId="41" fontId="7" fillId="5" borderId="151" xfId="0" applyNumberFormat="1" applyFont="1" applyFill="1" applyBorder="1" applyProtection="1">
      <protection locked="0"/>
    </xf>
    <xf numFmtId="41" fontId="7" fillId="5" borderId="150" xfId="0" applyNumberFormat="1" applyFont="1" applyFill="1" applyBorder="1" applyProtection="1">
      <protection locked="0"/>
    </xf>
    <xf numFmtId="41" fontId="7" fillId="5" borderId="213" xfId="0" applyNumberFormat="1" applyFont="1" applyFill="1" applyBorder="1" applyProtection="1">
      <protection locked="0"/>
    </xf>
    <xf numFmtId="0" fontId="12" fillId="5" borderId="4" xfId="0" applyFont="1" applyFill="1" applyBorder="1" applyAlignment="1" applyProtection="1">
      <alignment horizontal="center"/>
      <protection locked="0"/>
    </xf>
    <xf numFmtId="0" fontId="28" fillId="5" borderId="27" xfId="0" quotePrefix="1" applyFont="1" applyFill="1" applyBorder="1" applyAlignment="1">
      <alignment horizontal="left"/>
    </xf>
    <xf numFmtId="0" fontId="28" fillId="5" borderId="31" xfId="0" applyFont="1" applyFill="1" applyBorder="1" applyAlignment="1">
      <alignment horizontal="left"/>
    </xf>
    <xf numFmtId="49" fontId="28" fillId="5" borderId="31" xfId="0" applyNumberFormat="1" applyFont="1" applyFill="1" applyBorder="1" applyAlignment="1">
      <alignment horizontal="left"/>
    </xf>
    <xf numFmtId="10" fontId="0" fillId="0" borderId="0" xfId="13" applyNumberFormat="1" applyFont="1" applyProtection="1"/>
    <xf numFmtId="0" fontId="7" fillId="0" borderId="30" xfId="0" applyFont="1" applyBorder="1" applyAlignment="1">
      <alignment horizontal="left"/>
    </xf>
    <xf numFmtId="0" fontId="0" fillId="0" borderId="30" xfId="0" applyBorder="1"/>
    <xf numFmtId="42" fontId="7" fillId="0" borderId="0" xfId="7" applyNumberFormat="1" applyFont="1" applyFill="1" applyBorder="1" applyProtection="1"/>
    <xf numFmtId="10" fontId="7" fillId="0" borderId="115" xfId="13" applyNumberFormat="1" applyFont="1" applyFill="1" applyBorder="1" applyProtection="1"/>
    <xf numFmtId="9" fontId="7" fillId="0" borderId="5" xfId="13" applyFont="1" applyBorder="1" applyProtection="1"/>
    <xf numFmtId="9" fontId="7" fillId="0" borderId="30" xfId="13" applyFont="1" applyBorder="1" applyProtection="1"/>
    <xf numFmtId="43" fontId="7" fillId="0" borderId="115" xfId="13" applyNumberFormat="1" applyFont="1" applyBorder="1" applyProtection="1"/>
    <xf numFmtId="172" fontId="7" fillId="0" borderId="115" xfId="6" applyNumberFormat="1" applyFont="1" applyBorder="1" applyProtection="1"/>
    <xf numFmtId="10" fontId="7" fillId="0" borderId="115" xfId="13" applyNumberFormat="1" applyFont="1" applyBorder="1" applyProtection="1"/>
    <xf numFmtId="165" fontId="7" fillId="0" borderId="115" xfId="13" applyNumberFormat="1" applyFont="1" applyBorder="1" applyProtection="1"/>
    <xf numFmtId="10" fontId="7" fillId="0" borderId="144" xfId="13" applyNumberFormat="1" applyFont="1" applyBorder="1" applyProtection="1"/>
    <xf numFmtId="43" fontId="7" fillId="0" borderId="0" xfId="6" applyNumberFormat="1" applyFont="1" applyProtection="1"/>
    <xf numFmtId="10" fontId="7" fillId="0" borderId="19" xfId="0" applyNumberFormat="1" applyFont="1" applyBorder="1"/>
    <xf numFmtId="38" fontId="7" fillId="7" borderId="54" xfId="6" applyNumberFormat="1" applyFont="1" applyFill="1" applyBorder="1" applyProtection="1"/>
    <xf numFmtId="38" fontId="7" fillId="7" borderId="54" xfId="5" applyNumberFormat="1" applyFont="1" applyFill="1" applyBorder="1" applyProtection="1"/>
    <xf numFmtId="10" fontId="7" fillId="6" borderId="54" xfId="6" applyNumberFormat="1" applyFont="1" applyFill="1" applyBorder="1" applyProtection="1"/>
    <xf numFmtId="10" fontId="7" fillId="6" borderId="52" xfId="6" applyNumberFormat="1" applyFont="1" applyFill="1" applyBorder="1" applyProtection="1"/>
    <xf numFmtId="10" fontId="7" fillId="6" borderId="54" xfId="13" applyNumberFormat="1" applyFont="1" applyFill="1" applyBorder="1" applyProtection="1"/>
    <xf numFmtId="10" fontId="7" fillId="6" borderId="52" xfId="13" applyNumberFormat="1" applyFont="1" applyFill="1" applyBorder="1" applyProtection="1"/>
    <xf numFmtId="41" fontId="7" fillId="0" borderId="54" xfId="5" applyNumberFormat="1" applyFont="1" applyBorder="1" applyProtection="1"/>
    <xf numFmtId="10" fontId="7" fillId="0" borderId="54" xfId="6" applyNumberFormat="1" applyFont="1" applyBorder="1" applyProtection="1"/>
    <xf numFmtId="10" fontId="7" fillId="0" borderId="54" xfId="13" applyNumberFormat="1" applyFont="1" applyBorder="1" applyProtection="1"/>
    <xf numFmtId="10" fontId="7" fillId="0" borderId="52" xfId="13" applyNumberFormat="1" applyFont="1" applyBorder="1" applyProtection="1"/>
    <xf numFmtId="38" fontId="7" fillId="0" borderId="31" xfId="6" applyNumberFormat="1" applyFont="1" applyBorder="1" applyProtection="1"/>
    <xf numFmtId="38" fontId="7" fillId="0" borderId="31" xfId="5" applyNumberFormat="1" applyFont="1" applyBorder="1" applyProtection="1"/>
    <xf numFmtId="10" fontId="7" fillId="0" borderId="31" xfId="13" applyNumberFormat="1" applyFont="1" applyBorder="1" applyProtection="1"/>
    <xf numFmtId="10" fontId="7" fillId="0" borderId="51" xfId="13" applyNumberFormat="1" applyFont="1" applyBorder="1" applyProtection="1"/>
    <xf numFmtId="38" fontId="7" fillId="3" borderId="54" xfId="13" applyNumberFormat="1" applyFont="1" applyFill="1" applyBorder="1" applyProtection="1"/>
    <xf numFmtId="38" fontId="7" fillId="3" borderId="54" xfId="5" applyNumberFormat="1" applyFont="1" applyFill="1" applyBorder="1" applyProtection="1"/>
    <xf numFmtId="10" fontId="7" fillId="3" borderId="54" xfId="13" applyNumberFormat="1" applyFont="1" applyFill="1" applyBorder="1" applyProtection="1"/>
    <xf numFmtId="38" fontId="7" fillId="3" borderId="54" xfId="6" applyNumberFormat="1" applyFont="1" applyFill="1" applyBorder="1" applyProtection="1"/>
    <xf numFmtId="10" fontId="7" fillId="3" borderId="52" xfId="13" applyNumberFormat="1" applyFont="1" applyFill="1" applyBorder="1" applyProtection="1"/>
    <xf numFmtId="0" fontId="0" fillId="0" borderId="214" xfId="0" applyBorder="1"/>
    <xf numFmtId="41" fontId="7" fillId="0" borderId="215" xfId="6" applyNumberFormat="1" applyFont="1" applyFill="1" applyBorder="1" applyAlignment="1" applyProtection="1">
      <alignment horizontal="center" wrapText="1"/>
    </xf>
    <xf numFmtId="10" fontId="7" fillId="0" borderId="26" xfId="13" applyNumberFormat="1" applyFont="1" applyBorder="1" applyProtection="1"/>
    <xf numFmtId="10" fontId="7" fillId="0" borderId="72" xfId="13" applyNumberFormat="1" applyFont="1" applyBorder="1" applyProtection="1"/>
    <xf numFmtId="5" fontId="7" fillId="0" borderId="0" xfId="6" applyFont="1" applyAlignment="1" applyProtection="1">
      <alignment horizontal="left"/>
    </xf>
    <xf numFmtId="10" fontId="7" fillId="0" borderId="0" xfId="13" applyNumberFormat="1" applyFont="1" applyProtection="1"/>
    <xf numFmtId="10" fontId="7" fillId="0" borderId="19" xfId="13" applyNumberFormat="1" applyFont="1" applyBorder="1" applyProtection="1"/>
    <xf numFmtId="0" fontId="7" fillId="0" borderId="0" xfId="0" applyFont="1" applyAlignment="1">
      <alignment horizontal="left"/>
    </xf>
    <xf numFmtId="43" fontId="7" fillId="0" borderId="0" xfId="0" applyNumberFormat="1" applyFont="1"/>
    <xf numFmtId="10" fontId="7" fillId="0" borderId="128" xfId="0" applyNumberFormat="1" applyFont="1" applyBorder="1"/>
    <xf numFmtId="10" fontId="7" fillId="0" borderId="54" xfId="0" applyNumberFormat="1" applyFont="1" applyBorder="1"/>
    <xf numFmtId="10" fontId="7" fillId="0" borderId="52" xfId="0" applyNumberFormat="1" applyFont="1" applyBorder="1"/>
    <xf numFmtId="10" fontId="7" fillId="0" borderId="77" xfId="13" applyNumberFormat="1" applyFont="1" applyBorder="1" applyProtection="1"/>
    <xf numFmtId="41" fontId="7" fillId="0" borderId="151" xfId="0" applyNumberFormat="1" applyFont="1" applyBorder="1"/>
    <xf numFmtId="10" fontId="7" fillId="0" borderId="11" xfId="13" applyNumberFormat="1" applyFont="1" applyBorder="1" applyProtection="1"/>
    <xf numFmtId="10" fontId="7" fillId="0" borderId="7" xfId="13" applyNumberFormat="1" applyFont="1" applyBorder="1" applyProtection="1"/>
    <xf numFmtId="10" fontId="7" fillId="0" borderId="71" xfId="13" applyNumberFormat="1" applyFont="1" applyBorder="1" applyProtection="1"/>
    <xf numFmtId="41" fontId="7" fillId="0" borderId="199" xfId="0" applyNumberFormat="1" applyFont="1" applyBorder="1"/>
    <xf numFmtId="10" fontId="7" fillId="0" borderId="216" xfId="13" applyNumberFormat="1" applyFont="1" applyBorder="1" applyProtection="1"/>
    <xf numFmtId="10" fontId="7" fillId="5" borderId="54" xfId="13" applyNumberFormat="1" applyFont="1" applyFill="1" applyBorder="1" applyProtection="1">
      <protection locked="0"/>
    </xf>
    <xf numFmtId="9" fontId="0" fillId="0" borderId="0" xfId="13" applyFont="1" applyProtection="1"/>
    <xf numFmtId="169" fontId="0" fillId="0" borderId="0" xfId="5" applyNumberFormat="1" applyFont="1" applyProtection="1"/>
    <xf numFmtId="165" fontId="0" fillId="0" borderId="0" xfId="1" applyNumberFormat="1" applyFont="1" applyAlignment="1" applyProtection="1">
      <alignment horizontal="right"/>
    </xf>
    <xf numFmtId="0" fontId="0" fillId="0" borderId="0" xfId="0" applyAlignment="1">
      <alignment horizontal="right"/>
    </xf>
    <xf numFmtId="9" fontId="12" fillId="0" borderId="0" xfId="13" applyFont="1" applyProtection="1"/>
    <xf numFmtId="0" fontId="0" fillId="0" borderId="217" xfId="0" applyBorder="1"/>
    <xf numFmtId="0" fontId="0" fillId="0" borderId="17" xfId="0" applyBorder="1"/>
    <xf numFmtId="0" fontId="0" fillId="0" borderId="14" xfId="0" applyBorder="1"/>
    <xf numFmtId="0" fontId="1" fillId="0" borderId="14" xfId="0" applyFont="1" applyBorder="1" applyAlignment="1">
      <alignment horizontal="center"/>
    </xf>
    <xf numFmtId="0" fontId="0" fillId="0" borderId="218" xfId="0" applyBorder="1" applyAlignment="1">
      <alignment horizontal="center"/>
    </xf>
    <xf numFmtId="0" fontId="0" fillId="0" borderId="219" xfId="0" applyBorder="1"/>
    <xf numFmtId="0" fontId="0" fillId="0" borderId="15" xfId="0" applyBorder="1"/>
    <xf numFmtId="49" fontId="1" fillId="0" borderId="15" xfId="0" applyNumberFormat="1" applyFont="1" applyBorder="1" applyAlignment="1">
      <alignment horizontal="center"/>
    </xf>
    <xf numFmtId="0" fontId="1" fillId="0" borderId="220" xfId="0" applyFont="1" applyBorder="1" applyAlignment="1">
      <alignment horizontal="center"/>
    </xf>
    <xf numFmtId="0" fontId="1" fillId="0" borderId="15" xfId="0" applyFont="1" applyBorder="1"/>
    <xf numFmtId="0" fontId="1" fillId="0" borderId="15" xfId="0" applyFont="1" applyBorder="1" applyAlignment="1">
      <alignment horizontal="center"/>
    </xf>
    <xf numFmtId="0" fontId="1" fillId="0" borderId="5" xfId="0" applyFont="1" applyBorder="1" applyAlignment="1">
      <alignment horizontal="center"/>
    </xf>
    <xf numFmtId="0" fontId="1" fillId="0" borderId="19" xfId="0" applyFont="1" applyBorder="1" applyAlignment="1">
      <alignment horizontal="center"/>
    </xf>
    <xf numFmtId="0" fontId="0" fillId="0" borderId="220" xfId="0" applyBorder="1"/>
    <xf numFmtId="49" fontId="0" fillId="0" borderId="221" xfId="0" applyNumberFormat="1" applyBorder="1"/>
    <xf numFmtId="0" fontId="0" fillId="0" borderId="222" xfId="0" applyBorder="1"/>
    <xf numFmtId="41" fontId="0" fillId="0" borderId="4" xfId="0" applyNumberFormat="1" applyBorder="1"/>
    <xf numFmtId="49" fontId="0" fillId="0" borderId="223" xfId="0" applyNumberFormat="1" applyBorder="1"/>
    <xf numFmtId="0" fontId="0" fillId="0" borderId="224" xfId="0" applyBorder="1" applyAlignment="1">
      <alignment horizontal="left"/>
    </xf>
    <xf numFmtId="0" fontId="0" fillId="0" borderId="9" xfId="0" applyBorder="1" applyAlignment="1">
      <alignment horizontal="left"/>
    </xf>
    <xf numFmtId="0" fontId="0" fillId="0" borderId="225" xfId="0" applyBorder="1" applyAlignment="1">
      <alignment horizontal="left"/>
    </xf>
    <xf numFmtId="0" fontId="12" fillId="0" borderId="34" xfId="0" applyFont="1" applyBorder="1"/>
    <xf numFmtId="0" fontId="12" fillId="0" borderId="35" xfId="0" applyFont="1" applyBorder="1"/>
    <xf numFmtId="0" fontId="12" fillId="0" borderId="185" xfId="0" applyFont="1" applyBorder="1" applyAlignment="1">
      <alignment horizontal="center"/>
    </xf>
    <xf numFmtId="41" fontId="0" fillId="5" borderId="185" xfId="0" applyNumberFormat="1" applyFill="1" applyBorder="1" applyProtection="1">
      <protection locked="0"/>
    </xf>
    <xf numFmtId="41" fontId="0" fillId="5" borderId="8" xfId="0" applyNumberFormat="1" applyFill="1" applyBorder="1" applyProtection="1">
      <protection locked="0"/>
    </xf>
    <xf numFmtId="41" fontId="0" fillId="5" borderId="37" xfId="0" applyNumberFormat="1" applyFill="1" applyBorder="1" applyProtection="1">
      <protection locked="0"/>
    </xf>
    <xf numFmtId="41" fontId="12" fillId="0" borderId="226" xfId="0" applyNumberFormat="1" applyFont="1" applyBorder="1"/>
    <xf numFmtId="41" fontId="12" fillId="0" borderId="227" xfId="0" applyNumberFormat="1" applyFont="1" applyBorder="1"/>
    <xf numFmtId="41" fontId="12" fillId="0" borderId="228" xfId="0" applyNumberFormat="1" applyFont="1" applyBorder="1"/>
    <xf numFmtId="49" fontId="12" fillId="0" borderId="229" xfId="0" applyNumberFormat="1" applyFont="1" applyBorder="1" applyAlignment="1">
      <alignment horizontal="center" wrapText="1"/>
    </xf>
    <xf numFmtId="0" fontId="10" fillId="0" borderId="0" xfId="11" applyFont="1" applyAlignment="1">
      <alignment vertical="center"/>
    </xf>
    <xf numFmtId="41" fontId="7" fillId="0" borderId="230" xfId="0" applyNumberFormat="1" applyFont="1" applyBorder="1"/>
    <xf numFmtId="41" fontId="7" fillId="5" borderId="188" xfId="6" applyNumberFormat="1" applyFont="1" applyFill="1" applyBorder="1" applyProtection="1">
      <protection locked="0"/>
    </xf>
    <xf numFmtId="41" fontId="7" fillId="0" borderId="201" xfId="0" applyNumberFormat="1" applyFont="1" applyBorder="1"/>
    <xf numFmtId="10" fontId="7" fillId="0" borderId="231" xfId="13" applyNumberFormat="1" applyFont="1" applyBorder="1" applyProtection="1"/>
    <xf numFmtId="10" fontId="7" fillId="0" borderId="232" xfId="13" applyNumberFormat="1" applyFont="1" applyBorder="1" applyProtection="1"/>
    <xf numFmtId="10" fontId="7" fillId="0" borderId="197" xfId="13" applyNumberFormat="1" applyFont="1" applyBorder="1" applyProtection="1"/>
    <xf numFmtId="10" fontId="7" fillId="0" borderId="233" xfId="13" applyNumberFormat="1" applyFont="1" applyBorder="1" applyProtection="1"/>
    <xf numFmtId="5" fontId="7" fillId="0" borderId="0" xfId="6" applyFont="1" applyFill="1" applyBorder="1" applyAlignment="1" applyProtection="1">
      <alignment horizontal="left"/>
    </xf>
    <xf numFmtId="10" fontId="7" fillId="0" borderId="0" xfId="13" applyNumberFormat="1" applyFont="1" applyFill="1" applyBorder="1" applyProtection="1"/>
    <xf numFmtId="3" fontId="7" fillId="0" borderId="0" xfId="13" applyNumberFormat="1" applyFont="1" applyFill="1" applyBorder="1" applyProtection="1"/>
    <xf numFmtId="41" fontId="7" fillId="0" borderId="0" xfId="6" applyNumberFormat="1" applyFont="1" applyFill="1" applyBorder="1" applyAlignment="1" applyProtection="1">
      <alignment horizontal="center" wrapText="1"/>
    </xf>
    <xf numFmtId="9" fontId="7" fillId="0" borderId="27" xfId="13" applyFont="1" applyBorder="1" applyProtection="1"/>
    <xf numFmtId="9" fontId="42" fillId="0" borderId="0" xfId="13" applyFont="1" applyAlignment="1" applyProtection="1">
      <alignment horizontal="left"/>
    </xf>
    <xf numFmtId="10" fontId="7" fillId="0" borderId="23" xfId="13" applyNumberFormat="1" applyFont="1" applyFill="1" applyBorder="1" applyProtection="1"/>
    <xf numFmtId="0" fontId="0" fillId="0" borderId="234" xfId="0" applyBorder="1"/>
    <xf numFmtId="10" fontId="7" fillId="0" borderId="17" xfId="0" applyNumberFormat="1" applyFont="1" applyBorder="1"/>
    <xf numFmtId="0" fontId="0" fillId="0" borderId="128" xfId="0" applyBorder="1"/>
    <xf numFmtId="10" fontId="7" fillId="0" borderId="7" xfId="13" applyNumberFormat="1" applyFont="1" applyFill="1" applyBorder="1" applyProtection="1"/>
    <xf numFmtId="10" fontId="7" fillId="0" borderId="111" xfId="13" applyNumberFormat="1" applyFont="1" applyFill="1" applyBorder="1" applyProtection="1"/>
    <xf numFmtId="10" fontId="7" fillId="0" borderId="113" xfId="13" applyNumberFormat="1" applyFont="1" applyFill="1" applyBorder="1" applyProtection="1"/>
    <xf numFmtId="10" fontId="7" fillId="0" borderId="235" xfId="13" applyNumberFormat="1" applyFont="1" applyFill="1" applyBorder="1" applyProtection="1"/>
    <xf numFmtId="10" fontId="7" fillId="0" borderId="236" xfId="13" applyNumberFormat="1" applyFont="1" applyFill="1" applyBorder="1" applyProtection="1"/>
    <xf numFmtId="10" fontId="7" fillId="0" borderId="26" xfId="13" applyNumberFormat="1" applyFont="1" applyFill="1" applyBorder="1" applyProtection="1"/>
    <xf numFmtId="10" fontId="7" fillId="0" borderId="197" xfId="13" applyNumberFormat="1" applyFont="1" applyFill="1" applyBorder="1" applyProtection="1"/>
    <xf numFmtId="10" fontId="7" fillId="0" borderId="237" xfId="13" applyNumberFormat="1" applyFont="1" applyFill="1" applyBorder="1" applyProtection="1"/>
    <xf numFmtId="10" fontId="7" fillId="0" borderId="54" xfId="13" applyNumberFormat="1" applyFont="1" applyFill="1" applyBorder="1" applyProtection="1"/>
    <xf numFmtId="41" fontId="7" fillId="0" borderId="150" xfId="0" applyNumberFormat="1" applyFont="1" applyBorder="1"/>
    <xf numFmtId="41" fontId="7" fillId="0" borderId="212" xfId="0" applyNumberFormat="1" applyFont="1" applyBorder="1"/>
    <xf numFmtId="10" fontId="7" fillId="5" borderId="54" xfId="0" applyNumberFormat="1" applyFont="1" applyFill="1" applyBorder="1" applyProtection="1">
      <protection locked="0"/>
    </xf>
    <xf numFmtId="10" fontId="7" fillId="0" borderId="0" xfId="6" applyNumberFormat="1" applyFont="1" applyFill="1" applyBorder="1"/>
    <xf numFmtId="5" fontId="7" fillId="0" borderId="0" xfId="6" applyFont="1" applyFill="1" applyBorder="1"/>
    <xf numFmtId="38" fontId="7" fillId="0" borderId="0" xfId="6" applyNumberFormat="1" applyFont="1" applyFill="1" applyBorder="1"/>
    <xf numFmtId="10" fontId="1" fillId="5" borderId="0" xfId="0" applyNumberFormat="1" applyFont="1" applyFill="1" applyAlignment="1" applyProtection="1">
      <alignment horizontal="center"/>
      <protection locked="0"/>
    </xf>
    <xf numFmtId="9" fontId="12" fillId="5" borderId="0" xfId="13" applyFont="1" applyFill="1" applyAlignment="1" applyProtection="1">
      <alignment horizontal="center"/>
      <protection locked="0"/>
    </xf>
    <xf numFmtId="41" fontId="7" fillId="0" borderId="187" xfId="2" applyNumberFormat="1" applyFont="1" applyFill="1" applyBorder="1" applyProtection="1"/>
    <xf numFmtId="10" fontId="7" fillId="0" borderId="22" xfId="13" applyNumberFormat="1" applyFont="1" applyFill="1" applyBorder="1" applyProtection="1"/>
    <xf numFmtId="10" fontId="7" fillId="0" borderId="0" xfId="13" applyNumberFormat="1" applyFont="1" applyBorder="1" applyProtection="1"/>
    <xf numFmtId="10" fontId="7" fillId="5" borderId="49" xfId="13" applyNumberFormat="1" applyFont="1" applyFill="1" applyBorder="1" applyProtection="1">
      <protection locked="0"/>
    </xf>
    <xf numFmtId="41" fontId="7" fillId="0" borderId="238" xfId="0" applyNumberFormat="1" applyFont="1" applyBorder="1"/>
    <xf numFmtId="41" fontId="7" fillId="0" borderId="239" xfId="0" applyNumberFormat="1" applyFont="1" applyBorder="1"/>
    <xf numFmtId="171" fontId="0" fillId="0" borderId="0" xfId="13" applyNumberFormat="1" applyFont="1" applyAlignment="1" applyProtection="1">
      <alignment horizontal="center"/>
    </xf>
    <xf numFmtId="171" fontId="12" fillId="0" borderId="0" xfId="13" applyNumberFormat="1" applyFont="1" applyAlignment="1" applyProtection="1">
      <alignment horizontal="center"/>
    </xf>
    <xf numFmtId="0" fontId="0" fillId="0" borderId="0" xfId="0" applyAlignment="1">
      <alignment horizontal="left" vertical="top"/>
    </xf>
    <xf numFmtId="38" fontId="6" fillId="0" borderId="0" xfId="6" applyNumberFormat="1" applyFont="1" applyProtection="1"/>
    <xf numFmtId="38" fontId="6" fillId="0" borderId="0" xfId="6" applyNumberFormat="1" applyFont="1" applyAlignment="1" applyProtection="1">
      <alignment horizontal="left"/>
    </xf>
    <xf numFmtId="0" fontId="7" fillId="0" borderId="240" xfId="0" applyFont="1" applyBorder="1"/>
    <xf numFmtId="0" fontId="7" fillId="0" borderId="241" xfId="0" applyFont="1" applyBorder="1"/>
    <xf numFmtId="0" fontId="7" fillId="0" borderId="242" xfId="0" applyFont="1" applyBorder="1" applyAlignment="1">
      <alignment horizontal="center"/>
    </xf>
    <xf numFmtId="10" fontId="7" fillId="0" borderId="242" xfId="0" applyNumberFormat="1" applyFont="1" applyBorder="1" applyAlignment="1">
      <alignment horizontal="center"/>
    </xf>
    <xf numFmtId="0" fontId="7" fillId="0" borderId="243" xfId="0" applyFont="1" applyBorder="1"/>
    <xf numFmtId="5" fontId="7" fillId="0" borderId="1" xfId="6" applyFont="1" applyBorder="1" applyProtection="1"/>
    <xf numFmtId="10" fontId="7" fillId="0" borderId="1" xfId="6" applyNumberFormat="1" applyFont="1" applyBorder="1" applyProtection="1"/>
    <xf numFmtId="10" fontId="7" fillId="0" borderId="244" xfId="6" applyNumberFormat="1" applyFont="1" applyBorder="1" applyProtection="1"/>
    <xf numFmtId="5" fontId="7" fillId="0" borderId="61" xfId="6" applyFont="1" applyBorder="1" applyProtection="1"/>
    <xf numFmtId="10" fontId="7" fillId="0" borderId="61" xfId="6" applyNumberFormat="1" applyFont="1" applyBorder="1" applyProtection="1"/>
    <xf numFmtId="10" fontId="7" fillId="0" borderId="137" xfId="6" applyNumberFormat="1" applyFont="1" applyBorder="1" applyProtection="1"/>
    <xf numFmtId="41" fontId="7" fillId="0" borderId="75" xfId="6" applyNumberFormat="1" applyFont="1" applyBorder="1" applyProtection="1"/>
    <xf numFmtId="41" fontId="7" fillId="0" borderId="106" xfId="5" applyNumberFormat="1" applyFont="1" applyBorder="1" applyProtection="1"/>
    <xf numFmtId="10" fontId="7" fillId="0" borderId="7" xfId="6" applyNumberFormat="1" applyFont="1" applyBorder="1" applyProtection="1"/>
    <xf numFmtId="10" fontId="7" fillId="0" borderId="71" xfId="6" applyNumberFormat="1" applyFont="1" applyBorder="1" applyProtection="1"/>
    <xf numFmtId="41" fontId="7" fillId="0" borderId="21" xfId="5" applyNumberFormat="1" applyFont="1" applyBorder="1" applyProtection="1"/>
    <xf numFmtId="10" fontId="7" fillId="0" borderId="21" xfId="13" applyNumberFormat="1" applyFont="1" applyBorder="1" applyProtection="1"/>
    <xf numFmtId="10" fontId="7" fillId="0" borderId="118" xfId="13" applyNumberFormat="1" applyFont="1" applyBorder="1" applyProtection="1"/>
    <xf numFmtId="41" fontId="7" fillId="0" borderId="76" xfId="13" applyNumberFormat="1" applyFont="1" applyBorder="1" applyProtection="1"/>
    <xf numFmtId="41" fontId="7" fillId="0" borderId="75" xfId="13" applyNumberFormat="1" applyFont="1" applyBorder="1" applyProtection="1"/>
    <xf numFmtId="41" fontId="7" fillId="0" borderId="106" xfId="6" applyNumberFormat="1" applyFont="1" applyBorder="1" applyProtection="1"/>
    <xf numFmtId="41" fontId="7" fillId="0" borderId="0" xfId="6" applyNumberFormat="1" applyFont="1" applyProtection="1"/>
    <xf numFmtId="41" fontId="7" fillId="0" borderId="116" xfId="6" applyNumberFormat="1" applyFont="1" applyBorder="1" applyProtection="1"/>
    <xf numFmtId="41" fontId="7" fillId="0" borderId="198" xfId="5" applyNumberFormat="1" applyFont="1" applyBorder="1" applyProtection="1"/>
    <xf numFmtId="10" fontId="7" fillId="0" borderId="26" xfId="6" applyNumberFormat="1" applyFont="1" applyBorder="1" applyProtection="1"/>
    <xf numFmtId="41" fontId="7" fillId="0" borderId="131" xfId="6" applyNumberFormat="1" applyFont="1" applyBorder="1" applyProtection="1"/>
    <xf numFmtId="10" fontId="7" fillId="0" borderId="131" xfId="13" applyNumberFormat="1" applyFont="1" applyBorder="1" applyProtection="1"/>
    <xf numFmtId="10" fontId="7" fillId="0" borderId="110" xfId="13" applyNumberFormat="1" applyFont="1" applyBorder="1" applyProtection="1"/>
    <xf numFmtId="5" fontId="7" fillId="0" borderId="0" xfId="6" applyFont="1" applyAlignment="1" applyProtection="1">
      <alignment horizontal="center"/>
    </xf>
    <xf numFmtId="10" fontId="7" fillId="0" borderId="0" xfId="6" applyNumberFormat="1" applyFont="1" applyAlignment="1" applyProtection="1">
      <alignment horizontal="center"/>
    </xf>
    <xf numFmtId="10" fontId="7" fillId="0" borderId="19" xfId="6" applyNumberFormat="1" applyFont="1" applyBorder="1" applyAlignment="1" applyProtection="1">
      <alignment horizontal="center"/>
    </xf>
    <xf numFmtId="5" fontId="7" fillId="0" borderId="22" xfId="6" applyFont="1" applyBorder="1" applyProtection="1"/>
    <xf numFmtId="5" fontId="7" fillId="0" borderId="22" xfId="6" applyFont="1" applyBorder="1" applyAlignment="1" applyProtection="1">
      <alignment horizontal="center"/>
    </xf>
    <xf numFmtId="10" fontId="7" fillId="0" borderId="22" xfId="6" applyNumberFormat="1" applyFont="1" applyBorder="1" applyAlignment="1" applyProtection="1">
      <alignment horizontal="center"/>
    </xf>
    <xf numFmtId="10" fontId="7" fillId="0" borderId="109" xfId="6" applyNumberFormat="1" applyFont="1" applyBorder="1" applyAlignment="1" applyProtection="1">
      <alignment horizontal="center"/>
    </xf>
    <xf numFmtId="41" fontId="7" fillId="0" borderId="146" xfId="6" applyNumberFormat="1" applyFont="1" applyBorder="1" applyProtection="1"/>
    <xf numFmtId="0" fontId="7" fillId="0" borderId="245" xfId="0" applyFont="1" applyBorder="1" applyAlignment="1">
      <alignment horizontal="center"/>
    </xf>
    <xf numFmtId="38" fontId="7" fillId="0" borderId="56" xfId="6" applyNumberFormat="1" applyFont="1" applyBorder="1" applyProtection="1"/>
    <xf numFmtId="10" fontId="7" fillId="0" borderId="56" xfId="6" applyNumberFormat="1" applyFont="1" applyBorder="1" applyProtection="1"/>
    <xf numFmtId="10" fontId="7" fillId="0" borderId="175" xfId="6" applyNumberFormat="1" applyFont="1" applyBorder="1" applyProtection="1"/>
    <xf numFmtId="42" fontId="7" fillId="0" borderId="133" xfId="6" applyNumberFormat="1" applyFont="1" applyBorder="1" applyProtection="1"/>
    <xf numFmtId="10" fontId="7" fillId="0" borderId="133" xfId="13" applyNumberFormat="1" applyFont="1" applyBorder="1" applyProtection="1"/>
    <xf numFmtId="10" fontId="7" fillId="0" borderId="134" xfId="13" applyNumberFormat="1" applyFont="1" applyBorder="1" applyProtection="1"/>
    <xf numFmtId="10" fontId="7" fillId="0" borderId="23" xfId="6" applyNumberFormat="1" applyFont="1" applyBorder="1" applyProtection="1"/>
    <xf numFmtId="10" fontId="7" fillId="0" borderId="114" xfId="6" applyNumberFormat="1" applyFont="1" applyBorder="1" applyProtection="1"/>
    <xf numFmtId="10" fontId="7" fillId="0" borderId="22" xfId="6" applyNumberFormat="1" applyFont="1" applyBorder="1" applyProtection="1"/>
    <xf numFmtId="10" fontId="7" fillId="0" borderId="109" xfId="6" applyNumberFormat="1" applyFont="1" applyBorder="1" applyProtection="1"/>
    <xf numFmtId="10" fontId="7" fillId="0" borderId="0" xfId="6" applyNumberFormat="1" applyFont="1" applyProtection="1"/>
    <xf numFmtId="10" fontId="7" fillId="0" borderId="19" xfId="6" applyNumberFormat="1" applyFont="1" applyBorder="1" applyProtection="1"/>
    <xf numFmtId="10" fontId="7" fillId="0" borderId="55" xfId="6" applyNumberFormat="1" applyFont="1" applyFill="1" applyBorder="1" applyProtection="1"/>
    <xf numFmtId="41" fontId="7" fillId="6" borderId="62" xfId="13" applyNumberFormat="1" applyFont="1" applyFill="1" applyBorder="1" applyProtection="1"/>
    <xf numFmtId="10" fontId="7" fillId="6" borderId="148" xfId="6" applyNumberFormat="1" applyFont="1" applyFill="1" applyBorder="1" applyProtection="1"/>
    <xf numFmtId="41" fontId="7" fillId="6" borderId="148" xfId="13" applyNumberFormat="1" applyFont="1" applyFill="1" applyBorder="1" applyProtection="1"/>
    <xf numFmtId="10" fontId="7" fillId="6" borderId="135" xfId="6" applyNumberFormat="1" applyFont="1" applyFill="1" applyBorder="1" applyProtection="1"/>
    <xf numFmtId="43" fontId="7" fillId="6" borderId="7" xfId="6" applyNumberFormat="1" applyFont="1" applyFill="1" applyBorder="1" applyProtection="1"/>
    <xf numFmtId="10" fontId="7" fillId="6" borderId="7" xfId="6" applyNumberFormat="1" applyFont="1" applyFill="1" applyBorder="1" applyProtection="1"/>
    <xf numFmtId="43" fontId="7" fillId="6" borderId="75" xfId="6" applyNumberFormat="1" applyFont="1" applyFill="1" applyBorder="1" applyProtection="1"/>
    <xf numFmtId="10" fontId="7" fillId="6" borderId="112" xfId="6" applyNumberFormat="1" applyFont="1" applyFill="1" applyBorder="1" applyProtection="1"/>
    <xf numFmtId="43" fontId="7" fillId="6" borderId="112" xfId="6" applyNumberFormat="1" applyFont="1" applyFill="1" applyBorder="1" applyProtection="1"/>
    <xf numFmtId="10" fontId="7" fillId="6" borderId="111" xfId="6" applyNumberFormat="1" applyFont="1" applyFill="1" applyBorder="1" applyProtection="1"/>
    <xf numFmtId="43" fontId="7" fillId="14" borderId="75" xfId="6" applyNumberFormat="1" applyFont="1" applyFill="1" applyBorder="1" applyProtection="1"/>
    <xf numFmtId="43" fontId="7" fillId="6" borderId="116" xfId="6" applyNumberFormat="1" applyFont="1" applyFill="1" applyBorder="1" applyProtection="1"/>
    <xf numFmtId="10" fontId="7" fillId="6" borderId="108" xfId="6" applyNumberFormat="1" applyFont="1" applyFill="1" applyBorder="1" applyProtection="1"/>
    <xf numFmtId="43" fontId="7" fillId="6" borderId="108" xfId="6" applyNumberFormat="1" applyFont="1" applyFill="1" applyBorder="1" applyProtection="1"/>
    <xf numFmtId="10" fontId="7" fillId="6" borderId="113" xfId="6" applyNumberFormat="1" applyFont="1" applyFill="1" applyBorder="1" applyProtection="1"/>
    <xf numFmtId="10" fontId="7" fillId="0" borderId="26" xfId="6" applyNumberFormat="1" applyFont="1" applyFill="1" applyBorder="1" applyProtection="1"/>
    <xf numFmtId="41" fontId="7" fillId="0" borderId="116" xfId="6" applyNumberFormat="1" applyFont="1" applyFill="1" applyBorder="1" applyProtection="1"/>
    <xf numFmtId="10" fontId="7" fillId="0" borderId="108" xfId="6" applyNumberFormat="1" applyFont="1" applyFill="1" applyBorder="1" applyProtection="1"/>
    <xf numFmtId="41" fontId="7" fillId="0" borderId="108" xfId="6" applyNumberFormat="1" applyFont="1" applyFill="1" applyBorder="1" applyProtection="1"/>
    <xf numFmtId="10" fontId="7" fillId="0" borderId="113" xfId="6" applyNumberFormat="1" applyFont="1" applyFill="1" applyBorder="1" applyProtection="1"/>
    <xf numFmtId="10" fontId="7" fillId="0" borderId="131" xfId="6" applyNumberFormat="1" applyFont="1" applyBorder="1" applyProtection="1"/>
    <xf numFmtId="10" fontId="7" fillId="0" borderId="110" xfId="6" applyNumberFormat="1" applyFont="1" applyBorder="1" applyProtection="1"/>
    <xf numFmtId="6" fontId="7" fillId="0" borderId="0" xfId="6" applyNumberFormat="1" applyFont="1" applyProtection="1"/>
    <xf numFmtId="5" fontId="7" fillId="0" borderId="27" xfId="6" applyFont="1" applyBorder="1" applyProtection="1"/>
    <xf numFmtId="5" fontId="7" fillId="0" borderId="30" xfId="6" applyFont="1" applyBorder="1" applyProtection="1"/>
    <xf numFmtId="10" fontId="7" fillId="0" borderId="30" xfId="6" applyNumberFormat="1" applyFont="1" applyBorder="1" applyProtection="1"/>
    <xf numFmtId="10" fontId="7" fillId="0" borderId="129" xfId="6" applyNumberFormat="1" applyFont="1" applyBorder="1" applyProtection="1"/>
    <xf numFmtId="10" fontId="7" fillId="0" borderId="21" xfId="6" applyNumberFormat="1" applyFont="1" applyBorder="1" applyProtection="1"/>
    <xf numFmtId="10" fontId="7" fillId="0" borderId="160" xfId="6" applyNumberFormat="1" applyFont="1" applyBorder="1" applyProtection="1"/>
    <xf numFmtId="10" fontId="7" fillId="6" borderId="160" xfId="13" applyNumberFormat="1" applyFont="1" applyFill="1" applyBorder="1" applyProtection="1"/>
    <xf numFmtId="10" fontId="7" fillId="6" borderId="161" xfId="13" applyNumberFormat="1" applyFont="1" applyFill="1" applyBorder="1" applyProtection="1"/>
    <xf numFmtId="9" fontId="1" fillId="0" borderId="0" xfId="13" applyFont="1" applyAlignment="1" applyProtection="1">
      <alignment horizontal="center"/>
    </xf>
    <xf numFmtId="0" fontId="6" fillId="0" borderId="0" xfId="0" applyFont="1" applyAlignment="1" applyProtection="1">
      <alignment horizontal="center"/>
      <protection locked="0"/>
    </xf>
    <xf numFmtId="10" fontId="6" fillId="0" borderId="0" xfId="0" applyNumberFormat="1" applyFont="1" applyAlignment="1" applyProtection="1">
      <alignment horizontal="right"/>
      <protection locked="0"/>
    </xf>
    <xf numFmtId="10" fontId="7" fillId="0" borderId="0" xfId="0" applyNumberFormat="1" applyFont="1" applyAlignment="1" applyProtection="1">
      <alignment horizontal="center"/>
      <protection locked="0"/>
    </xf>
    <xf numFmtId="10" fontId="7" fillId="0" borderId="0" xfId="6" applyNumberFormat="1" applyFont="1" applyFill="1" applyBorder="1" applyProtection="1">
      <protection locked="0"/>
    </xf>
    <xf numFmtId="10" fontId="7" fillId="0" borderId="0" xfId="13" applyNumberFormat="1" applyFont="1" applyFill="1" applyBorder="1" applyProtection="1">
      <protection locked="0"/>
    </xf>
    <xf numFmtId="10" fontId="7" fillId="0" borderId="0" xfId="6" applyNumberFormat="1" applyFont="1" applyFill="1" applyBorder="1" applyAlignment="1" applyProtection="1">
      <alignment horizontal="center"/>
      <protection locked="0"/>
    </xf>
    <xf numFmtId="10" fontId="0" fillId="0" borderId="0" xfId="0" applyNumberFormat="1" applyProtection="1">
      <protection locked="0"/>
    </xf>
    <xf numFmtId="0" fontId="4" fillId="0" borderId="49" xfId="0" applyFont="1" applyBorder="1"/>
    <xf numFmtId="10" fontId="7" fillId="4" borderId="112" xfId="13" applyNumberFormat="1" applyFont="1" applyFill="1" applyBorder="1" applyAlignment="1" applyProtection="1">
      <alignment horizontal="center"/>
      <protection locked="0"/>
    </xf>
    <xf numFmtId="10" fontId="7" fillId="4" borderId="112" xfId="6" applyNumberFormat="1" applyFont="1" applyFill="1" applyBorder="1" applyAlignment="1" applyProtection="1">
      <alignment horizontal="center"/>
      <protection locked="0"/>
    </xf>
    <xf numFmtId="10" fontId="7" fillId="10" borderId="112" xfId="13" applyNumberFormat="1" applyFont="1" applyFill="1" applyBorder="1" applyAlignment="1" applyProtection="1">
      <alignment horizontal="center"/>
      <protection locked="0"/>
    </xf>
    <xf numFmtId="42" fontId="7" fillId="5" borderId="112" xfId="13" applyNumberFormat="1" applyFont="1" applyFill="1" applyBorder="1" applyProtection="1">
      <protection locked="0"/>
    </xf>
    <xf numFmtId="42" fontId="7" fillId="5" borderId="112" xfId="6" applyNumberFormat="1" applyFont="1" applyFill="1" applyBorder="1" applyProtection="1">
      <protection locked="0"/>
    </xf>
    <xf numFmtId="14" fontId="4" fillId="5" borderId="49" xfId="0" applyNumberFormat="1" applyFont="1" applyFill="1" applyBorder="1" applyProtection="1">
      <protection locked="0"/>
    </xf>
    <xf numFmtId="169" fontId="7" fillId="6" borderId="112" xfId="13" applyNumberFormat="1" applyFont="1" applyFill="1" applyBorder="1"/>
    <xf numFmtId="169" fontId="7" fillId="6" borderId="112" xfId="6" applyNumberFormat="1" applyFont="1" applyFill="1" applyBorder="1"/>
    <xf numFmtId="10" fontId="7" fillId="6" borderId="112" xfId="13" applyNumberFormat="1" applyFont="1" applyFill="1" applyBorder="1"/>
    <xf numFmtId="10" fontId="7" fillId="6" borderId="111" xfId="13" applyNumberFormat="1" applyFont="1" applyFill="1" applyBorder="1"/>
    <xf numFmtId="44" fontId="7" fillId="0" borderId="112" xfId="13" applyNumberFormat="1" applyFont="1" applyBorder="1"/>
    <xf numFmtId="44" fontId="7" fillId="0" borderId="111" xfId="13" applyNumberFormat="1" applyFont="1" applyBorder="1"/>
    <xf numFmtId="0" fontId="0" fillId="0" borderId="49" xfId="0" applyBorder="1"/>
    <xf numFmtId="43" fontId="7" fillId="8" borderId="112" xfId="13" applyNumberFormat="1" applyFont="1" applyFill="1" applyBorder="1"/>
    <xf numFmtId="43" fontId="7" fillId="0" borderId="112" xfId="13" applyNumberFormat="1" applyFont="1" applyBorder="1"/>
    <xf numFmtId="2" fontId="7" fillId="0" borderId="112" xfId="13" applyNumberFormat="1" applyFont="1" applyBorder="1"/>
    <xf numFmtId="43" fontId="7" fillId="8" borderId="112" xfId="13" applyNumberFormat="1" applyFont="1" applyFill="1" applyBorder="1" applyAlignment="1">
      <alignment wrapText="1"/>
    </xf>
    <xf numFmtId="43" fontId="7" fillId="0" borderId="112" xfId="1" applyFont="1" applyBorder="1"/>
    <xf numFmtId="43" fontId="7" fillId="0" borderId="112" xfId="3" applyNumberFormat="1" applyFont="1" applyBorder="1"/>
    <xf numFmtId="38" fontId="7" fillId="5" borderId="49" xfId="0" applyNumberFormat="1" applyFont="1" applyFill="1" applyBorder="1" applyProtection="1">
      <protection locked="0"/>
    </xf>
    <xf numFmtId="37" fontId="7" fillId="5" borderId="112" xfId="1" applyNumberFormat="1" applyFont="1" applyFill="1" applyBorder="1" applyProtection="1">
      <protection locked="0"/>
    </xf>
    <xf numFmtId="0" fontId="0" fillId="0" borderId="125" xfId="0" applyBorder="1"/>
    <xf numFmtId="10" fontId="7" fillId="0" borderId="104" xfId="13" applyNumberFormat="1" applyFont="1" applyBorder="1"/>
    <xf numFmtId="10" fontId="7" fillId="5" borderId="112" xfId="13" applyNumberFormat="1" applyFont="1" applyFill="1" applyBorder="1" applyProtection="1">
      <protection locked="0"/>
    </xf>
    <xf numFmtId="2" fontId="7" fillId="5" borderId="54" xfId="6" applyNumberFormat="1" applyFont="1" applyFill="1" applyBorder="1" applyProtection="1">
      <protection locked="0"/>
    </xf>
    <xf numFmtId="2" fontId="7" fillId="5" borderId="112" xfId="13" applyNumberFormat="1" applyFont="1" applyFill="1" applyBorder="1" applyProtection="1">
      <protection locked="0"/>
    </xf>
    <xf numFmtId="2" fontId="7" fillId="0" borderId="111" xfId="13" applyNumberFormat="1" applyFont="1" applyBorder="1"/>
    <xf numFmtId="0" fontId="0" fillId="0" borderId="188" xfId="0" applyBorder="1"/>
    <xf numFmtId="2" fontId="7" fillId="5" borderId="153" xfId="6" applyNumberFormat="1" applyFont="1" applyFill="1" applyBorder="1" applyProtection="1">
      <protection locked="0"/>
    </xf>
    <xf numFmtId="2" fontId="7" fillId="5" borderId="54" xfId="7" applyNumberFormat="1" applyFont="1" applyFill="1" applyBorder="1" applyProtection="1">
      <protection locked="0"/>
    </xf>
    <xf numFmtId="42" fontId="7" fillId="5" borderId="54" xfId="7" applyNumberFormat="1" applyFont="1" applyFill="1" applyBorder="1" applyProtection="1">
      <protection locked="0"/>
    </xf>
    <xf numFmtId="10" fontId="7" fillId="5" borderId="54" xfId="6" applyNumberFormat="1" applyFont="1" applyFill="1" applyBorder="1" applyProtection="1">
      <protection locked="0"/>
    </xf>
    <xf numFmtId="10" fontId="7" fillId="0" borderId="202" xfId="13" applyNumberFormat="1" applyFont="1" applyBorder="1"/>
    <xf numFmtId="10" fontId="7" fillId="0" borderId="246" xfId="13" applyNumberFormat="1" applyFont="1" applyBorder="1"/>
    <xf numFmtId="42" fontId="7" fillId="5" borderId="54" xfId="6" applyNumberFormat="1" applyFont="1" applyFill="1" applyBorder="1" applyProtection="1">
      <protection locked="0"/>
    </xf>
    <xf numFmtId="10" fontId="7" fillId="0" borderId="148" xfId="13" applyNumberFormat="1" applyFont="1" applyBorder="1"/>
    <xf numFmtId="42" fontId="7" fillId="5" borderId="54" xfId="0" applyNumberFormat="1" applyFont="1" applyFill="1" applyBorder="1" applyProtection="1">
      <protection locked="0"/>
    </xf>
    <xf numFmtId="42" fontId="7" fillId="5" borderId="46" xfId="0" applyNumberFormat="1" applyFont="1" applyFill="1" applyBorder="1" applyProtection="1">
      <protection locked="0"/>
    </xf>
    <xf numFmtId="10" fontId="7" fillId="0" borderId="247" xfId="13" applyNumberFormat="1" applyFont="1" applyBorder="1"/>
    <xf numFmtId="10" fontId="7" fillId="0" borderId="248" xfId="13" applyNumberFormat="1" applyFont="1" applyBorder="1"/>
    <xf numFmtId="10" fontId="7" fillId="0" borderId="144" xfId="13" applyNumberFormat="1" applyFont="1" applyFill="1" applyBorder="1" applyProtection="1"/>
    <xf numFmtId="166" fontId="0" fillId="0" borderId="0" xfId="0" applyNumberFormat="1"/>
    <xf numFmtId="42" fontId="7" fillId="0" borderId="63" xfId="6" applyNumberFormat="1" applyFont="1" applyBorder="1"/>
    <xf numFmtId="41" fontId="7" fillId="0" borderId="189" xfId="0" applyNumberFormat="1" applyFont="1" applyBorder="1"/>
    <xf numFmtId="10" fontId="7" fillId="0" borderId="76" xfId="13" applyNumberFormat="1" applyFont="1" applyFill="1" applyBorder="1" applyProtection="1"/>
    <xf numFmtId="10" fontId="7" fillId="0" borderId="149" xfId="13" applyNumberFormat="1" applyFont="1" applyFill="1" applyBorder="1" applyProtection="1"/>
    <xf numFmtId="41" fontId="7" fillId="0" borderId="70" xfId="6" applyNumberFormat="1" applyFont="1" applyFill="1" applyBorder="1" applyProtection="1"/>
    <xf numFmtId="41" fontId="7" fillId="0" borderId="213" xfId="0" applyNumberFormat="1" applyFont="1" applyBorder="1"/>
    <xf numFmtId="41" fontId="7" fillId="0" borderId="84" xfId="6" applyNumberFormat="1" applyFont="1" applyFill="1" applyBorder="1" applyProtection="1"/>
    <xf numFmtId="37" fontId="7" fillId="0" borderId="0" xfId="0" applyNumberFormat="1" applyFont="1" applyAlignment="1">
      <alignment horizontal="center"/>
    </xf>
    <xf numFmtId="165" fontId="7" fillId="0" borderId="0" xfId="13" applyNumberFormat="1" applyFont="1" applyBorder="1"/>
    <xf numFmtId="0" fontId="1" fillId="0" borderId="119" xfId="0" applyFont="1" applyBorder="1"/>
    <xf numFmtId="43" fontId="7" fillId="0" borderId="0" xfId="6" applyNumberFormat="1" applyFont="1" applyBorder="1" applyProtection="1"/>
    <xf numFmtId="0" fontId="1" fillId="0" borderId="0" xfId="0" applyFont="1" applyAlignment="1" applyProtection="1">
      <alignment horizontal="left" vertical="top"/>
      <protection locked="0"/>
    </xf>
    <xf numFmtId="0" fontId="0" fillId="0" borderId="30" xfId="0" applyBorder="1" applyAlignment="1" applyProtection="1">
      <alignment horizontal="left" vertical="top"/>
      <protection locked="0"/>
    </xf>
    <xf numFmtId="170" fontId="7" fillId="5" borderId="54" xfId="0" applyNumberFormat="1" applyFont="1" applyFill="1" applyBorder="1" applyProtection="1">
      <protection locked="0"/>
    </xf>
    <xf numFmtId="41" fontId="7" fillId="0" borderId="32" xfId="2" applyNumberFormat="1" applyFont="1" applyFill="1" applyBorder="1" applyProtection="1"/>
    <xf numFmtId="41" fontId="7" fillId="0" borderId="51" xfId="2" applyNumberFormat="1" applyFont="1" applyBorder="1" applyProtection="1"/>
    <xf numFmtId="42" fontId="30" fillId="0" borderId="152" xfId="2" applyNumberFormat="1" applyFont="1" applyBorder="1" applyProtection="1"/>
    <xf numFmtId="41" fontId="7" fillId="0" borderId="52" xfId="2" applyNumberFormat="1" applyFont="1" applyFill="1" applyBorder="1" applyProtection="1"/>
    <xf numFmtId="41" fontId="7" fillId="0" borderId="86" xfId="2" applyNumberFormat="1" applyFont="1" applyBorder="1" applyProtection="1"/>
    <xf numFmtId="41" fontId="7" fillId="15" borderId="32" xfId="13" applyNumberFormat="1" applyFont="1" applyFill="1" applyBorder="1" applyProtection="1"/>
    <xf numFmtId="41" fontId="7" fillId="0" borderId="27" xfId="2" applyNumberFormat="1" applyFont="1" applyBorder="1" applyProtection="1"/>
    <xf numFmtId="41" fontId="30" fillId="0" borderId="4" xfId="2" applyNumberFormat="1" applyFont="1" applyBorder="1" applyProtection="1"/>
    <xf numFmtId="41" fontId="52" fillId="0" borderId="47" xfId="10" applyNumberFormat="1" applyFont="1" applyBorder="1"/>
    <xf numFmtId="0" fontId="53" fillId="0" borderId="0" xfId="0" applyFont="1"/>
    <xf numFmtId="41" fontId="42" fillId="0" borderId="0" xfId="0" applyNumberFormat="1" applyFont="1"/>
    <xf numFmtId="41" fontId="42" fillId="0" borderId="0" xfId="0" applyNumberFormat="1" applyFont="1" applyAlignment="1">
      <alignment horizontal="right"/>
    </xf>
    <xf numFmtId="42" fontId="42" fillId="0" borderId="0" xfId="0" applyNumberFormat="1" applyFont="1"/>
    <xf numFmtId="0" fontId="12" fillId="0" borderId="0" xfId="0" applyFont="1" applyAlignment="1">
      <alignment horizontal="right"/>
    </xf>
    <xf numFmtId="41" fontId="36" fillId="0" borderId="0" xfId="0" applyNumberFormat="1" applyFont="1"/>
    <xf numFmtId="42" fontId="36" fillId="0" borderId="42" xfId="0" applyNumberFormat="1" applyFont="1" applyBorder="1"/>
    <xf numFmtId="14" fontId="23" fillId="0" borderId="0" xfId="0" applyNumberFormat="1" applyFont="1"/>
    <xf numFmtId="0" fontId="54" fillId="0" borderId="0" xfId="0" applyFont="1"/>
    <xf numFmtId="0" fontId="55" fillId="0" borderId="0" xfId="0" applyFont="1" applyAlignment="1">
      <alignment horizontal="left"/>
    </xf>
    <xf numFmtId="0" fontId="55" fillId="0" borderId="4" xfId="0" applyFont="1" applyBorder="1"/>
    <xf numFmtId="0" fontId="55" fillId="0" borderId="5" xfId="11" applyFont="1" applyBorder="1" applyAlignment="1">
      <alignment vertical="center"/>
    </xf>
    <xf numFmtId="0" fontId="54" fillId="0" borderId="42" xfId="12" applyFont="1" applyBorder="1" applyAlignment="1">
      <alignment horizontal="right"/>
    </xf>
    <xf numFmtId="0" fontId="56" fillId="0" borderId="0" xfId="0" applyFont="1"/>
    <xf numFmtId="14" fontId="57" fillId="0" borderId="0" xfId="0" quotePrefix="1" applyNumberFormat="1" applyFont="1"/>
    <xf numFmtId="0" fontId="58" fillId="0" borderId="0" xfId="10" applyFont="1"/>
    <xf numFmtId="0" fontId="54" fillId="0" borderId="0" xfId="12" applyFont="1" applyAlignment="1">
      <alignment horizontal="right"/>
    </xf>
    <xf numFmtId="0" fontId="59" fillId="0" borderId="4" xfId="0" applyFont="1" applyBorder="1"/>
    <xf numFmtId="0" fontId="59" fillId="0" borderId="0" xfId="0" applyFont="1" applyAlignment="1">
      <alignment horizontal="left"/>
    </xf>
    <xf numFmtId="0" fontId="60" fillId="0" borderId="0" xfId="0" applyFont="1" applyAlignment="1">
      <alignment horizontal="left"/>
    </xf>
    <xf numFmtId="0" fontId="61" fillId="0" borderId="0" xfId="0" applyFont="1"/>
    <xf numFmtId="0" fontId="55" fillId="0" borderId="68" xfId="0" applyFont="1" applyBorder="1"/>
    <xf numFmtId="0" fontId="55" fillId="0" borderId="249" xfId="0" applyFont="1" applyBorder="1"/>
    <xf numFmtId="10" fontId="7" fillId="0" borderId="19" xfId="13" applyNumberFormat="1" applyFont="1" applyFill="1" applyBorder="1" applyProtection="1"/>
    <xf numFmtId="49" fontId="7" fillId="5" borderId="31" xfId="13" applyNumberFormat="1" applyFont="1" applyFill="1" applyBorder="1" applyProtection="1">
      <protection locked="0"/>
    </xf>
    <xf numFmtId="49" fontId="7" fillId="5" borderId="31" xfId="13" applyNumberFormat="1" applyFont="1" applyFill="1" applyBorder="1" applyAlignment="1" applyProtection="1">
      <alignment horizontal="left" vertical="top"/>
      <protection locked="0"/>
    </xf>
    <xf numFmtId="49" fontId="7" fillId="5" borderId="177" xfId="13" applyNumberFormat="1" applyFont="1" applyFill="1" applyBorder="1" applyProtection="1">
      <protection locked="0"/>
    </xf>
    <xf numFmtId="49" fontId="7" fillId="5" borderId="177" xfId="13" applyNumberFormat="1" applyFont="1" applyFill="1" applyBorder="1" applyAlignment="1" applyProtection="1">
      <alignment horizontal="left" vertical="top"/>
      <protection locked="0"/>
    </xf>
    <xf numFmtId="41" fontId="7" fillId="5" borderId="52" xfId="10" quotePrefix="1" applyNumberFormat="1" applyFont="1" applyFill="1" applyBorder="1" applyAlignment="1" applyProtection="1">
      <alignment horizontal="center"/>
      <protection locked="0"/>
    </xf>
    <xf numFmtId="0" fontId="19" fillId="0" borderId="0" xfId="0" applyFont="1"/>
    <xf numFmtId="0" fontId="19" fillId="0" borderId="0" xfId="0" applyFont="1" applyAlignment="1">
      <alignment horizontal="center"/>
    </xf>
    <xf numFmtId="173" fontId="4" fillId="0" borderId="0" xfId="0" applyNumberFormat="1" applyFont="1" applyAlignment="1">
      <alignment horizontal="center"/>
    </xf>
    <xf numFmtId="44" fontId="4" fillId="0" borderId="0" xfId="0" applyNumberFormat="1" applyFont="1"/>
    <xf numFmtId="38" fontId="4" fillId="0" borderId="0" xfId="0" applyNumberFormat="1" applyFont="1"/>
    <xf numFmtId="37" fontId="4" fillId="0" borderId="0" xfId="0" applyNumberFormat="1" applyFont="1"/>
    <xf numFmtId="10" fontId="4" fillId="0" borderId="0" xfId="13" applyNumberFormat="1" applyFont="1" applyProtection="1"/>
    <xf numFmtId="41" fontId="4" fillId="0" borderId="0" xfId="0" applyNumberFormat="1" applyFont="1"/>
    <xf numFmtId="42" fontId="4" fillId="0" borderId="0" xfId="0" applyNumberFormat="1" applyFont="1"/>
    <xf numFmtId="2" fontId="4" fillId="0" borderId="0" xfId="0" applyNumberFormat="1" applyFont="1"/>
    <xf numFmtId="10" fontId="4" fillId="0" borderId="0" xfId="0" applyNumberFormat="1" applyFont="1"/>
    <xf numFmtId="171" fontId="4" fillId="0" borderId="0" xfId="13" applyNumberFormat="1" applyFont="1" applyProtection="1"/>
    <xf numFmtId="0" fontId="4" fillId="0" borderId="86" xfId="0" applyFont="1" applyBorder="1"/>
    <xf numFmtId="0" fontId="4" fillId="0" borderId="0" xfId="0" applyFont="1" applyAlignment="1">
      <alignment horizontal="left"/>
    </xf>
    <xf numFmtId="0" fontId="48" fillId="0" borderId="0" xfId="0" applyFont="1"/>
    <xf numFmtId="44" fontId="4" fillId="0" borderId="0" xfId="13" applyNumberFormat="1" applyFont="1" applyProtection="1"/>
    <xf numFmtId="9" fontId="4" fillId="0" borderId="0" xfId="13" applyFont="1" applyProtection="1"/>
    <xf numFmtId="44" fontId="4" fillId="0" borderId="0" xfId="0" applyNumberFormat="1" applyFont="1" applyAlignment="1">
      <alignment horizontal="center"/>
    </xf>
    <xf numFmtId="44" fontId="48" fillId="0" borderId="0" xfId="0" applyNumberFormat="1" applyFont="1" applyAlignment="1">
      <alignment horizontal="center"/>
    </xf>
    <xf numFmtId="168" fontId="4" fillId="0" borderId="0" xfId="13" applyNumberFormat="1" applyFont="1" applyProtection="1"/>
    <xf numFmtId="170" fontId="4" fillId="0" borderId="0" xfId="13" applyNumberFormat="1" applyFont="1" applyBorder="1"/>
    <xf numFmtId="170" fontId="4" fillId="0" borderId="0" xfId="13" applyNumberFormat="1" applyFont="1" applyProtection="1"/>
    <xf numFmtId="170" fontId="4" fillId="0" borderId="0" xfId="0" applyNumberFormat="1" applyFont="1"/>
    <xf numFmtId="4" fontId="4" fillId="0" borderId="0" xfId="0" applyNumberFormat="1" applyFont="1"/>
    <xf numFmtId="170" fontId="4" fillId="0" borderId="0" xfId="13" applyNumberFormat="1" applyFont="1"/>
    <xf numFmtId="10" fontId="1" fillId="0" borderId="0" xfId="0" applyNumberFormat="1" applyFont="1" applyAlignment="1">
      <alignment horizontal="center"/>
    </xf>
    <xf numFmtId="0" fontId="8" fillId="0" borderId="30" xfId="0" applyFont="1" applyBorder="1"/>
    <xf numFmtId="41" fontId="4" fillId="0" borderId="32" xfId="13" applyNumberFormat="1" applyFont="1" applyBorder="1"/>
    <xf numFmtId="0" fontId="4" fillId="0" borderId="32" xfId="0" applyFont="1" applyBorder="1"/>
    <xf numFmtId="0" fontId="4" fillId="0" borderId="119" xfId="0" applyFont="1" applyBorder="1"/>
    <xf numFmtId="41" fontId="4" fillId="0" borderId="32" xfId="0" applyNumberFormat="1" applyFont="1" applyBorder="1"/>
    <xf numFmtId="0" fontId="62" fillId="0" borderId="0" xfId="0" applyFont="1"/>
    <xf numFmtId="0" fontId="23" fillId="0" borderId="0" xfId="0" applyFont="1" applyAlignment="1">
      <alignment wrapText="1"/>
    </xf>
    <xf numFmtId="0" fontId="23" fillId="0" borderId="0" xfId="0" applyFont="1" applyAlignment="1">
      <alignment horizontal="left" vertical="top"/>
    </xf>
    <xf numFmtId="0" fontId="23" fillId="0" borderId="0" xfId="0" applyFont="1" applyAlignment="1">
      <alignment horizontal="left" vertical="center"/>
    </xf>
    <xf numFmtId="0" fontId="24" fillId="0" borderId="0" xfId="0" applyFont="1" applyAlignment="1">
      <alignment horizontal="left"/>
    </xf>
    <xf numFmtId="0" fontId="23" fillId="0" borderId="0" xfId="0" applyFont="1" applyAlignment="1">
      <alignment horizontal="left" vertical="center" wrapText="1"/>
    </xf>
    <xf numFmtId="0" fontId="25" fillId="0" borderId="0" xfId="0" applyFont="1" applyAlignment="1">
      <alignment horizontal="left" wrapText="1"/>
    </xf>
    <xf numFmtId="0" fontId="1" fillId="0" borderId="0" xfId="0" applyFont="1" applyAlignment="1">
      <alignment horizontal="left" vertical="center" wrapText="1"/>
    </xf>
    <xf numFmtId="0" fontId="0" fillId="0" borderId="0" xfId="0" applyAlignment="1">
      <alignment horizontal="left" vertical="center" wrapText="1"/>
    </xf>
    <xf numFmtId="0" fontId="23" fillId="0" borderId="0" xfId="0" applyFont="1" applyAlignment="1">
      <alignment horizontal="left" vertical="top" wrapText="1"/>
    </xf>
    <xf numFmtId="0" fontId="24" fillId="0" borderId="0" xfId="0" applyFont="1" applyAlignment="1">
      <alignment horizontal="left" vertical="center"/>
    </xf>
    <xf numFmtId="0" fontId="23" fillId="0" borderId="0" xfId="0" applyFont="1" applyAlignment="1">
      <alignment horizontal="right" vertical="top"/>
    </xf>
    <xf numFmtId="0" fontId="23" fillId="0" borderId="0" xfId="0" applyFont="1" applyAlignment="1">
      <alignment horizontal="left"/>
    </xf>
    <xf numFmtId="0" fontId="49" fillId="0" borderId="0" xfId="8" applyAlignment="1">
      <alignment horizontal="left"/>
    </xf>
    <xf numFmtId="0" fontId="6" fillId="0" borderId="0" xfId="11" applyFont="1" applyAlignment="1">
      <alignment horizontal="left" vertical="center"/>
    </xf>
    <xf numFmtId="1" fontId="6" fillId="0" borderId="0" xfId="11" applyNumberFormat="1" applyFont="1" applyAlignment="1">
      <alignment horizontal="left" vertical="center"/>
    </xf>
    <xf numFmtId="15" fontId="1" fillId="0" borderId="0" xfId="0" applyNumberFormat="1" applyFont="1" applyAlignment="1">
      <alignment horizontal="left"/>
    </xf>
    <xf numFmtId="0" fontId="3" fillId="5" borderId="27" xfId="12" applyFont="1" applyFill="1" applyBorder="1" applyAlignment="1" applyProtection="1">
      <alignment horizontal="left"/>
      <protection locked="0"/>
    </xf>
    <xf numFmtId="0" fontId="49" fillId="5" borderId="27" xfId="8" applyFill="1" applyBorder="1" applyAlignment="1" applyProtection="1">
      <alignment horizontal="left" wrapText="1"/>
      <protection locked="0"/>
    </xf>
    <xf numFmtId="0" fontId="3" fillId="0" borderId="27" xfId="12" applyFont="1" applyBorder="1" applyAlignment="1">
      <alignment horizontal="left"/>
    </xf>
    <xf numFmtId="14" fontId="3" fillId="0" borderId="27" xfId="12" applyNumberFormat="1" applyFont="1" applyBorder="1" applyAlignment="1">
      <alignment horizontal="left"/>
    </xf>
    <xf numFmtId="0" fontId="3" fillId="5" borderId="27" xfId="12" applyFont="1" applyFill="1" applyBorder="1" applyAlignment="1" applyProtection="1">
      <alignment horizontal="left" wrapText="1"/>
      <protection locked="0"/>
    </xf>
    <xf numFmtId="1" fontId="28" fillId="5" borderId="31" xfId="0" applyNumberFormat="1" applyFont="1" applyFill="1" applyBorder="1" applyAlignment="1" applyProtection="1">
      <alignment horizontal="left"/>
      <protection locked="0"/>
    </xf>
    <xf numFmtId="0" fontId="3" fillId="0" borderId="0" xfId="12" applyFont="1" applyAlignment="1">
      <alignment horizontal="left" vertical="center" wrapText="1"/>
    </xf>
    <xf numFmtId="0" fontId="23" fillId="0" borderId="0" xfId="12" applyFont="1" applyAlignment="1">
      <alignment wrapText="1"/>
    </xf>
    <xf numFmtId="0" fontId="0" fillId="0" borderId="27" xfId="0" applyBorder="1" applyAlignment="1">
      <alignment horizontal="left"/>
    </xf>
    <xf numFmtId="0" fontId="0" fillId="5" borderId="27" xfId="0" applyFill="1" applyBorder="1" applyAlignment="1" applyProtection="1">
      <alignment horizontal="left"/>
      <protection locked="0"/>
    </xf>
    <xf numFmtId="0" fontId="6" fillId="0" borderId="0" xfId="0" applyFont="1" applyAlignment="1">
      <alignment horizontal="left" vertical="top" wrapText="1"/>
    </xf>
    <xf numFmtId="0" fontId="6" fillId="0" borderId="96" xfId="0" applyFont="1" applyBorder="1" applyAlignment="1">
      <alignment horizontal="center"/>
    </xf>
    <xf numFmtId="0" fontId="6" fillId="0" borderId="97" xfId="0" applyFont="1" applyBorder="1" applyAlignment="1">
      <alignment horizontal="center"/>
    </xf>
    <xf numFmtId="0" fontId="6" fillId="0" borderId="99" xfId="0" applyFont="1" applyBorder="1" applyAlignment="1">
      <alignment horizontal="center"/>
    </xf>
    <xf numFmtId="9" fontId="7" fillId="0" borderId="10" xfId="0" applyNumberFormat="1" applyFont="1" applyBorder="1" applyAlignment="1">
      <alignment horizontal="center" vertical="center"/>
    </xf>
    <xf numFmtId="9" fontId="7" fillId="0" borderId="4" xfId="0" applyNumberFormat="1" applyFont="1" applyBorder="1" applyAlignment="1">
      <alignment horizontal="center" vertical="center"/>
    </xf>
    <xf numFmtId="0" fontId="7" fillId="0" borderId="32" xfId="11" applyFont="1" applyBorder="1" applyAlignment="1">
      <alignment vertical="center" wrapText="1"/>
    </xf>
    <xf numFmtId="0" fontId="7" fillId="0" borderId="31" xfId="11" applyFont="1" applyBorder="1" applyAlignment="1">
      <alignment vertical="center" wrapText="1"/>
    </xf>
    <xf numFmtId="0" fontId="7" fillId="0" borderId="51" xfId="11" applyFont="1" applyBorder="1" applyAlignment="1">
      <alignment vertical="center" wrapText="1"/>
    </xf>
    <xf numFmtId="37" fontId="19" fillId="0" borderId="94" xfId="11" applyNumberFormat="1" applyFont="1" applyBorder="1" applyAlignment="1">
      <alignment horizontal="center" wrapText="1"/>
    </xf>
    <xf numFmtId="37" fontId="19" fillId="0" borderId="44" xfId="11" applyNumberFormat="1" applyFont="1" applyBorder="1" applyAlignment="1">
      <alignment horizontal="center" wrapText="1"/>
    </xf>
    <xf numFmtId="37" fontId="19" fillId="0" borderId="132" xfId="11" applyNumberFormat="1" applyFont="1" applyBorder="1" applyAlignment="1">
      <alignment horizontal="center" wrapText="1"/>
    </xf>
    <xf numFmtId="37" fontId="19" fillId="0" borderId="250" xfId="11" applyNumberFormat="1" applyFont="1" applyBorder="1" applyAlignment="1">
      <alignment horizontal="center" wrapText="1"/>
    </xf>
    <xf numFmtId="0" fontId="7" fillId="0" borderId="32" xfId="11" applyFont="1" applyBorder="1" applyAlignment="1">
      <alignment vertical="center"/>
    </xf>
    <xf numFmtId="0" fontId="7" fillId="0" borderId="31" xfId="11" applyFont="1" applyBorder="1" applyAlignment="1">
      <alignment vertical="center"/>
    </xf>
    <xf numFmtId="0" fontId="7" fillId="0" borderId="51" xfId="11" applyFont="1" applyBorder="1" applyAlignment="1">
      <alignment vertical="center"/>
    </xf>
    <xf numFmtId="164" fontId="7" fillId="0" borderId="31" xfId="11" applyNumberFormat="1" applyFont="1" applyBorder="1" applyAlignment="1">
      <alignment horizontal="left" vertical="center"/>
    </xf>
    <xf numFmtId="164" fontId="7" fillId="0" borderId="51" xfId="11" applyNumberFormat="1" applyFont="1" applyBorder="1" applyAlignment="1">
      <alignment horizontal="left" vertical="center"/>
    </xf>
    <xf numFmtId="0" fontId="6" fillId="0" borderId="8" xfId="11" applyFont="1" applyBorder="1" applyAlignment="1">
      <alignment horizontal="left" vertical="center" wrapText="1"/>
    </xf>
    <xf numFmtId="0" fontId="6" fillId="0" borderId="9" xfId="11" applyFont="1" applyBorder="1" applyAlignment="1">
      <alignment horizontal="left" vertical="center" wrapText="1"/>
    </xf>
    <xf numFmtId="0" fontId="6" fillId="0" borderId="37" xfId="11" applyFont="1" applyBorder="1" applyAlignment="1">
      <alignment horizontal="left" vertical="center" wrapText="1"/>
    </xf>
    <xf numFmtId="0" fontId="6" fillId="0" borderId="5" xfId="11" applyFont="1" applyBorder="1" applyAlignment="1">
      <alignment horizontal="left" vertical="center" wrapText="1"/>
    </xf>
    <xf numFmtId="0" fontId="6" fillId="0" borderId="0" xfId="11" applyFont="1" applyAlignment="1">
      <alignment horizontal="left" vertical="center" wrapText="1"/>
    </xf>
    <xf numFmtId="0" fontId="6" fillId="0" borderId="19" xfId="11" applyFont="1" applyBorder="1" applyAlignment="1">
      <alignment horizontal="left" vertical="center" wrapText="1"/>
    </xf>
    <xf numFmtId="0" fontId="7" fillId="0" borderId="31" xfId="0" applyFont="1" applyBorder="1"/>
    <xf numFmtId="0" fontId="7" fillId="0" borderId="51" xfId="0" applyFont="1" applyBorder="1"/>
    <xf numFmtId="0" fontId="6" fillId="0" borderId="9" xfId="11" applyFont="1" applyBorder="1" applyAlignment="1">
      <alignment horizontal="left" vertical="center"/>
    </xf>
    <xf numFmtId="0" fontId="6" fillId="0" borderId="18" xfId="11" applyFont="1" applyBorder="1" applyAlignment="1">
      <alignment horizontal="left" vertical="center"/>
    </xf>
    <xf numFmtId="37" fontId="6" fillId="0" borderId="0" xfId="11" quotePrefix="1" applyNumberFormat="1" applyFont="1" applyAlignment="1">
      <alignment horizontal="center" vertical="center"/>
    </xf>
    <xf numFmtId="0" fontId="6" fillId="0" borderId="96" xfId="0" quotePrefix="1" applyFont="1" applyBorder="1" applyAlignment="1">
      <alignment horizontal="center" wrapText="1"/>
    </xf>
    <xf numFmtId="0" fontId="6" fillId="0" borderId="98" xfId="0" quotePrefix="1" applyFont="1" applyBorder="1" applyAlignment="1">
      <alignment horizontal="center" wrapText="1"/>
    </xf>
    <xf numFmtId="0" fontId="6" fillId="0" borderId="96" xfId="0" quotePrefix="1" applyFont="1" applyBorder="1" applyAlignment="1">
      <alignment horizontal="center"/>
    </xf>
    <xf numFmtId="0" fontId="6" fillId="0" borderId="97" xfId="0" quotePrefix="1" applyFont="1" applyBorder="1" applyAlignment="1">
      <alignment horizontal="center"/>
    </xf>
    <xf numFmtId="0" fontId="6" fillId="0" borderId="98" xfId="0" quotePrefix="1" applyFont="1" applyBorder="1" applyAlignment="1">
      <alignment horizontal="center"/>
    </xf>
    <xf numFmtId="0" fontId="6" fillId="0" borderId="152" xfId="11" applyFont="1" applyBorder="1" applyAlignment="1">
      <alignment vertical="center"/>
    </xf>
    <xf numFmtId="0" fontId="6" fillId="0" borderId="84" xfId="11" applyFont="1" applyBorder="1" applyAlignment="1">
      <alignment vertical="center"/>
    </xf>
    <xf numFmtId="0" fontId="6" fillId="0" borderId="120" xfId="11" applyFont="1" applyBorder="1" applyAlignment="1">
      <alignment vertical="center"/>
    </xf>
    <xf numFmtId="0" fontId="7" fillId="0" borderId="27" xfId="0" applyFont="1" applyBorder="1" applyAlignment="1">
      <alignment horizontal="left"/>
    </xf>
    <xf numFmtId="0" fontId="7" fillId="0" borderId="101" xfId="0" applyFont="1" applyBorder="1" applyAlignment="1">
      <alignment horizontal="left"/>
    </xf>
    <xf numFmtId="49" fontId="4" fillId="5" borderId="32" xfId="0" applyNumberFormat="1" applyFont="1" applyFill="1" applyBorder="1" applyAlignment="1" applyProtection="1">
      <alignment horizontal="left" vertical="top" wrapText="1"/>
      <protection locked="0"/>
    </xf>
    <xf numFmtId="49" fontId="4" fillId="5" borderId="31" xfId="0" applyNumberFormat="1" applyFont="1" applyFill="1" applyBorder="1" applyAlignment="1" applyProtection="1">
      <alignment horizontal="left" vertical="top" wrapText="1"/>
      <protection locked="0"/>
    </xf>
    <xf numFmtId="49" fontId="4" fillId="5" borderId="51" xfId="0" applyNumberFormat="1" applyFont="1" applyFill="1" applyBorder="1" applyAlignment="1" applyProtection="1">
      <alignment horizontal="left" vertical="top" wrapText="1"/>
      <protection locked="0"/>
    </xf>
    <xf numFmtId="37" fontId="6" fillId="0" borderId="0" xfId="0" applyNumberFormat="1" applyFont="1" applyAlignment="1">
      <alignment horizontal="center"/>
    </xf>
    <xf numFmtId="49" fontId="7" fillId="5" borderId="54" xfId="0" quotePrefix="1" applyNumberFormat="1" applyFont="1" applyFill="1" applyBorder="1" applyAlignment="1" applyProtection="1">
      <alignment horizontal="left"/>
      <protection locked="0"/>
    </xf>
    <xf numFmtId="49" fontId="7" fillId="5" borderId="46" xfId="0" quotePrefix="1" applyNumberFormat="1" applyFont="1" applyFill="1" applyBorder="1" applyAlignment="1" applyProtection="1">
      <alignment horizontal="left"/>
      <protection locked="0"/>
    </xf>
    <xf numFmtId="0" fontId="6" fillId="0" borderId="5" xfId="0" applyFont="1" applyBorder="1" applyAlignment="1">
      <alignment horizontal="center"/>
    </xf>
    <xf numFmtId="0" fontId="6" fillId="0" borderId="0" xfId="0" applyFont="1" applyAlignment="1">
      <alignment horizontal="center"/>
    </xf>
    <xf numFmtId="10" fontId="7" fillId="0" borderId="0" xfId="0" applyNumberFormat="1" applyFont="1" applyAlignment="1">
      <alignment horizontal="center"/>
    </xf>
    <xf numFmtId="10" fontId="7" fillId="0" borderId="19" xfId="0" applyNumberFormat="1" applyFont="1" applyBorder="1" applyAlignment="1">
      <alignment horizontal="center"/>
    </xf>
    <xf numFmtId="9" fontId="6" fillId="0" borderId="166" xfId="13" applyFont="1" applyBorder="1" applyAlignment="1">
      <alignment horizontal="right"/>
    </xf>
    <xf numFmtId="9" fontId="6" fillId="0" borderId="167" xfId="13" applyFont="1" applyBorder="1" applyAlignment="1">
      <alignment horizontal="right"/>
    </xf>
    <xf numFmtId="5" fontId="7" fillId="14" borderId="251" xfId="6" applyFont="1" applyFill="1" applyBorder="1" applyAlignment="1">
      <alignment horizontal="left"/>
    </xf>
    <xf numFmtId="5" fontId="7" fillId="14" borderId="160" xfId="6" applyFont="1" applyFill="1" applyBorder="1" applyAlignment="1">
      <alignment horizontal="left"/>
    </xf>
    <xf numFmtId="10" fontId="7" fillId="0" borderId="0" xfId="13" applyNumberFormat="1" applyFont="1"/>
    <xf numFmtId="10" fontId="7" fillId="0" borderId="19" xfId="13" applyNumberFormat="1" applyFont="1" applyBorder="1"/>
    <xf numFmtId="10" fontId="7" fillId="0" borderId="22" xfId="13" applyNumberFormat="1" applyFont="1" applyBorder="1"/>
    <xf numFmtId="10" fontId="7" fillId="0" borderId="109" xfId="13" applyNumberFormat="1" applyFont="1" applyBorder="1"/>
    <xf numFmtId="10" fontId="7" fillId="0" borderId="17" xfId="13" applyNumberFormat="1" applyFont="1" applyBorder="1"/>
    <xf numFmtId="10" fontId="7" fillId="0" borderId="128" xfId="13" applyNumberFormat="1" applyFont="1" applyBorder="1"/>
    <xf numFmtId="49" fontId="7" fillId="5" borderId="31" xfId="13" applyNumberFormat="1" applyFont="1" applyFill="1" applyBorder="1" applyProtection="1">
      <protection locked="0"/>
    </xf>
    <xf numFmtId="49" fontId="7" fillId="5" borderId="49" xfId="13" applyNumberFormat="1" applyFont="1" applyFill="1" applyBorder="1" applyProtection="1">
      <protection locked="0"/>
    </xf>
    <xf numFmtId="49" fontId="7" fillId="5" borderId="31" xfId="13" applyNumberFormat="1" applyFont="1" applyFill="1" applyBorder="1" applyAlignment="1" applyProtection="1">
      <alignment horizontal="left" vertical="top"/>
      <protection locked="0"/>
    </xf>
    <xf numFmtId="49" fontId="7" fillId="5" borderId="31" xfId="0" applyNumberFormat="1" applyFont="1" applyFill="1" applyBorder="1" applyProtection="1">
      <protection locked="0"/>
    </xf>
    <xf numFmtId="5" fontId="7" fillId="0" borderId="1" xfId="6" applyFont="1" applyBorder="1"/>
    <xf numFmtId="5" fontId="7" fillId="0" borderId="244" xfId="6" applyFont="1" applyBorder="1"/>
    <xf numFmtId="5" fontId="7" fillId="0" borderId="49" xfId="6" applyFont="1" applyBorder="1"/>
    <xf numFmtId="5" fontId="7" fillId="0" borderId="54" xfId="6" applyFont="1" applyBorder="1"/>
    <xf numFmtId="5" fontId="7" fillId="0" borderId="52" xfId="6" applyFont="1" applyBorder="1"/>
    <xf numFmtId="5" fontId="7" fillId="0" borderId="23" xfId="6" applyFont="1" applyBorder="1"/>
    <xf numFmtId="5" fontId="7" fillId="0" borderId="114" xfId="6" applyFont="1" applyBorder="1"/>
    <xf numFmtId="5" fontId="7" fillId="0" borderId="22" xfId="6" applyFont="1" applyBorder="1"/>
    <xf numFmtId="5" fontId="7" fillId="0" borderId="109" xfId="6" applyFont="1" applyBorder="1"/>
    <xf numFmtId="5" fontId="7" fillId="0" borderId="0" xfId="6" applyFont="1"/>
    <xf numFmtId="5" fontId="7" fillId="0" borderId="19" xfId="6" applyFont="1" applyBorder="1"/>
    <xf numFmtId="0" fontId="29" fillId="0" borderId="31" xfId="0" applyFont="1" applyBorder="1"/>
    <xf numFmtId="0" fontId="29" fillId="0" borderId="49" xfId="0" applyFont="1" applyBorder="1"/>
    <xf numFmtId="0" fontId="6" fillId="0" borderId="252" xfId="0" applyFont="1" applyBorder="1"/>
    <xf numFmtId="0" fontId="6" fillId="0" borderId="194" xfId="0" applyFont="1" applyBorder="1"/>
    <xf numFmtId="0" fontId="6" fillId="0" borderId="165" xfId="0" applyFont="1" applyBorder="1"/>
    <xf numFmtId="0" fontId="7" fillId="0" borderId="158" xfId="0" applyFont="1" applyBorder="1"/>
    <xf numFmtId="0" fontId="7" fillId="0" borderId="166" xfId="0" applyFont="1" applyBorder="1"/>
    <xf numFmtId="0" fontId="7" fillId="0" borderId="167" xfId="0" applyFont="1" applyBorder="1"/>
    <xf numFmtId="0" fontId="7" fillId="0" borderId="74" xfId="0" applyFont="1" applyBorder="1"/>
    <xf numFmtId="0" fontId="7" fillId="0" borderId="21" xfId="0" applyFont="1" applyBorder="1"/>
    <xf numFmtId="0" fontId="7" fillId="0" borderId="176" xfId="0" applyFont="1" applyBorder="1"/>
    <xf numFmtId="0" fontId="7" fillId="0" borderId="253" xfId="0" applyFont="1" applyBorder="1"/>
    <xf numFmtId="0" fontId="7" fillId="0" borderId="254" xfId="0" applyFont="1" applyBorder="1"/>
    <xf numFmtId="0" fontId="7" fillId="0" borderId="255" xfId="0" applyFont="1" applyBorder="1"/>
    <xf numFmtId="0" fontId="6" fillId="0" borderId="5" xfId="0" applyFont="1" applyBorder="1"/>
    <xf numFmtId="0" fontId="6" fillId="0" borderId="0" xfId="0" applyFont="1"/>
    <xf numFmtId="9" fontId="6" fillId="0" borderId="31" xfId="13" applyFont="1" applyBorder="1" applyAlignment="1">
      <alignment horizontal="right"/>
    </xf>
    <xf numFmtId="9" fontId="42" fillId="0" borderId="0" xfId="13" applyFont="1" applyAlignment="1">
      <alignment horizontal="left"/>
    </xf>
    <xf numFmtId="9" fontId="42" fillId="0" borderId="19" xfId="13" applyFont="1" applyBorder="1" applyAlignment="1">
      <alignment horizontal="left"/>
    </xf>
    <xf numFmtId="41" fontId="7" fillId="0" borderId="0" xfId="6" applyNumberFormat="1" applyFont="1"/>
    <xf numFmtId="41" fontId="7" fillId="0" borderId="19" xfId="6" applyNumberFormat="1" applyFont="1" applyBorder="1"/>
    <xf numFmtId="5" fontId="7" fillId="0" borderId="61" xfId="6" applyFont="1" applyBorder="1"/>
    <xf numFmtId="5" fontId="7" fillId="0" borderId="137" xfId="6" applyFont="1" applyBorder="1"/>
    <xf numFmtId="38" fontId="7" fillId="0" borderId="56" xfId="6" applyNumberFormat="1" applyFont="1" applyBorder="1"/>
    <xf numFmtId="38" fontId="7" fillId="0" borderId="175" xfId="6" applyNumberFormat="1" applyFont="1" applyBorder="1"/>
    <xf numFmtId="49" fontId="7" fillId="5" borderId="49" xfId="0" applyNumberFormat="1" applyFont="1" applyFill="1" applyBorder="1" applyProtection="1">
      <protection locked="0"/>
    </xf>
    <xf numFmtId="49" fontId="7" fillId="5" borderId="30" xfId="0" applyNumberFormat="1" applyFont="1" applyFill="1" applyBorder="1" applyProtection="1">
      <protection locked="0"/>
    </xf>
    <xf numFmtId="49" fontId="7" fillId="5" borderId="104" xfId="0" applyNumberFormat="1" applyFont="1" applyFill="1" applyBorder="1" applyProtection="1">
      <protection locked="0"/>
    </xf>
    <xf numFmtId="49" fontId="7" fillId="5" borderId="32" xfId="0" applyNumberFormat="1" applyFont="1" applyFill="1" applyBorder="1" applyProtection="1">
      <protection locked="0"/>
    </xf>
    <xf numFmtId="49" fontId="7" fillId="5" borderId="51" xfId="0" applyNumberFormat="1" applyFont="1" applyFill="1" applyBorder="1" applyProtection="1">
      <protection locked="0"/>
    </xf>
    <xf numFmtId="0" fontId="7" fillId="0" borderId="162" xfId="0" applyFont="1" applyBorder="1"/>
    <xf numFmtId="0" fontId="7" fillId="0" borderId="115" xfId="0" applyFont="1" applyBorder="1"/>
    <xf numFmtId="0" fontId="7" fillId="0" borderId="256" xfId="0" applyFont="1" applyBorder="1"/>
    <xf numFmtId="5" fontId="7" fillId="0" borderId="30" xfId="6" applyFont="1" applyBorder="1"/>
    <xf numFmtId="5" fontId="7" fillId="0" borderId="129" xfId="6" applyFont="1" applyBorder="1"/>
    <xf numFmtId="49" fontId="7" fillId="5" borderId="177" xfId="13" applyNumberFormat="1" applyFont="1" applyFill="1" applyBorder="1" applyProtection="1">
      <protection locked="0"/>
    </xf>
    <xf numFmtId="49" fontId="7" fillId="5" borderId="177" xfId="13" applyNumberFormat="1" applyFont="1" applyFill="1" applyBorder="1" applyAlignment="1" applyProtection="1">
      <alignment horizontal="left" vertical="top"/>
      <protection locked="0"/>
    </xf>
    <xf numFmtId="9" fontId="6" fillId="0" borderId="17" xfId="13" applyFont="1" applyBorder="1" applyAlignment="1">
      <alignment horizontal="right"/>
    </xf>
    <xf numFmtId="49" fontId="7" fillId="5" borderId="49" xfId="13" applyNumberFormat="1" applyFont="1" applyFill="1" applyBorder="1" applyAlignment="1" applyProtection="1">
      <alignment horizontal="left" vertical="top"/>
      <protection locked="0"/>
    </xf>
    <xf numFmtId="9" fontId="6" fillId="0" borderId="131" xfId="13" applyFont="1" applyBorder="1" applyAlignment="1">
      <alignment horizontal="right"/>
    </xf>
    <xf numFmtId="0" fontId="7" fillId="0" borderId="54" xfId="0" applyFont="1" applyBorder="1"/>
    <xf numFmtId="0" fontId="7" fillId="0" borderId="46" xfId="0" applyFont="1" applyBorder="1"/>
    <xf numFmtId="0" fontId="7" fillId="0" borderId="32" xfId="0" applyFont="1" applyBorder="1"/>
    <xf numFmtId="0" fontId="7" fillId="0" borderId="49" xfId="0" applyFont="1" applyBorder="1"/>
    <xf numFmtId="0" fontId="7" fillId="0" borderId="159" xfId="0" applyFont="1" applyBorder="1"/>
    <xf numFmtId="0" fontId="7" fillId="0" borderId="131" xfId="0" applyFont="1" applyBorder="1"/>
    <xf numFmtId="0" fontId="6" fillId="0" borderId="163" xfId="0" applyFont="1" applyBorder="1"/>
    <xf numFmtId="0" fontId="6" fillId="0" borderId="133" xfId="0" applyFont="1" applyBorder="1"/>
    <xf numFmtId="49" fontId="7" fillId="5" borderId="177" xfId="0" applyNumberFormat="1" applyFont="1" applyFill="1" applyBorder="1" applyProtection="1">
      <protection locked="0"/>
    </xf>
    <xf numFmtId="49" fontId="7" fillId="5" borderId="42" xfId="13" applyNumberFormat="1" applyFont="1" applyFill="1" applyBorder="1" applyProtection="1">
      <protection locked="0"/>
    </xf>
    <xf numFmtId="49" fontId="7" fillId="5" borderId="257" xfId="13" applyNumberFormat="1" applyFont="1" applyFill="1" applyBorder="1" applyProtection="1">
      <protection locked="0"/>
    </xf>
    <xf numFmtId="0" fontId="1" fillId="0" borderId="27" xfId="0" applyFont="1" applyBorder="1" applyAlignment="1">
      <alignment horizontal="center"/>
    </xf>
    <xf numFmtId="5" fontId="7" fillId="0" borderId="251" xfId="6" applyFont="1" applyBorder="1" applyAlignment="1">
      <alignment horizontal="left"/>
    </xf>
    <xf numFmtId="5" fontId="7" fillId="0" borderId="160" xfId="6" applyFont="1" applyBorder="1" applyAlignment="1">
      <alignment horizontal="left"/>
    </xf>
    <xf numFmtId="9" fontId="1" fillId="0" borderId="0" xfId="13" applyFont="1" applyAlignment="1" applyProtection="1">
      <alignment vertical="top" wrapText="1"/>
    </xf>
    <xf numFmtId="9" fontId="0" fillId="0" borderId="0" xfId="13" applyFont="1" applyAlignment="1" applyProtection="1">
      <alignment vertical="top" wrapText="1"/>
    </xf>
    <xf numFmtId="5" fontId="7" fillId="0" borderId="21" xfId="6" applyFont="1" applyBorder="1"/>
    <xf numFmtId="5" fontId="7" fillId="0" borderId="118" xfId="6" applyFont="1" applyBorder="1"/>
    <xf numFmtId="0" fontId="7" fillId="0" borderId="76" xfId="0" applyFont="1" applyBorder="1"/>
    <xf numFmtId="49" fontId="0" fillId="5" borderId="189" xfId="0" applyNumberFormat="1" applyFill="1" applyBorder="1" applyAlignment="1" applyProtection="1">
      <alignment horizontal="left" vertical="top"/>
      <protection locked="0"/>
    </xf>
    <xf numFmtId="49" fontId="0" fillId="5" borderId="27" xfId="0" applyNumberFormat="1" applyFill="1" applyBorder="1" applyAlignment="1" applyProtection="1">
      <alignment horizontal="left" vertical="top"/>
      <protection locked="0"/>
    </xf>
    <xf numFmtId="49" fontId="0" fillId="5" borderId="188" xfId="0" applyNumberFormat="1" applyFill="1" applyBorder="1" applyAlignment="1" applyProtection="1">
      <alignment horizontal="left" vertical="top"/>
      <protection locked="0"/>
    </xf>
    <xf numFmtId="49" fontId="1" fillId="5" borderId="258" xfId="0" applyNumberFormat="1" applyFont="1" applyFill="1" applyBorder="1" applyAlignment="1" applyProtection="1">
      <alignment horizontal="left" vertical="top"/>
      <protection locked="0"/>
    </xf>
    <xf numFmtId="49" fontId="1" fillId="5" borderId="97" xfId="0" applyNumberFormat="1" applyFont="1" applyFill="1" applyBorder="1" applyAlignment="1" applyProtection="1">
      <alignment horizontal="left" vertical="top"/>
      <protection locked="0"/>
    </xf>
    <xf numFmtId="49" fontId="1" fillId="5" borderId="259" xfId="0" applyNumberFormat="1" applyFont="1" applyFill="1" applyBorder="1" applyAlignment="1" applyProtection="1">
      <alignment horizontal="left" vertical="top"/>
      <protection locked="0"/>
    </xf>
    <xf numFmtId="0" fontId="1" fillId="0" borderId="39" xfId="0" applyFont="1" applyBorder="1"/>
    <xf numFmtId="0" fontId="1" fillId="0" borderId="35" xfId="0" applyFont="1" applyBorder="1"/>
    <xf numFmtId="0" fontId="1" fillId="0" borderId="40" xfId="0" applyFont="1" applyBorder="1"/>
    <xf numFmtId="49" fontId="1" fillId="5" borderId="34" xfId="0" applyNumberFormat="1" applyFont="1" applyFill="1" applyBorder="1" applyAlignment="1" applyProtection="1">
      <alignment wrapText="1"/>
      <protection locked="0"/>
    </xf>
    <xf numFmtId="49" fontId="1" fillId="5" borderId="35" xfId="0" applyNumberFormat="1" applyFont="1" applyFill="1" applyBorder="1" applyAlignment="1" applyProtection="1">
      <alignment wrapText="1"/>
      <protection locked="0"/>
    </xf>
    <xf numFmtId="49" fontId="1" fillId="5" borderId="260" xfId="0" applyNumberFormat="1" applyFont="1" applyFill="1" applyBorder="1" applyAlignment="1" applyProtection="1">
      <alignment wrapText="1"/>
      <protection locked="0"/>
    </xf>
    <xf numFmtId="49" fontId="0" fillId="5" borderId="35" xfId="0" applyNumberFormat="1" applyFill="1" applyBorder="1" applyAlignment="1" applyProtection="1">
      <alignment wrapText="1"/>
      <protection locked="0"/>
    </xf>
    <xf numFmtId="49" fontId="0" fillId="5" borderId="260" xfId="0" applyNumberFormat="1" applyFill="1" applyBorder="1" applyAlignment="1" applyProtection="1">
      <alignment wrapText="1"/>
      <protection locked="0"/>
    </xf>
    <xf numFmtId="49" fontId="1" fillId="5" borderId="261" xfId="0" applyNumberFormat="1" applyFont="1" applyFill="1" applyBorder="1" applyAlignment="1" applyProtection="1">
      <alignment horizontal="left" vertical="top" wrapText="1"/>
      <protection locked="0"/>
    </xf>
    <xf numFmtId="49" fontId="1" fillId="5" borderId="18" xfId="0" applyNumberFormat="1" applyFont="1" applyFill="1" applyBorder="1" applyAlignment="1" applyProtection="1">
      <alignment horizontal="left" vertical="top" wrapText="1"/>
      <protection locked="0"/>
    </xf>
    <xf numFmtId="49" fontId="1" fillId="5" borderId="262" xfId="0" applyNumberFormat="1" applyFont="1" applyFill="1" applyBorder="1" applyAlignment="1" applyProtection="1">
      <alignment horizontal="left" vertical="top" wrapText="1"/>
      <protection locked="0"/>
    </xf>
    <xf numFmtId="37" fontId="0" fillId="0" borderId="88" xfId="0" applyNumberFormat="1" applyBorder="1" applyAlignment="1">
      <alignment horizontal="center"/>
    </xf>
    <xf numFmtId="37" fontId="0" fillId="0" borderId="128" xfId="0" applyNumberFormat="1" applyBorder="1" applyAlignment="1">
      <alignment horizontal="center"/>
    </xf>
    <xf numFmtId="0" fontId="0" fillId="0" borderId="88" xfId="0" applyBorder="1" applyAlignment="1">
      <alignment horizontal="center"/>
    </xf>
    <xf numFmtId="0" fontId="0" fillId="0" borderId="128" xfId="0" applyBorder="1" applyAlignment="1">
      <alignment horizontal="center"/>
    </xf>
    <xf numFmtId="0" fontId="0" fillId="0" borderId="5" xfId="0" applyBorder="1" applyAlignment="1">
      <alignment horizontal="center"/>
    </xf>
    <xf numFmtId="0" fontId="0" fillId="0" borderId="19" xfId="0" applyBorder="1" applyAlignment="1">
      <alignment horizontal="center"/>
    </xf>
    <xf numFmtId="0" fontId="0" fillId="0" borderId="0" xfId="0" applyAlignment="1">
      <alignment horizontal="left" wrapText="1"/>
    </xf>
    <xf numFmtId="0" fontId="12" fillId="0" borderId="0" xfId="0" applyFont="1" applyAlignment="1">
      <alignment horizontal="left" wrapText="1"/>
    </xf>
    <xf numFmtId="0" fontId="7" fillId="5" borderId="83" xfId="10" applyFont="1" applyFill="1" applyBorder="1" applyProtection="1">
      <protection locked="0"/>
    </xf>
    <xf numFmtId="0" fontId="7" fillId="5" borderId="31" xfId="10" applyFont="1" applyFill="1" applyBorder="1" applyProtection="1">
      <protection locked="0"/>
    </xf>
    <xf numFmtId="0" fontId="6" fillId="0" borderId="0" xfId="10" applyFont="1" applyAlignment="1">
      <alignment horizontal="center"/>
    </xf>
    <xf numFmtId="0" fontId="7" fillId="0" borderId="184" xfId="10" applyFont="1" applyBorder="1" applyAlignment="1">
      <alignment horizontal="center" vertical="center" wrapText="1"/>
    </xf>
    <xf numFmtId="0" fontId="13" fillId="0" borderId="86" xfId="0" applyFont="1" applyBorder="1" applyAlignment="1">
      <alignment horizontal="center" vertical="center" wrapText="1"/>
    </xf>
    <xf numFmtId="0" fontId="13" fillId="0" borderId="189" xfId="0" applyFont="1" applyBorder="1" applyAlignment="1">
      <alignment horizontal="center" vertical="center" wrapText="1"/>
    </xf>
    <xf numFmtId="41" fontId="7" fillId="0" borderId="185" xfId="10" applyNumberFormat="1" applyFont="1" applyBorder="1" applyAlignment="1">
      <alignment horizontal="center" vertical="center" wrapText="1"/>
    </xf>
    <xf numFmtId="41" fontId="7" fillId="0" borderId="15" xfId="10" applyNumberFormat="1" applyFont="1" applyBorder="1" applyAlignment="1">
      <alignment horizontal="center" vertical="center" wrapText="1"/>
    </xf>
    <xf numFmtId="41" fontId="7" fillId="0" borderId="263" xfId="10" applyNumberFormat="1" applyFont="1" applyBorder="1" applyAlignment="1">
      <alignment horizontal="center" vertical="center" wrapText="1"/>
    </xf>
    <xf numFmtId="0" fontId="6" fillId="0" borderId="4" xfId="11" applyFont="1" applyBorder="1" applyAlignment="1">
      <alignment horizontal="center" vertical="center"/>
    </xf>
    <xf numFmtId="0" fontId="0" fillId="5" borderId="27" xfId="0" applyFill="1" applyBorder="1" applyAlignment="1" applyProtection="1">
      <alignment horizontal="left" wrapText="1"/>
      <protection locked="0"/>
    </xf>
    <xf numFmtId="0" fontId="14" fillId="0" borderId="0" xfId="12" applyFont="1" applyAlignment="1">
      <alignment horizontal="left"/>
    </xf>
    <xf numFmtId="0" fontId="1" fillId="0" borderId="0" xfId="0" applyFont="1"/>
    <xf numFmtId="0" fontId="28" fillId="0" borderId="27" xfId="0" quotePrefix="1" applyFont="1" applyBorder="1" applyAlignment="1" applyProtection="1">
      <alignment horizontal="left"/>
      <protection locked="0"/>
    </xf>
    <xf numFmtId="1" fontId="28" fillId="0" borderId="31" xfId="0" applyNumberFormat="1" applyFont="1" applyBorder="1" applyAlignment="1" applyProtection="1">
      <alignment horizontal="left"/>
      <protection locked="0"/>
    </xf>
    <xf numFmtId="37" fontId="19" fillId="0" borderId="132" xfId="11" applyNumberFormat="1" applyFont="1" applyBorder="1" applyAlignment="1">
      <alignment horizontal="center" vertical="center" wrapText="1"/>
    </xf>
    <xf numFmtId="37" fontId="19" fillId="0" borderId="250" xfId="11" applyNumberFormat="1" applyFont="1" applyBorder="1" applyAlignment="1">
      <alignment horizontal="center" vertical="center" wrapText="1"/>
    </xf>
    <xf numFmtId="37" fontId="19" fillId="0" borderId="94" xfId="11" applyNumberFormat="1" applyFont="1" applyBorder="1" applyAlignment="1">
      <alignment horizontal="center" vertical="center" wrapText="1"/>
    </xf>
    <xf numFmtId="37" fontId="19" fillId="0" borderId="44" xfId="11" applyNumberFormat="1" applyFont="1" applyBorder="1" applyAlignment="1">
      <alignment horizontal="center" vertical="center" wrapText="1"/>
    </xf>
    <xf numFmtId="9" fontId="59" fillId="0" borderId="5" xfId="0" applyNumberFormat="1" applyFont="1" applyBorder="1" applyAlignment="1">
      <alignment horizontal="left" vertical="center"/>
    </xf>
    <xf numFmtId="9" fontId="59" fillId="0" borderId="0" xfId="0" applyNumberFormat="1" applyFont="1" applyAlignment="1">
      <alignment horizontal="left" vertical="center"/>
    </xf>
    <xf numFmtId="0" fontId="6" fillId="0" borderId="98" xfId="0" applyFont="1" applyBorder="1" applyAlignment="1">
      <alignment horizontal="center"/>
    </xf>
    <xf numFmtId="5" fontId="7" fillId="0" borderId="27" xfId="6" applyFont="1" applyBorder="1"/>
    <xf numFmtId="5" fontId="7" fillId="0" borderId="31" xfId="6" applyFont="1" applyBorder="1"/>
    <xf numFmtId="5" fontId="7" fillId="0" borderId="105" xfId="6" applyFont="1" applyBorder="1"/>
    <xf numFmtId="0" fontId="7" fillId="0" borderId="30" xfId="0" applyFont="1" applyBorder="1"/>
    <xf numFmtId="49" fontId="7" fillId="5" borderId="30" xfId="13" applyNumberFormat="1" applyFont="1" applyFill="1" applyBorder="1" applyProtection="1">
      <protection locked="0"/>
    </xf>
    <xf numFmtId="0" fontId="6" fillId="0" borderId="171" xfId="0" applyFont="1" applyBorder="1"/>
    <xf numFmtId="0" fontId="6" fillId="0" borderId="131" xfId="0" applyFont="1" applyBorder="1"/>
    <xf numFmtId="38" fontId="7" fillId="0" borderId="0" xfId="6" applyNumberFormat="1" applyFont="1"/>
    <xf numFmtId="0" fontId="6" fillId="0" borderId="168" xfId="0" applyFont="1" applyBorder="1"/>
    <xf numFmtId="0" fontId="6" fillId="0" borderId="169" xfId="0" applyFont="1" applyBorder="1"/>
    <xf numFmtId="49" fontId="7" fillId="5" borderId="86" xfId="0" applyNumberFormat="1" applyFont="1" applyFill="1" applyBorder="1" applyProtection="1">
      <protection locked="0"/>
    </xf>
    <xf numFmtId="49" fontId="7" fillId="5" borderId="0" xfId="0" applyNumberFormat="1" applyFont="1" applyFill="1" applyProtection="1">
      <protection locked="0"/>
    </xf>
    <xf numFmtId="49" fontId="7" fillId="5" borderId="19" xfId="0" applyNumberFormat="1" applyFont="1" applyFill="1" applyBorder="1" applyProtection="1">
      <protection locked="0"/>
    </xf>
    <xf numFmtId="9" fontId="7" fillId="0" borderId="32" xfId="13" applyFont="1" applyBorder="1" applyAlignment="1">
      <alignment horizontal="left"/>
    </xf>
    <xf numFmtId="9" fontId="7" fillId="0" borderId="31" xfId="13" applyFont="1" applyBorder="1" applyAlignment="1">
      <alignment horizontal="left"/>
    </xf>
    <xf numFmtId="9" fontId="7" fillId="0" borderId="49" xfId="13" applyFont="1" applyBorder="1" applyAlignment="1">
      <alignment horizontal="left"/>
    </xf>
    <xf numFmtId="49" fontId="7" fillId="5" borderId="239" xfId="13" applyNumberFormat="1" applyFont="1" applyFill="1" applyBorder="1" applyProtection="1">
      <protection locked="0"/>
    </xf>
    <xf numFmtId="9" fontId="1" fillId="0" borderId="0" xfId="13" applyFont="1" applyAlignment="1" applyProtection="1">
      <alignment horizontal="left" vertical="top" wrapText="1"/>
    </xf>
    <xf numFmtId="9" fontId="0" fillId="0" borderId="0" xfId="13" applyFont="1" applyAlignment="1" applyProtection="1">
      <alignment horizontal="left" vertical="top" wrapText="1"/>
    </xf>
    <xf numFmtId="49" fontId="1" fillId="5" borderId="189" xfId="0" applyNumberFormat="1" applyFont="1" applyFill="1" applyBorder="1" applyAlignment="1" applyProtection="1">
      <alignment horizontal="left" vertical="top"/>
      <protection locked="0"/>
    </xf>
    <xf numFmtId="49" fontId="1" fillId="5" borderId="27" xfId="0" applyNumberFormat="1" applyFont="1" applyFill="1" applyBorder="1" applyAlignment="1" applyProtection="1">
      <alignment horizontal="left" vertical="top"/>
      <protection locked="0"/>
    </xf>
    <xf numFmtId="49" fontId="1" fillId="5" borderId="188" xfId="0" applyNumberFormat="1" applyFont="1" applyFill="1" applyBorder="1" applyAlignment="1" applyProtection="1">
      <alignment horizontal="left" vertical="top"/>
      <protection locked="0"/>
    </xf>
    <xf numFmtId="0" fontId="6" fillId="0" borderId="9" xfId="10" applyFont="1" applyBorder="1" applyAlignment="1">
      <alignment horizontal="center"/>
    </xf>
    <xf numFmtId="0" fontId="7" fillId="0" borderId="264" xfId="10" applyFont="1" applyBorder="1" applyAlignment="1">
      <alignment horizontal="center" vertical="center" wrapText="1"/>
    </xf>
    <xf numFmtId="0" fontId="13" fillId="0" borderId="265" xfId="0" applyFont="1" applyBorder="1" applyAlignment="1">
      <alignment horizontal="center" vertical="center" wrapText="1"/>
    </xf>
    <xf numFmtId="0" fontId="13" fillId="0" borderId="266" xfId="0" applyFont="1" applyBorder="1" applyAlignment="1">
      <alignment horizontal="center" vertical="center" wrapText="1"/>
    </xf>
    <xf numFmtId="43" fontId="6" fillId="16" borderId="4" xfId="2" applyNumberFormat="1" applyFont="1" applyFill="1" applyBorder="1" applyAlignment="1">
      <alignment horizontal="center"/>
    </xf>
    <xf numFmtId="43" fontId="6" fillId="16" borderId="53" xfId="2" applyNumberFormat="1" applyFont="1" applyFill="1" applyBorder="1" applyAlignment="1">
      <alignment horizontal="center"/>
    </xf>
    <xf numFmtId="9" fontId="55" fillId="0" borderId="5" xfId="0" applyNumberFormat="1" applyFont="1" applyBorder="1" applyAlignment="1">
      <alignment horizontal="left" vertical="center"/>
    </xf>
    <xf numFmtId="9" fontId="55" fillId="0" borderId="0" xfId="0" applyNumberFormat="1" applyFont="1" applyAlignment="1">
      <alignment horizontal="left" vertical="center"/>
    </xf>
    <xf numFmtId="5" fontId="7" fillId="6" borderId="251" xfId="6" applyFont="1" applyFill="1" applyBorder="1" applyAlignment="1">
      <alignment horizontal="left"/>
    </xf>
    <xf numFmtId="5" fontId="7" fillId="6" borderId="160" xfId="6" applyFont="1" applyFill="1" applyBorder="1" applyAlignment="1">
      <alignment horizontal="left"/>
    </xf>
    <xf numFmtId="41" fontId="7" fillId="0" borderId="30" xfId="0" applyNumberFormat="1" applyFont="1" applyBorder="1" applyAlignment="1">
      <alignment vertical="center"/>
    </xf>
    <xf numFmtId="0" fontId="6" fillId="0" borderId="243" xfId="0" applyFont="1" applyBorder="1" applyAlignment="1">
      <alignment horizontal="center"/>
    </xf>
    <xf numFmtId="5" fontId="7" fillId="0" borderId="251" xfId="6" applyFont="1" applyBorder="1" applyAlignment="1" applyProtection="1">
      <alignment horizontal="left"/>
    </xf>
    <xf numFmtId="5" fontId="7" fillId="0" borderId="160" xfId="6" applyFont="1" applyBorder="1" applyAlignment="1" applyProtection="1">
      <alignment horizontal="left"/>
    </xf>
    <xf numFmtId="49" fontId="12" fillId="5" borderId="189" xfId="0" applyNumberFormat="1" applyFont="1" applyFill="1" applyBorder="1" applyAlignment="1" applyProtection="1">
      <alignment horizontal="left" vertical="top"/>
      <protection locked="0"/>
    </xf>
    <xf numFmtId="49" fontId="12" fillId="5" borderId="27" xfId="0" applyNumberFormat="1" applyFont="1" applyFill="1" applyBorder="1" applyAlignment="1" applyProtection="1">
      <alignment horizontal="left" vertical="top"/>
      <protection locked="0"/>
    </xf>
    <xf numFmtId="49" fontId="12" fillId="5" borderId="188" xfId="0" applyNumberFormat="1" applyFont="1" applyFill="1" applyBorder="1" applyAlignment="1" applyProtection="1">
      <alignment horizontal="left" vertical="top"/>
      <protection locked="0"/>
    </xf>
    <xf numFmtId="43" fontId="6" fillId="16" borderId="88" xfId="2" applyNumberFormat="1" applyFont="1" applyFill="1" applyBorder="1" applyAlignment="1">
      <alignment horizontal="center"/>
    </xf>
    <xf numFmtId="43" fontId="6" fillId="16" borderId="17" xfId="2" applyNumberFormat="1" applyFont="1" applyFill="1" applyBorder="1" applyAlignment="1">
      <alignment horizontal="center"/>
    </xf>
    <xf numFmtId="43" fontId="6" fillId="16" borderId="128" xfId="2" applyNumberFormat="1" applyFont="1" applyFill="1" applyBorder="1" applyAlignment="1">
      <alignment horizontal="center"/>
    </xf>
    <xf numFmtId="43" fontId="6" fillId="0" borderId="9" xfId="10" applyNumberFormat="1" applyFont="1" applyBorder="1" applyAlignment="1">
      <alignment horizontal="center"/>
    </xf>
    <xf numFmtId="43" fontId="6" fillId="0" borderId="88" xfId="2" applyNumberFormat="1" applyFont="1" applyFill="1" applyBorder="1" applyAlignment="1">
      <alignment horizontal="center"/>
    </xf>
    <xf numFmtId="43" fontId="6" fillId="0" borderId="17" xfId="2" applyNumberFormat="1" applyFont="1" applyFill="1" applyBorder="1" applyAlignment="1">
      <alignment horizontal="center"/>
    </xf>
    <xf numFmtId="0" fontId="7" fillId="0" borderId="19" xfId="10" applyFont="1" applyBorder="1" applyAlignment="1">
      <alignment horizontal="center" vertical="center" wrapText="1"/>
    </xf>
    <xf numFmtId="0" fontId="13" fillId="0" borderId="19" xfId="0" applyFont="1" applyBorder="1" applyAlignment="1">
      <alignment horizontal="center" vertical="center" wrapText="1"/>
    </xf>
  </cellXfs>
  <cellStyles count="14">
    <cellStyle name="Comma" xfId="1" builtinId="3"/>
    <cellStyle name="Comma_1st CASH FLOW " xfId="2" xr:uid="{00000000-0005-0000-0000-000001000000}"/>
    <cellStyle name="Comma0" xfId="3" xr:uid="{00000000-0005-0000-0000-000002000000}"/>
    <cellStyle name="Comma0 2" xfId="4" xr:uid="{00000000-0005-0000-0000-000003000000}"/>
    <cellStyle name="Currency" xfId="5" builtinId="4"/>
    <cellStyle name="Currency0" xfId="6" xr:uid="{00000000-0005-0000-0000-000005000000}"/>
    <cellStyle name="Currency0 2" xfId="7" xr:uid="{00000000-0005-0000-0000-000006000000}"/>
    <cellStyle name="Hyperlink" xfId="8" builtinId="8"/>
    <cellStyle name="Normal" xfId="0" builtinId="0"/>
    <cellStyle name="Normal 2" xfId="9" xr:uid="{00000000-0005-0000-0000-000009000000}"/>
    <cellStyle name="Normal_1st CASH FLOW " xfId="10" xr:uid="{00000000-0005-0000-0000-00000A000000}"/>
    <cellStyle name="Normal_Charters" xfId="11" xr:uid="{00000000-0005-0000-0000-00000B000000}"/>
    <cellStyle name="Normal_SBE Alternate Form Cert Page 8 15 03" xfId="12" xr:uid="{00000000-0005-0000-0000-00000C000000}"/>
    <cellStyle name="Percent" xfId="13" builtinId="5"/>
  </cellStyles>
  <dxfs count="392">
    <dxf>
      <font>
        <b/>
        <i val="0"/>
      </font>
    </dxf>
    <dxf>
      <font>
        <b/>
        <i val="0"/>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b/>
        <i val="0"/>
      </font>
    </dxf>
    <dxf>
      <font>
        <b/>
        <i val="0"/>
      </font>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dxf>
    <dxf>
      <font>
        <b/>
        <i val="0"/>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92D050"/>
        </patternFill>
      </fill>
    </dxf>
    <dxf>
      <font>
        <b/>
        <i val="0"/>
      </font>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b/>
        <i val="0"/>
      </font>
    </dxf>
    <dxf>
      <fill>
        <patternFill>
          <bgColor rgb="FFFF0000"/>
        </patternFill>
      </fill>
    </dxf>
    <dxf>
      <fill>
        <patternFill>
          <bgColor rgb="FF92D050"/>
        </patternFill>
      </fill>
    </dxf>
    <dxf>
      <font>
        <b/>
        <i val="0"/>
      </font>
    </dxf>
    <dxf>
      <font>
        <b/>
        <i val="0"/>
      </font>
    </dxf>
    <dxf>
      <font>
        <color rgb="FF9C0006"/>
      </font>
      <fill>
        <patternFill>
          <bgColor rgb="FFFFC7CE"/>
        </patternFill>
      </fill>
    </dxf>
    <dxf>
      <font>
        <color rgb="FFC00000"/>
      </font>
      <fill>
        <patternFill>
          <bgColor theme="5" tint="0.59996337778862885"/>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b/>
        <i val="0"/>
        <color rgb="FFC00000"/>
      </font>
    </dxf>
    <dxf>
      <font>
        <color rgb="FF9C0006"/>
      </font>
      <fill>
        <patternFill>
          <bgColor rgb="FFFFC7CE"/>
        </patternFill>
      </fill>
    </dxf>
    <dxf>
      <font>
        <b/>
        <i val="0"/>
      </font>
    </dxf>
    <dxf>
      <font>
        <b/>
        <i val="0"/>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92D050"/>
        </patternFill>
      </fill>
    </dxf>
    <dxf>
      <font>
        <b/>
        <i val="0"/>
      </font>
    </dxf>
    <dxf>
      <font>
        <b/>
        <i val="0"/>
      </font>
    </dxf>
    <dxf>
      <font>
        <b/>
        <i val="0"/>
      </font>
    </dxf>
    <dxf>
      <font>
        <b/>
        <i val="0"/>
      </font>
    </dxf>
    <dxf>
      <font>
        <b/>
        <i val="0"/>
      </font>
    </dxf>
    <dxf>
      <font>
        <b/>
        <i val="0"/>
      </font>
    </dxf>
    <dxf>
      <fill>
        <patternFill>
          <bgColor rgb="FFFF0000"/>
        </patternFill>
      </fill>
    </dxf>
    <dxf>
      <fill>
        <patternFill>
          <bgColor rgb="FF92D050"/>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b/>
        <i val="0"/>
        <color rgb="FFC00000"/>
      </font>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fcmat.org/local-control-funding-formula-resources/"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fcmat.org/lcff" TargetMode="External"/><Relationship Id="rId1" Type="http://schemas.openxmlformats.org/officeDocument/2006/relationships/hyperlink" Target="http://fcmat.org/local-control-funding-formula-resource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www.fcmat.org/lcff" TargetMode="External"/><Relationship Id="rId1" Type="http://schemas.openxmlformats.org/officeDocument/2006/relationships/hyperlink" Target="http://fcmat.org/local-control-funding-formula-resources/"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113"/>
  <sheetViews>
    <sheetView showGridLines="0" zoomScale="115" zoomScaleNormal="115" workbookViewId="0">
      <selection activeCell="G11" sqref="G11"/>
    </sheetView>
  </sheetViews>
  <sheetFormatPr defaultRowHeight="12.75"/>
  <cols>
    <col min="1" max="1" width="10" customWidth="1"/>
    <col min="6" max="6" width="11.28515625" customWidth="1"/>
    <col min="7" max="7" width="12.28515625" customWidth="1"/>
    <col min="8" max="8" width="11.5703125" customWidth="1"/>
    <col min="9" max="9" width="10.7109375" customWidth="1"/>
    <col min="10" max="10" width="13.28515625" customWidth="1"/>
  </cols>
  <sheetData>
    <row r="1" spans="1:10">
      <c r="A1" s="16" t="s">
        <v>228</v>
      </c>
      <c r="B1" s="17"/>
      <c r="C1" s="17"/>
      <c r="D1" s="17"/>
      <c r="E1" s="17"/>
      <c r="F1" s="17"/>
      <c r="G1" s="17"/>
      <c r="H1" s="1585" t="s">
        <v>516</v>
      </c>
      <c r="I1" s="17"/>
      <c r="J1" s="17"/>
    </row>
    <row r="2" spans="1:10">
      <c r="A2" s="17"/>
      <c r="B2" s="17"/>
      <c r="C2" s="17"/>
      <c r="D2" s="17"/>
      <c r="E2" s="17"/>
      <c r="F2" s="17"/>
      <c r="G2" s="17"/>
      <c r="H2" s="17"/>
      <c r="I2" s="17"/>
      <c r="J2" s="17"/>
    </row>
    <row r="3" spans="1:10" ht="12.75" customHeight="1">
      <c r="A3" s="18" t="s">
        <v>138</v>
      </c>
      <c r="B3" s="1636" t="s">
        <v>285</v>
      </c>
      <c r="C3" s="1636"/>
      <c r="D3" s="1636"/>
      <c r="E3" s="1636"/>
      <c r="F3" s="1636"/>
      <c r="G3" s="1636"/>
      <c r="H3" s="1636"/>
      <c r="I3" s="1636"/>
      <c r="J3" s="1636"/>
    </row>
    <row r="4" spans="1:10">
      <c r="A4" s="17"/>
      <c r="B4" s="1636"/>
      <c r="C4" s="1636"/>
      <c r="D4" s="1636"/>
      <c r="E4" s="1636"/>
      <c r="F4" s="1636"/>
      <c r="G4" s="1636"/>
      <c r="H4" s="1636"/>
      <c r="I4" s="1636"/>
      <c r="J4" s="1636"/>
    </row>
    <row r="5" spans="1:10">
      <c r="A5" s="17"/>
      <c r="B5" s="17"/>
      <c r="C5" s="17"/>
      <c r="D5" s="17"/>
      <c r="E5" s="17"/>
      <c r="F5" s="17"/>
      <c r="G5" s="17"/>
      <c r="H5" s="17"/>
      <c r="I5" s="17"/>
      <c r="J5" s="17"/>
    </row>
    <row r="6" spans="1:10">
      <c r="A6" s="1641" t="s">
        <v>297</v>
      </c>
      <c r="B6" s="1641"/>
      <c r="C6" s="79" t="s">
        <v>141</v>
      </c>
      <c r="D6" s="78"/>
      <c r="E6" s="78"/>
      <c r="F6" s="17"/>
      <c r="G6" s="17"/>
      <c r="H6" s="17"/>
      <c r="I6" s="17"/>
      <c r="J6" s="17"/>
    </row>
    <row r="7" spans="1:10">
      <c r="A7" s="17"/>
      <c r="B7" s="229"/>
      <c r="C7" s="229"/>
      <c r="D7" s="229"/>
      <c r="E7" s="229"/>
      <c r="F7" s="229"/>
      <c r="G7" s="229"/>
      <c r="H7" s="17"/>
      <c r="I7" s="17"/>
      <c r="J7" s="17"/>
    </row>
    <row r="8" spans="1:10">
      <c r="A8" s="17">
        <v>1</v>
      </c>
      <c r="B8" s="1634" t="s">
        <v>229</v>
      </c>
      <c r="C8" s="1634"/>
      <c r="D8" s="1634"/>
      <c r="E8" s="1634"/>
      <c r="F8" s="229"/>
      <c r="G8" s="229"/>
      <c r="H8" s="17"/>
      <c r="I8" s="17"/>
      <c r="J8" s="17"/>
    </row>
    <row r="9" spans="1:10">
      <c r="A9" s="17"/>
      <c r="B9" s="229"/>
      <c r="C9" s="229"/>
      <c r="D9" s="229"/>
      <c r="E9" s="229"/>
      <c r="F9" s="229"/>
      <c r="G9" s="229"/>
      <c r="H9" s="17"/>
      <c r="I9" s="17"/>
      <c r="J9" s="17"/>
    </row>
    <row r="10" spans="1:10">
      <c r="A10" s="18" t="s">
        <v>298</v>
      </c>
      <c r="B10" s="229"/>
      <c r="C10" s="230" t="s">
        <v>141</v>
      </c>
      <c r="D10" s="231"/>
      <c r="E10" s="231"/>
      <c r="F10" s="229"/>
      <c r="G10" s="229"/>
      <c r="H10" s="17"/>
      <c r="I10" s="17"/>
      <c r="J10" s="17"/>
    </row>
    <row r="11" spans="1:10">
      <c r="A11" s="17"/>
      <c r="B11" s="229"/>
      <c r="C11" s="229"/>
      <c r="D11" s="229"/>
      <c r="E11" s="229"/>
      <c r="F11" s="229"/>
      <c r="G11" s="229"/>
      <c r="H11" s="17"/>
      <c r="I11" s="17"/>
      <c r="J11" s="17"/>
    </row>
    <row r="12" spans="1:10">
      <c r="A12" s="17">
        <v>1</v>
      </c>
      <c r="B12" s="1634" t="s">
        <v>216</v>
      </c>
      <c r="C12" s="1634"/>
      <c r="D12" s="1634"/>
      <c r="E12" s="1634"/>
      <c r="F12" s="229"/>
      <c r="G12" s="229"/>
      <c r="H12" s="17"/>
      <c r="I12" s="17"/>
    </row>
    <row r="13" spans="1:10">
      <c r="A13" s="17"/>
      <c r="B13" s="229"/>
      <c r="C13" s="1634" t="s">
        <v>346</v>
      </c>
      <c r="D13" s="1634"/>
      <c r="E13" s="1634"/>
      <c r="F13" s="1634"/>
      <c r="G13" s="1634"/>
      <c r="H13" s="17"/>
      <c r="I13" s="17"/>
    </row>
    <row r="14" spans="1:10">
      <c r="A14" s="17"/>
      <c r="B14" s="229"/>
      <c r="C14" s="1634" t="s">
        <v>287</v>
      </c>
      <c r="D14" s="1634"/>
      <c r="E14" s="1634"/>
      <c r="F14" s="1634"/>
      <c r="G14" s="1634"/>
      <c r="H14" s="17"/>
      <c r="I14" s="17"/>
    </row>
    <row r="15" spans="1:10">
      <c r="A15" s="17"/>
      <c r="B15" s="229"/>
      <c r="C15" s="1634" t="s">
        <v>217</v>
      </c>
      <c r="D15" s="1634"/>
      <c r="E15" s="1634"/>
      <c r="F15" s="1634"/>
      <c r="G15" s="1634"/>
      <c r="H15" s="17"/>
      <c r="I15" s="17"/>
    </row>
    <row r="16" spans="1:10">
      <c r="A16" s="17"/>
      <c r="B16" s="17"/>
      <c r="C16" s="17"/>
      <c r="D16" s="17"/>
      <c r="E16" s="17"/>
      <c r="F16" s="17"/>
      <c r="G16" s="17"/>
      <c r="H16" s="17"/>
      <c r="I16" s="17"/>
      <c r="J16" s="17"/>
    </row>
    <row r="17" spans="1:10">
      <c r="A17" s="1635" t="s">
        <v>299</v>
      </c>
      <c r="B17" s="1635"/>
      <c r="C17" s="79" t="s">
        <v>141</v>
      </c>
      <c r="D17" s="78"/>
      <c r="E17" s="78"/>
      <c r="F17" s="17"/>
      <c r="G17" s="17"/>
      <c r="H17" s="17"/>
      <c r="I17" s="17"/>
      <c r="J17" s="17"/>
    </row>
    <row r="18" spans="1:10">
      <c r="A18" s="17"/>
      <c r="B18" s="17"/>
      <c r="C18" s="17"/>
      <c r="D18" s="17"/>
      <c r="E18" s="17"/>
      <c r="F18" s="17"/>
      <c r="G18" s="17"/>
      <c r="H18" s="17"/>
      <c r="I18" s="17"/>
      <c r="J18" s="17"/>
    </row>
    <row r="19" spans="1:10" ht="12.75" customHeight="1">
      <c r="A19" s="17"/>
      <c r="B19" s="1637" t="s">
        <v>294</v>
      </c>
      <c r="C19" s="1637"/>
      <c r="D19" s="1637"/>
      <c r="E19" s="1637"/>
      <c r="F19" s="1637"/>
      <c r="G19" s="1637"/>
      <c r="H19" s="1637"/>
      <c r="I19" s="1637"/>
      <c r="J19" s="1637"/>
    </row>
    <row r="20" spans="1:10">
      <c r="A20" s="17"/>
      <c r="B20" s="1637"/>
      <c r="C20" s="1637"/>
      <c r="D20" s="1637"/>
      <c r="E20" s="1637"/>
      <c r="F20" s="1637"/>
      <c r="G20" s="1637"/>
      <c r="H20" s="1637"/>
      <c r="I20" s="1637"/>
      <c r="J20" s="1637"/>
    </row>
    <row r="21" spans="1:10">
      <c r="A21" s="17"/>
      <c r="B21" s="17"/>
      <c r="C21" s="17"/>
      <c r="D21" s="17"/>
      <c r="E21" s="17"/>
      <c r="F21" s="17"/>
      <c r="G21" s="17"/>
      <c r="H21" s="17"/>
      <c r="I21" s="17"/>
      <c r="J21" s="17"/>
    </row>
    <row r="22" spans="1:10">
      <c r="A22" s="17">
        <v>1</v>
      </c>
      <c r="B22" s="1634" t="s">
        <v>139</v>
      </c>
      <c r="C22" s="1634"/>
      <c r="D22" s="1634"/>
      <c r="E22" s="1634"/>
      <c r="F22" s="1634"/>
      <c r="G22" s="1634"/>
      <c r="H22" s="1634"/>
      <c r="I22" s="1634"/>
      <c r="J22" s="1634"/>
    </row>
    <row r="23" spans="1:10">
      <c r="A23" s="17"/>
      <c r="B23" s="229"/>
      <c r="C23" s="229"/>
      <c r="D23" s="229"/>
      <c r="E23" s="229"/>
      <c r="F23" s="229"/>
      <c r="G23" s="229"/>
      <c r="H23" s="229"/>
      <c r="I23" s="229"/>
      <c r="J23" s="229"/>
    </row>
    <row r="24" spans="1:10" ht="12.75" customHeight="1">
      <c r="A24" s="17">
        <v>2</v>
      </c>
      <c r="B24" s="1636" t="s">
        <v>286</v>
      </c>
      <c r="C24" s="1636"/>
      <c r="D24" s="1636"/>
      <c r="E24" s="1636"/>
      <c r="F24" s="1636"/>
      <c r="G24" s="1636"/>
      <c r="H24" s="1636"/>
      <c r="I24" s="1636"/>
      <c r="J24" s="1636"/>
    </row>
    <row r="25" spans="1:10">
      <c r="A25" s="17"/>
      <c r="B25" s="1636"/>
      <c r="C25" s="1636"/>
      <c r="D25" s="1636"/>
      <c r="E25" s="1636"/>
      <c r="F25" s="1636"/>
      <c r="G25" s="1636"/>
      <c r="H25" s="1636"/>
      <c r="I25" s="1636"/>
      <c r="J25" s="1636"/>
    </row>
    <row r="26" spans="1:10">
      <c r="A26" s="17"/>
      <c r="B26" s="229"/>
      <c r="C26" s="229"/>
      <c r="D26" s="229"/>
      <c r="E26" s="229"/>
      <c r="F26" s="229"/>
      <c r="G26" s="229"/>
      <c r="H26" s="229"/>
      <c r="I26" s="229"/>
      <c r="J26" s="229"/>
    </row>
    <row r="27" spans="1:10">
      <c r="A27" s="17">
        <v>3</v>
      </c>
      <c r="B27" s="1634" t="s">
        <v>163</v>
      </c>
      <c r="C27" s="1634"/>
      <c r="D27" s="1634"/>
      <c r="E27" s="1634"/>
      <c r="F27" s="1634"/>
      <c r="G27" s="1634"/>
      <c r="H27" s="1634"/>
      <c r="I27" s="1634"/>
      <c r="J27" s="1634"/>
    </row>
    <row r="28" spans="1:10">
      <c r="A28" s="17"/>
      <c r="B28" s="229"/>
      <c r="C28" s="229"/>
      <c r="D28" s="229"/>
      <c r="E28" s="229"/>
      <c r="F28" s="229"/>
      <c r="G28" s="229"/>
      <c r="H28" s="229"/>
      <c r="I28" s="229"/>
      <c r="J28" s="229"/>
    </row>
    <row r="29" spans="1:10">
      <c r="A29" s="17">
        <v>4</v>
      </c>
      <c r="B29" s="1634" t="s">
        <v>355</v>
      </c>
      <c r="C29" s="1634"/>
      <c r="D29" s="1634"/>
      <c r="E29" s="1634"/>
      <c r="F29" s="1634"/>
      <c r="G29" s="1634"/>
      <c r="H29" s="1634"/>
      <c r="I29" s="1634"/>
      <c r="J29" s="1634"/>
    </row>
    <row r="30" spans="1:10">
      <c r="A30" s="17"/>
      <c r="B30" s="17"/>
      <c r="C30" s="17"/>
      <c r="D30" s="17"/>
      <c r="E30" s="17"/>
      <c r="F30" s="17"/>
      <c r="G30" s="17"/>
      <c r="H30" s="17"/>
      <c r="I30" s="17"/>
      <c r="J30" s="17"/>
    </row>
    <row r="31" spans="1:10">
      <c r="A31" s="1635" t="s">
        <v>300</v>
      </c>
      <c r="B31" s="1635"/>
      <c r="C31" s="1635"/>
      <c r="D31" s="1635"/>
      <c r="E31" s="1635"/>
      <c r="F31" s="1635"/>
      <c r="G31" s="1635"/>
      <c r="H31" s="1635"/>
      <c r="I31" s="1635"/>
      <c r="J31" s="1635"/>
    </row>
    <row r="32" spans="1:10">
      <c r="A32" s="17"/>
      <c r="B32" s="17"/>
      <c r="C32" s="17"/>
      <c r="D32" s="17"/>
      <c r="E32" s="17"/>
      <c r="F32" s="17"/>
      <c r="G32" s="17"/>
      <c r="H32" s="17"/>
      <c r="I32" s="17"/>
      <c r="J32" s="17"/>
    </row>
    <row r="33" spans="1:10" ht="12.75" customHeight="1">
      <c r="A33" s="17">
        <v>1</v>
      </c>
      <c r="B33" s="1638" t="s">
        <v>356</v>
      </c>
      <c r="C33" s="1639"/>
      <c r="D33" s="1639"/>
      <c r="E33" s="1639"/>
      <c r="F33" s="1639"/>
      <c r="G33" s="1639"/>
      <c r="H33" s="1639"/>
      <c r="I33" s="1639"/>
      <c r="J33" s="1639"/>
    </row>
    <row r="34" spans="1:10">
      <c r="A34" s="17"/>
      <c r="B34" s="1639"/>
      <c r="C34" s="1639"/>
      <c r="D34" s="1639"/>
      <c r="E34" s="1639"/>
      <c r="F34" s="1639"/>
      <c r="G34" s="1639"/>
      <c r="H34" s="1639"/>
      <c r="I34" s="1639"/>
      <c r="J34" s="1639"/>
    </row>
    <row r="35" spans="1:10">
      <c r="A35" s="17"/>
      <c r="B35" s="1639"/>
      <c r="C35" s="1639"/>
      <c r="D35" s="1639"/>
      <c r="E35" s="1639"/>
      <c r="F35" s="1639"/>
      <c r="G35" s="1639"/>
      <c r="H35" s="1639"/>
      <c r="I35" s="1639"/>
      <c r="J35" s="1639"/>
    </row>
    <row r="36" spans="1:10">
      <c r="A36" s="17"/>
      <c r="B36" s="1639"/>
      <c r="C36" s="1639"/>
      <c r="D36" s="1639"/>
      <c r="E36" s="1639"/>
      <c r="F36" s="1639"/>
      <c r="G36" s="1639"/>
      <c r="H36" s="1639"/>
      <c r="I36" s="1639"/>
      <c r="J36" s="1639"/>
    </row>
    <row r="37" spans="1:10">
      <c r="A37" s="17"/>
      <c r="B37" s="1639"/>
      <c r="C37" s="1639"/>
      <c r="D37" s="1639"/>
      <c r="E37" s="1639"/>
      <c r="F37" s="1639"/>
      <c r="G37" s="1639"/>
      <c r="H37" s="1639"/>
      <c r="I37" s="1639"/>
      <c r="J37" s="1639"/>
    </row>
    <row r="38" spans="1:10">
      <c r="A38" s="17"/>
      <c r="B38" s="1639"/>
      <c r="C38" s="1639"/>
      <c r="D38" s="1639"/>
      <c r="E38" s="1639"/>
      <c r="F38" s="1639"/>
      <c r="G38" s="1639"/>
      <c r="H38" s="1639"/>
      <c r="I38" s="1639"/>
      <c r="J38" s="1639"/>
    </row>
    <row r="39" spans="1:10">
      <c r="A39" s="17"/>
      <c r="B39" s="17"/>
      <c r="C39" s="17"/>
      <c r="D39" s="17"/>
      <c r="E39" s="17"/>
      <c r="F39" s="17"/>
      <c r="G39" s="17"/>
      <c r="H39" s="17"/>
      <c r="I39" s="17"/>
      <c r="J39" s="17"/>
    </row>
    <row r="40" spans="1:10">
      <c r="A40" s="18" t="s">
        <v>166</v>
      </c>
      <c r="B40" s="17"/>
      <c r="C40" s="17"/>
      <c r="D40" s="17"/>
      <c r="E40" s="17"/>
      <c r="F40" s="17"/>
      <c r="G40" s="221" t="s">
        <v>167</v>
      </c>
      <c r="I40" s="17"/>
      <c r="J40" s="17"/>
    </row>
    <row r="41" spans="1:10">
      <c r="A41" s="17"/>
      <c r="B41" s="17"/>
      <c r="C41" s="17"/>
      <c r="D41" s="17"/>
      <c r="E41" s="17"/>
      <c r="F41" s="17"/>
      <c r="G41" s="17"/>
      <c r="H41" s="17"/>
      <c r="I41" s="17"/>
      <c r="J41" s="17"/>
    </row>
    <row r="42" spans="1:10" ht="12.75" customHeight="1">
      <c r="A42" s="1642">
        <v>1</v>
      </c>
      <c r="B42" s="1640" t="s">
        <v>288</v>
      </c>
      <c r="C42" s="1640"/>
      <c r="D42" s="1640"/>
      <c r="E42" s="1640"/>
      <c r="F42" s="1640"/>
      <c r="G42" s="1640"/>
      <c r="H42" s="1640"/>
      <c r="I42" s="1640"/>
      <c r="J42" s="1640"/>
    </row>
    <row r="43" spans="1:10">
      <c r="A43" s="1642"/>
      <c r="B43" s="1640"/>
      <c r="C43" s="1640"/>
      <c r="D43" s="1640"/>
      <c r="E43" s="1640"/>
      <c r="F43" s="1640"/>
      <c r="G43" s="1640"/>
      <c r="H43" s="1640"/>
      <c r="I43" s="1640"/>
      <c r="J43" s="1640"/>
    </row>
    <row r="44" spans="1:10">
      <c r="A44" s="17"/>
      <c r="B44" s="17"/>
      <c r="C44" s="17"/>
      <c r="D44" s="17"/>
      <c r="E44" s="17"/>
      <c r="F44" s="17"/>
      <c r="G44" s="17"/>
      <c r="H44" s="17"/>
      <c r="I44" s="17"/>
      <c r="J44" s="17"/>
    </row>
    <row r="45" spans="1:10">
      <c r="A45" s="101">
        <v>2</v>
      </c>
      <c r="B45" s="1634" t="s">
        <v>281</v>
      </c>
      <c r="C45" s="1634"/>
      <c r="D45" s="1634"/>
      <c r="E45" s="1634"/>
      <c r="F45" s="1634"/>
      <c r="G45" s="1634"/>
      <c r="H45" s="1634"/>
      <c r="I45" s="1634"/>
      <c r="J45" s="1634"/>
    </row>
    <row r="46" spans="1:10">
      <c r="A46" s="17"/>
      <c r="B46" s="17"/>
      <c r="C46" s="17"/>
      <c r="D46" s="17"/>
      <c r="E46" s="17"/>
      <c r="F46" s="17"/>
      <c r="G46" s="17"/>
      <c r="H46" s="17"/>
      <c r="I46" s="17"/>
      <c r="J46" s="17"/>
    </row>
    <row r="47" spans="1:10">
      <c r="A47" s="18" t="s">
        <v>282</v>
      </c>
      <c r="B47" s="17"/>
      <c r="C47" s="17"/>
      <c r="D47" s="17"/>
      <c r="E47" s="79" t="s">
        <v>141</v>
      </c>
      <c r="F47" s="78"/>
      <c r="G47" s="78"/>
      <c r="H47" s="17"/>
      <c r="I47" s="17"/>
      <c r="J47" s="17"/>
    </row>
    <row r="48" spans="1:10">
      <c r="A48" s="17"/>
      <c r="B48" s="17"/>
      <c r="C48" s="17"/>
      <c r="D48" s="17"/>
      <c r="E48" s="17"/>
      <c r="F48" s="17"/>
      <c r="G48" s="17"/>
      <c r="H48" s="17"/>
      <c r="I48" s="17"/>
      <c r="J48" s="17"/>
    </row>
    <row r="49" spans="1:12">
      <c r="A49" s="17"/>
      <c r="B49" s="19" t="s">
        <v>159</v>
      </c>
      <c r="C49" s="17"/>
      <c r="D49" s="17"/>
      <c r="E49" s="17"/>
      <c r="F49" s="17"/>
      <c r="G49" s="17"/>
      <c r="H49" s="17"/>
      <c r="I49" s="17"/>
      <c r="J49" s="17"/>
    </row>
    <row r="50" spans="1:12">
      <c r="A50" s="17"/>
      <c r="B50" s="19"/>
      <c r="C50" s="17"/>
      <c r="D50" s="17"/>
      <c r="E50" s="17"/>
      <c r="F50" s="17"/>
      <c r="G50" s="17"/>
      <c r="H50" s="17"/>
      <c r="I50" s="17"/>
      <c r="J50" s="17"/>
    </row>
    <row r="51" spans="1:12">
      <c r="A51" s="101">
        <v>1</v>
      </c>
      <c r="B51" s="1633" t="s">
        <v>222</v>
      </c>
      <c r="C51" s="1633"/>
      <c r="D51" s="1633"/>
      <c r="E51" s="1633"/>
      <c r="F51" s="1633"/>
      <c r="G51" s="1633"/>
      <c r="H51" s="1633"/>
      <c r="I51" s="1633"/>
      <c r="J51" s="1633"/>
    </row>
    <row r="52" spans="1:12">
      <c r="A52" s="17"/>
      <c r="B52" s="17"/>
      <c r="C52" s="17"/>
      <c r="D52" s="17"/>
      <c r="E52" s="17"/>
      <c r="F52" s="17"/>
      <c r="G52" s="17"/>
      <c r="H52" s="17"/>
      <c r="I52" s="17"/>
      <c r="J52" s="17"/>
    </row>
    <row r="53" spans="1:12" ht="27" customHeight="1">
      <c r="A53" s="101">
        <v>2</v>
      </c>
      <c r="B53" s="1640" t="s">
        <v>295</v>
      </c>
      <c r="C53" s="1640"/>
      <c r="D53" s="1640"/>
      <c r="E53" s="1640"/>
      <c r="F53" s="1640"/>
      <c r="G53" s="1640"/>
      <c r="H53" s="1640"/>
      <c r="I53" s="1640"/>
      <c r="J53" s="1640"/>
    </row>
    <row r="54" spans="1:12">
      <c r="A54" s="17"/>
      <c r="B54" s="17"/>
      <c r="C54" s="17"/>
      <c r="D54" s="17"/>
      <c r="E54" s="17"/>
      <c r="F54" s="17"/>
      <c r="G54" s="17"/>
      <c r="H54" s="17"/>
      <c r="I54" s="17"/>
      <c r="J54" s="17"/>
    </row>
    <row r="55" spans="1:12" ht="26.25" customHeight="1">
      <c r="A55" s="101">
        <v>3</v>
      </c>
      <c r="B55" s="1640" t="s">
        <v>218</v>
      </c>
      <c r="C55" s="1640"/>
      <c r="D55" s="1640"/>
      <c r="E55" s="1640"/>
      <c r="F55" s="1640"/>
      <c r="G55" s="1640"/>
      <c r="H55" s="1640"/>
      <c r="I55" s="1640"/>
      <c r="J55" s="1640"/>
    </row>
    <row r="56" spans="1:12">
      <c r="A56" s="17"/>
      <c r="B56" s="17"/>
      <c r="C56" s="17"/>
      <c r="D56" s="17"/>
      <c r="E56" s="17"/>
      <c r="F56" s="17"/>
      <c r="G56" s="17"/>
      <c r="H56" s="17"/>
      <c r="I56" s="17"/>
      <c r="J56" s="17"/>
    </row>
    <row r="57" spans="1:12">
      <c r="A57" s="101">
        <v>4</v>
      </c>
      <c r="B57" s="1633" t="s">
        <v>357</v>
      </c>
      <c r="C57" s="1633"/>
      <c r="D57" s="1633"/>
      <c r="E57" s="1633"/>
      <c r="F57" s="1633"/>
      <c r="G57" s="1633"/>
      <c r="H57" s="1633"/>
      <c r="I57" s="1633"/>
      <c r="J57" s="1633"/>
    </row>
    <row r="58" spans="1:12">
      <c r="A58" s="17"/>
      <c r="B58" s="17"/>
      <c r="C58" s="17"/>
      <c r="D58" s="17"/>
      <c r="E58" s="17"/>
      <c r="F58" s="17"/>
      <c r="G58" s="17"/>
      <c r="H58" s="17"/>
      <c r="I58" s="17"/>
      <c r="J58" s="17"/>
    </row>
    <row r="59" spans="1:12" ht="12.75" customHeight="1">
      <c r="A59" s="101">
        <v>5</v>
      </c>
      <c r="B59" s="1640" t="s">
        <v>219</v>
      </c>
      <c r="C59" s="1640"/>
      <c r="D59" s="1640"/>
      <c r="E59" s="1640"/>
      <c r="F59" s="1640"/>
      <c r="G59" s="1640"/>
      <c r="H59" s="1640"/>
      <c r="I59" s="1640"/>
      <c r="J59" s="1640"/>
      <c r="K59" s="85"/>
    </row>
    <row r="60" spans="1:12" ht="25.5" customHeight="1">
      <c r="A60" s="17"/>
      <c r="B60" s="102" t="s">
        <v>223</v>
      </c>
      <c r="C60" s="1640" t="s">
        <v>296</v>
      </c>
      <c r="D60" s="1640"/>
      <c r="E60" s="1640"/>
      <c r="F60" s="1640"/>
      <c r="G60" s="1640"/>
      <c r="H60" s="1640"/>
      <c r="I60" s="1640"/>
      <c r="J60" s="1640"/>
    </row>
    <row r="61" spans="1:12" ht="38.25" customHeight="1">
      <c r="B61" s="102" t="s">
        <v>224</v>
      </c>
      <c r="C61" s="1640" t="s">
        <v>289</v>
      </c>
      <c r="D61" s="1640"/>
      <c r="E61" s="1640"/>
      <c r="F61" s="1640"/>
      <c r="G61" s="1640"/>
      <c r="H61" s="1640"/>
      <c r="I61" s="1640"/>
      <c r="J61" s="1640"/>
      <c r="K61" s="85"/>
      <c r="L61" s="85"/>
    </row>
    <row r="62" spans="1:12" ht="38.25" customHeight="1">
      <c r="B62" s="102" t="s">
        <v>225</v>
      </c>
      <c r="C62" s="1640" t="s">
        <v>220</v>
      </c>
      <c r="D62" s="1640"/>
      <c r="E62" s="1640"/>
      <c r="F62" s="1640"/>
      <c r="G62" s="1640"/>
      <c r="H62" s="1640"/>
      <c r="I62" s="1640"/>
      <c r="J62" s="1640"/>
      <c r="K62" s="86"/>
      <c r="L62" s="86"/>
    </row>
    <row r="64" spans="1:12" ht="25.5" customHeight="1">
      <c r="A64" s="101">
        <v>6</v>
      </c>
      <c r="B64" s="1640" t="s">
        <v>358</v>
      </c>
      <c r="C64" s="1640"/>
      <c r="D64" s="1640"/>
      <c r="E64" s="1640"/>
      <c r="F64" s="1640"/>
      <c r="G64" s="1640"/>
      <c r="H64" s="1640"/>
      <c r="I64" s="1640"/>
      <c r="J64" s="1640"/>
    </row>
    <row r="65" spans="1:10">
      <c r="A65" s="880"/>
      <c r="B65" s="880"/>
      <c r="C65" s="880"/>
      <c r="D65" s="880"/>
      <c r="E65" s="880"/>
      <c r="F65" s="880"/>
      <c r="G65" s="880"/>
      <c r="H65" s="880"/>
      <c r="I65" s="880"/>
      <c r="J65" s="880"/>
    </row>
    <row r="66" spans="1:10">
      <c r="A66" s="101">
        <v>7</v>
      </c>
      <c r="B66" s="1633" t="s">
        <v>221</v>
      </c>
      <c r="C66" s="1633"/>
      <c r="D66" s="1633"/>
      <c r="E66" s="1633"/>
      <c r="F66" s="1633"/>
      <c r="G66" s="1633"/>
      <c r="H66" s="1633"/>
      <c r="I66" s="1633"/>
      <c r="J66" s="1633"/>
    </row>
    <row r="67" spans="1:10">
      <c r="A67" s="101"/>
      <c r="B67" s="880"/>
      <c r="C67" s="880"/>
      <c r="D67" s="880"/>
      <c r="E67" s="880"/>
      <c r="F67" s="880"/>
      <c r="G67" s="880"/>
      <c r="H67" s="880"/>
      <c r="I67" s="880"/>
      <c r="J67" s="880"/>
    </row>
    <row r="68" spans="1:10">
      <c r="A68" s="101">
        <v>8</v>
      </c>
      <c r="B68" s="1633" t="s">
        <v>290</v>
      </c>
      <c r="C68" s="1633"/>
      <c r="D68" s="1633"/>
      <c r="E68" s="1633"/>
      <c r="F68" s="1633"/>
      <c r="G68" s="1633"/>
      <c r="H68" s="1633"/>
      <c r="I68" s="1633"/>
      <c r="J68" s="1633"/>
    </row>
    <row r="69" spans="1:10">
      <c r="A69" s="101"/>
      <c r="B69" s="101"/>
      <c r="C69" s="101"/>
      <c r="D69" s="101"/>
      <c r="E69" s="101"/>
      <c r="F69" s="101"/>
      <c r="G69" s="101"/>
      <c r="H69" s="101"/>
      <c r="I69" s="101"/>
      <c r="J69" s="101"/>
    </row>
    <row r="70" spans="1:10" ht="27" customHeight="1">
      <c r="A70" s="101">
        <v>9</v>
      </c>
      <c r="B70" s="1640" t="s">
        <v>283</v>
      </c>
      <c r="C70" s="1640"/>
      <c r="D70" s="1640"/>
      <c r="E70" s="1640"/>
      <c r="F70" s="1640"/>
      <c r="G70" s="1640"/>
      <c r="H70" s="1640"/>
      <c r="I70" s="1640"/>
      <c r="J70" s="1640"/>
    </row>
    <row r="71" spans="1:10">
      <c r="A71" s="101"/>
      <c r="B71" s="86"/>
      <c r="C71" s="86"/>
      <c r="D71" s="86"/>
      <c r="E71" s="86"/>
      <c r="F71" s="86"/>
      <c r="G71" s="86"/>
      <c r="H71" s="86"/>
      <c r="I71" s="86"/>
      <c r="J71" s="86"/>
    </row>
    <row r="72" spans="1:10" ht="27" customHeight="1">
      <c r="A72" s="101">
        <v>10</v>
      </c>
      <c r="B72" s="1640" t="s">
        <v>491</v>
      </c>
      <c r="C72" s="1640"/>
      <c r="D72" s="1640"/>
      <c r="E72" s="1640"/>
      <c r="F72" s="1640"/>
      <c r="G72" s="1640"/>
      <c r="H72" s="1640"/>
      <c r="I72" s="1640"/>
      <c r="J72" s="1640"/>
    </row>
    <row r="73" spans="1:10">
      <c r="A73" s="17"/>
      <c r="B73" s="17"/>
      <c r="C73" s="17"/>
      <c r="D73" s="17"/>
      <c r="E73" s="17"/>
      <c r="F73" s="17"/>
      <c r="G73" s="17"/>
      <c r="H73" s="17"/>
      <c r="I73" s="17"/>
      <c r="J73" s="17"/>
    </row>
    <row r="74" spans="1:10">
      <c r="A74" s="18" t="s">
        <v>169</v>
      </c>
      <c r="B74" s="17"/>
      <c r="C74" s="79" t="s">
        <v>141</v>
      </c>
      <c r="D74" s="78"/>
      <c r="E74" s="78"/>
      <c r="F74" s="17"/>
      <c r="G74" s="17"/>
      <c r="H74" s="17"/>
      <c r="I74" s="17"/>
      <c r="J74" s="17"/>
    </row>
    <row r="75" spans="1:10">
      <c r="A75" s="17"/>
      <c r="B75" s="17"/>
      <c r="C75" s="17"/>
      <c r="D75" s="17"/>
      <c r="E75" s="17"/>
      <c r="F75" s="17"/>
      <c r="G75" s="17"/>
      <c r="H75" s="17"/>
      <c r="I75" s="17"/>
      <c r="J75" s="17"/>
    </row>
    <row r="76" spans="1:10" ht="25.5" customHeight="1">
      <c r="A76" s="101">
        <v>1</v>
      </c>
      <c r="B76" s="1636" t="s">
        <v>291</v>
      </c>
      <c r="C76" s="1636"/>
      <c r="D76" s="1636"/>
      <c r="E76" s="1636"/>
      <c r="F76" s="1636"/>
      <c r="G76" s="1636"/>
      <c r="H76" s="1636"/>
      <c r="I76" s="1636"/>
      <c r="J76" s="1636"/>
    </row>
    <row r="77" spans="1:10">
      <c r="A77" s="17"/>
      <c r="B77" s="17"/>
      <c r="C77" s="17"/>
      <c r="D77" s="17"/>
      <c r="E77" s="17"/>
      <c r="F77" s="17"/>
      <c r="G77" s="17"/>
      <c r="H77" s="17"/>
      <c r="I77" s="17"/>
      <c r="J77" s="17"/>
    </row>
    <row r="78" spans="1:10">
      <c r="A78" s="17">
        <v>2</v>
      </c>
      <c r="B78" s="1634" t="s">
        <v>227</v>
      </c>
      <c r="C78" s="1634"/>
      <c r="D78" s="1634"/>
      <c r="E78" s="1634"/>
      <c r="F78" s="1634"/>
      <c r="G78" s="1634"/>
      <c r="H78" s="1634"/>
      <c r="I78" s="1634"/>
      <c r="J78" s="1634"/>
    </row>
    <row r="79" spans="1:10">
      <c r="A79" s="17"/>
      <c r="B79" s="17"/>
      <c r="C79" s="17"/>
      <c r="D79" s="17"/>
      <c r="E79" s="17"/>
      <c r="F79" s="17"/>
      <c r="G79" s="17"/>
      <c r="H79" s="17"/>
      <c r="I79" s="17"/>
      <c r="J79" s="17"/>
    </row>
    <row r="80" spans="1:10">
      <c r="A80" s="17">
        <v>3</v>
      </c>
      <c r="B80" s="1643" t="s">
        <v>292</v>
      </c>
      <c r="C80" s="1643"/>
      <c r="D80" s="1643"/>
      <c r="E80" s="1643"/>
      <c r="F80" s="1643"/>
      <c r="G80" s="1643"/>
      <c r="H80" s="1643"/>
      <c r="I80" s="1643"/>
      <c r="J80" s="1643"/>
    </row>
    <row r="81" spans="1:10">
      <c r="A81" s="17"/>
      <c r="B81" s="17"/>
      <c r="C81" s="17"/>
      <c r="D81" s="17"/>
      <c r="E81" s="17"/>
      <c r="F81" s="17"/>
      <c r="G81" s="17"/>
      <c r="H81" s="17"/>
      <c r="I81" s="17"/>
      <c r="J81" s="17"/>
    </row>
    <row r="82" spans="1:10" ht="12.75" customHeight="1">
      <c r="A82" s="17">
        <v>4</v>
      </c>
      <c r="B82" s="1636" t="s">
        <v>160</v>
      </c>
      <c r="C82" s="1636"/>
      <c r="D82" s="1636"/>
      <c r="E82" s="1636"/>
      <c r="F82" s="1636"/>
      <c r="G82" s="1636"/>
      <c r="H82" s="1636"/>
      <c r="I82" s="1636"/>
      <c r="J82" s="1636"/>
    </row>
    <row r="83" spans="1:10">
      <c r="A83" s="17"/>
      <c r="B83" s="1636"/>
      <c r="C83" s="1636"/>
      <c r="D83" s="1636"/>
      <c r="E83" s="1636"/>
      <c r="F83" s="1636"/>
      <c r="G83" s="1636"/>
      <c r="H83" s="1636"/>
      <c r="I83" s="1636"/>
      <c r="J83" s="1636"/>
    </row>
    <row r="84" spans="1:10">
      <c r="A84" s="17"/>
      <c r="B84" s="17"/>
      <c r="C84" s="17"/>
      <c r="D84" s="17"/>
      <c r="E84" s="17"/>
      <c r="F84" s="17"/>
      <c r="G84" s="17"/>
      <c r="H84" s="17"/>
      <c r="I84" s="17"/>
      <c r="J84" s="17"/>
    </row>
    <row r="85" spans="1:10" ht="25.5" customHeight="1">
      <c r="A85" s="101">
        <v>5</v>
      </c>
      <c r="B85" s="1636" t="s">
        <v>226</v>
      </c>
      <c r="C85" s="1636"/>
      <c r="D85" s="1636"/>
      <c r="E85" s="1636"/>
      <c r="F85" s="1636"/>
      <c r="G85" s="1636"/>
      <c r="H85" s="1636"/>
      <c r="I85" s="1636"/>
      <c r="J85" s="1636"/>
    </row>
    <row r="86" spans="1:10">
      <c r="A86" s="17"/>
      <c r="B86" s="17"/>
      <c r="C86" s="17"/>
      <c r="D86" s="17"/>
      <c r="E86" s="17"/>
      <c r="F86" s="17"/>
      <c r="G86" s="17"/>
      <c r="H86" s="17"/>
      <c r="I86" s="17"/>
      <c r="J86" s="17"/>
    </row>
    <row r="87" spans="1:10" ht="12.75" customHeight="1">
      <c r="A87" s="17">
        <v>6</v>
      </c>
      <c r="B87" s="1636" t="s">
        <v>293</v>
      </c>
      <c r="C87" s="1636"/>
      <c r="D87" s="1636"/>
      <c r="E87" s="1636"/>
      <c r="F87" s="1636"/>
      <c r="G87" s="1636"/>
      <c r="H87" s="1636"/>
      <c r="I87" s="1636"/>
      <c r="J87" s="1636"/>
    </row>
    <row r="88" spans="1:10">
      <c r="A88" s="17"/>
      <c r="B88" s="1636"/>
      <c r="C88" s="1636"/>
      <c r="D88" s="1636"/>
      <c r="E88" s="1636"/>
      <c r="F88" s="1636"/>
      <c r="G88" s="1636"/>
      <c r="H88" s="1636"/>
      <c r="I88" s="1636"/>
      <c r="J88" s="1636"/>
    </row>
    <row r="89" spans="1:10">
      <c r="A89" s="17"/>
      <c r="B89" s="17"/>
      <c r="C89" s="17"/>
      <c r="D89" s="17"/>
      <c r="E89" s="17"/>
      <c r="F89" s="17"/>
      <c r="G89" s="17"/>
      <c r="H89" s="17"/>
      <c r="I89" s="17"/>
      <c r="J89" s="17"/>
    </row>
    <row r="90" spans="1:10">
      <c r="A90" s="1579" t="s">
        <v>492</v>
      </c>
      <c r="B90" s="17"/>
      <c r="C90" s="17"/>
      <c r="D90" s="17"/>
      <c r="E90" s="17"/>
      <c r="F90" s="17"/>
      <c r="G90" s="17"/>
      <c r="H90" s="17"/>
      <c r="I90" s="17"/>
      <c r="J90" s="17"/>
    </row>
    <row r="91" spans="1:10">
      <c r="A91" s="1631" t="s">
        <v>517</v>
      </c>
      <c r="B91" s="17"/>
      <c r="C91" s="17"/>
      <c r="D91" s="17"/>
      <c r="E91" s="17"/>
      <c r="F91" s="17"/>
      <c r="G91" s="17"/>
      <c r="H91" s="17"/>
      <c r="I91" s="17"/>
      <c r="J91" s="17"/>
    </row>
    <row r="92" spans="1:10">
      <c r="A92" s="17"/>
      <c r="B92" s="17"/>
      <c r="C92" s="17"/>
      <c r="D92" s="17"/>
      <c r="E92" s="17"/>
      <c r="F92" s="17"/>
      <c r="G92" s="17"/>
      <c r="H92" s="17"/>
      <c r="I92" s="17"/>
      <c r="J92" s="17"/>
    </row>
    <row r="93" spans="1:10" ht="36.75" customHeight="1">
      <c r="A93" s="1632"/>
      <c r="B93" s="1632"/>
      <c r="C93" s="1632"/>
      <c r="D93" s="1632"/>
      <c r="E93" s="1632"/>
      <c r="F93" s="1632"/>
      <c r="G93" s="1632"/>
      <c r="H93" s="1632"/>
      <c r="I93" s="1632"/>
      <c r="J93" s="1632"/>
    </row>
    <row r="94" spans="1:10">
      <c r="A94" s="17"/>
      <c r="B94" s="17"/>
      <c r="C94" s="17"/>
      <c r="D94" s="17"/>
      <c r="E94" s="17"/>
      <c r="F94" s="17"/>
      <c r="G94" s="17"/>
      <c r="H94" s="17"/>
      <c r="I94" s="17"/>
      <c r="J94" s="17"/>
    </row>
    <row r="95" spans="1:10">
      <c r="A95" s="17"/>
      <c r="B95" s="17"/>
      <c r="C95" s="17"/>
      <c r="D95" s="17"/>
      <c r="E95" s="17"/>
      <c r="F95" s="17"/>
      <c r="G95" s="17"/>
      <c r="H95" s="17"/>
      <c r="I95" s="17"/>
      <c r="J95" s="17"/>
    </row>
    <row r="96" spans="1:10">
      <c r="A96" s="1578"/>
      <c r="B96" s="17"/>
      <c r="C96" s="17"/>
      <c r="D96" s="17"/>
      <c r="E96" s="17"/>
      <c r="F96" s="17"/>
      <c r="G96" s="17"/>
      <c r="H96" s="17"/>
      <c r="I96" s="17"/>
      <c r="J96" s="17"/>
    </row>
    <row r="97" spans="1:10">
      <c r="A97" s="17"/>
      <c r="B97" s="17"/>
      <c r="C97" s="17"/>
      <c r="D97" s="17"/>
      <c r="E97" s="17"/>
      <c r="F97" s="17"/>
      <c r="G97" s="17"/>
      <c r="H97" s="17"/>
      <c r="I97" s="17"/>
      <c r="J97" s="17"/>
    </row>
    <row r="98" spans="1:10">
      <c r="A98" s="17"/>
      <c r="B98" s="17"/>
      <c r="C98" s="17"/>
      <c r="D98" s="17"/>
      <c r="E98" s="17"/>
      <c r="F98" s="17"/>
      <c r="G98" s="17"/>
      <c r="H98" s="17"/>
      <c r="I98" s="17"/>
      <c r="J98" s="17"/>
    </row>
    <row r="99" spans="1:10">
      <c r="A99" s="17"/>
      <c r="B99" s="17"/>
      <c r="C99" s="17"/>
      <c r="D99" s="17"/>
      <c r="E99" s="17"/>
      <c r="F99" s="17"/>
      <c r="G99" s="17"/>
      <c r="H99" s="17"/>
      <c r="I99" s="17"/>
      <c r="J99" s="17"/>
    </row>
    <row r="100" spans="1:10">
      <c r="A100" s="17"/>
      <c r="B100" s="17"/>
      <c r="C100" s="17"/>
      <c r="D100" s="17"/>
      <c r="E100" s="17"/>
      <c r="F100" s="17"/>
      <c r="G100" s="17"/>
      <c r="H100" s="17"/>
      <c r="I100" s="17"/>
      <c r="J100" s="17"/>
    </row>
    <row r="101" spans="1:10">
      <c r="A101" s="17"/>
      <c r="B101" s="17"/>
      <c r="C101" s="17"/>
      <c r="D101" s="17"/>
      <c r="E101" s="17"/>
      <c r="F101" s="17"/>
      <c r="G101" s="17"/>
      <c r="H101" s="17"/>
      <c r="I101" s="17"/>
      <c r="J101" s="17"/>
    </row>
    <row r="102" spans="1:10">
      <c r="A102" s="17"/>
      <c r="B102" s="17"/>
      <c r="C102" s="17"/>
      <c r="D102" s="17"/>
      <c r="E102" s="17"/>
      <c r="F102" s="17"/>
      <c r="G102" s="17"/>
      <c r="H102" s="17"/>
      <c r="I102" s="17"/>
      <c r="J102" s="17"/>
    </row>
    <row r="103" spans="1:10">
      <c r="A103" s="17"/>
      <c r="B103" s="17"/>
      <c r="C103" s="17"/>
      <c r="D103" s="17"/>
      <c r="E103" s="17"/>
      <c r="F103" s="17"/>
      <c r="G103" s="17"/>
      <c r="H103" s="17"/>
      <c r="I103" s="17"/>
      <c r="J103" s="17"/>
    </row>
    <row r="104" spans="1:10">
      <c r="A104" s="17"/>
      <c r="B104" s="17"/>
      <c r="C104" s="17"/>
      <c r="D104" s="17"/>
      <c r="E104" s="17"/>
      <c r="F104" s="17"/>
      <c r="G104" s="17"/>
      <c r="H104" s="17"/>
      <c r="I104" s="17"/>
      <c r="J104" s="17"/>
    </row>
    <row r="105" spans="1:10">
      <c r="A105" s="17"/>
      <c r="B105" s="17"/>
      <c r="C105" s="17"/>
      <c r="D105" s="17"/>
      <c r="E105" s="17"/>
      <c r="F105" s="17"/>
      <c r="G105" s="17"/>
      <c r="H105" s="17"/>
      <c r="I105" s="17"/>
      <c r="J105" s="17"/>
    </row>
    <row r="106" spans="1:10">
      <c r="A106" s="17"/>
      <c r="B106" s="17"/>
      <c r="C106" s="17"/>
      <c r="D106" s="17"/>
      <c r="E106" s="17"/>
      <c r="F106" s="17"/>
      <c r="G106" s="17"/>
      <c r="H106" s="17"/>
      <c r="I106" s="17"/>
      <c r="J106" s="17"/>
    </row>
    <row r="107" spans="1:10">
      <c r="A107" s="17"/>
      <c r="B107" s="17"/>
      <c r="C107" s="17"/>
      <c r="D107" s="17"/>
      <c r="E107" s="17"/>
      <c r="F107" s="17"/>
      <c r="G107" s="17"/>
      <c r="H107" s="17"/>
      <c r="I107" s="17"/>
      <c r="J107" s="17"/>
    </row>
    <row r="108" spans="1:10">
      <c r="A108" s="17"/>
      <c r="B108" s="17"/>
      <c r="C108" s="17"/>
      <c r="D108" s="17"/>
      <c r="E108" s="17"/>
      <c r="F108" s="17"/>
      <c r="G108" s="17"/>
      <c r="H108" s="17"/>
      <c r="I108" s="17"/>
      <c r="J108" s="17"/>
    </row>
    <row r="109" spans="1:10">
      <c r="A109" s="17"/>
      <c r="B109" s="17"/>
      <c r="C109" s="17"/>
      <c r="D109" s="17"/>
      <c r="E109" s="17"/>
      <c r="F109" s="17"/>
      <c r="G109" s="17"/>
      <c r="H109" s="17"/>
      <c r="I109" s="17"/>
      <c r="J109" s="17"/>
    </row>
    <row r="110" spans="1:10">
      <c r="A110" s="17"/>
      <c r="B110" s="17"/>
      <c r="C110" s="17"/>
      <c r="D110" s="17"/>
      <c r="E110" s="17"/>
      <c r="F110" s="17"/>
      <c r="G110" s="17"/>
      <c r="H110" s="17"/>
      <c r="I110" s="17"/>
      <c r="J110" s="17"/>
    </row>
    <row r="111" spans="1:10">
      <c r="A111" s="17"/>
      <c r="B111" s="17"/>
      <c r="C111" s="17"/>
      <c r="D111" s="17"/>
      <c r="E111" s="17"/>
      <c r="F111" s="17"/>
      <c r="G111" s="17"/>
      <c r="H111" s="17"/>
      <c r="I111" s="17"/>
      <c r="J111" s="17"/>
    </row>
    <row r="112" spans="1:10">
      <c r="A112" s="17"/>
      <c r="B112" s="17"/>
      <c r="C112" s="17"/>
      <c r="D112" s="17"/>
      <c r="E112" s="17"/>
      <c r="F112" s="17"/>
      <c r="G112" s="17"/>
      <c r="H112" s="17"/>
      <c r="I112" s="17"/>
      <c r="J112" s="17"/>
    </row>
    <row r="113" spans="1:10">
      <c r="A113" s="17"/>
      <c r="B113" s="17"/>
      <c r="C113" s="17"/>
      <c r="D113" s="17"/>
      <c r="E113" s="17"/>
      <c r="F113" s="17"/>
      <c r="G113" s="17"/>
      <c r="H113" s="17"/>
      <c r="I113" s="17"/>
      <c r="J113" s="17"/>
    </row>
  </sheetData>
  <sheetProtection password="D94D" sheet="1"/>
  <mergeCells count="38">
    <mergeCell ref="B78:J78"/>
    <mergeCell ref="B80:J80"/>
    <mergeCell ref="B82:J83"/>
    <mergeCell ref="B85:J85"/>
    <mergeCell ref="B64:J64"/>
    <mergeCell ref="B66:J66"/>
    <mergeCell ref="B76:J76"/>
    <mergeCell ref="B72:J72"/>
    <mergeCell ref="C15:G15"/>
    <mergeCell ref="A6:B6"/>
    <mergeCell ref="C60:J60"/>
    <mergeCell ref="A42:A43"/>
    <mergeCell ref="B51:J51"/>
    <mergeCell ref="B53:J53"/>
    <mergeCell ref="B55:J55"/>
    <mergeCell ref="B57:J57"/>
    <mergeCell ref="B59:J59"/>
    <mergeCell ref="B3:J4"/>
    <mergeCell ref="B8:E8"/>
    <mergeCell ref="B12:E12"/>
    <mergeCell ref="C13:G13"/>
    <mergeCell ref="C14:G14"/>
    <mergeCell ref="A93:J93"/>
    <mergeCell ref="B68:J68"/>
    <mergeCell ref="B29:J29"/>
    <mergeCell ref="A31:J31"/>
    <mergeCell ref="A17:B17"/>
    <mergeCell ref="B24:J25"/>
    <mergeCell ref="B27:J27"/>
    <mergeCell ref="B45:J45"/>
    <mergeCell ref="B87:J88"/>
    <mergeCell ref="B22:J22"/>
    <mergeCell ref="B19:J20"/>
    <mergeCell ref="B33:J38"/>
    <mergeCell ref="B42:J43"/>
    <mergeCell ref="C61:J61"/>
    <mergeCell ref="C62:J62"/>
    <mergeCell ref="B70:J70"/>
  </mergeCells>
  <phoneticPr fontId="5" type="noConversion"/>
  <hyperlinks>
    <hyperlink ref="G40" r:id="rId1" xr:uid="{00000000-0004-0000-0000-000000000000}"/>
  </hyperlinks>
  <pageMargins left="0" right="0" top="0.5" bottom="0.5" header="0.5" footer="0.5"/>
  <pageSetup scale="95" orientation="portrait" horizontalDpi="525" verticalDpi="525"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tabColor theme="6" tint="-0.249977111117893"/>
  </sheetPr>
  <dimension ref="A1:B28"/>
  <sheetViews>
    <sheetView showGridLines="0" zoomScale="145" zoomScaleNormal="145" workbookViewId="0"/>
  </sheetViews>
  <sheetFormatPr defaultRowHeight="12.75"/>
  <cols>
    <col min="1" max="1" width="6.28515625" customWidth="1"/>
    <col min="2" max="2" width="76.5703125" customWidth="1"/>
  </cols>
  <sheetData>
    <row r="1" spans="1:2">
      <c r="A1" s="134" t="s">
        <v>42</v>
      </c>
    </row>
    <row r="2" spans="1:2">
      <c r="A2" s="134" t="s">
        <v>215</v>
      </c>
    </row>
    <row r="3" spans="1:2">
      <c r="A3" s="1584" t="str">
        <f>Instructions!H1</f>
        <v>Form Orignated 5/16/2022</v>
      </c>
    </row>
    <row r="4" spans="1:2" ht="15.75">
      <c r="A4" s="1645" t="str">
        <f>IF('BUDGET-CERTIFICATION'!$H$1="","Enter Charter School Name on BUDGET-CERTIFICATION Worksheet",'BUDGET-CERTIFICATION'!$H$1)</f>
        <v>Elite Academic Academy - Virtual Prep Lucerne</v>
      </c>
      <c r="B4" s="1645"/>
    </row>
    <row r="5" spans="1:2" ht="15.75">
      <c r="A5" s="1646" t="str">
        <f>IF('BUDGET-CERTIFICATION'!$H$2="","Enter CDS# on INTERIM - CERTIFICATION Worksheet",'BUDGET-CERTIFICATION'!$H$2)</f>
        <v>36-75051-0138107</v>
      </c>
      <c r="B5" s="1646"/>
    </row>
    <row r="6" spans="1:2">
      <c r="A6" s="134"/>
    </row>
    <row r="7" spans="1:2">
      <c r="A7" s="215" t="s">
        <v>254</v>
      </c>
    </row>
    <row r="8" spans="1:2">
      <c r="A8" s="135"/>
    </row>
    <row r="9" spans="1:2">
      <c r="A9" s="138" t="s">
        <v>265</v>
      </c>
    </row>
    <row r="10" spans="1:2">
      <c r="A10" s="1647" t="str">
        <f>"CHARTER "&amp;'Budget-ADA'!K7&amp;" Budget/Interim Reporting Worksheet (all Budget tabs completed):"</f>
        <v>CHARTER 2022-23 Budget/Interim Reporting Worksheet (all Budget tabs completed):</v>
      </c>
      <c r="B10" s="1647"/>
    </row>
    <row r="11" spans="1:2" ht="13.5" thickBot="1">
      <c r="A11" s="200"/>
      <c r="B11" t="s">
        <v>255</v>
      </c>
    </row>
    <row r="12" spans="1:2" ht="13.5" thickBot="1">
      <c r="A12" s="201" t="s">
        <v>529</v>
      </c>
      <c r="B12" s="136" t="s">
        <v>256</v>
      </c>
    </row>
    <row r="13" spans="1:2" ht="13.5" thickBot="1">
      <c r="A13" s="201" t="s">
        <v>529</v>
      </c>
      <c r="B13" s="136" t="s">
        <v>338</v>
      </c>
    </row>
    <row r="14" spans="1:2" ht="13.5" thickBot="1">
      <c r="A14" s="201" t="s">
        <v>529</v>
      </c>
      <c r="B14" s="136" t="s">
        <v>257</v>
      </c>
    </row>
    <row r="15" spans="1:2" ht="13.5" thickBot="1">
      <c r="A15" s="201" t="s">
        <v>529</v>
      </c>
      <c r="B15" s="136" t="s">
        <v>258</v>
      </c>
    </row>
    <row r="16" spans="1:2" ht="13.5" thickBot="1">
      <c r="A16" s="201" t="s">
        <v>529</v>
      </c>
      <c r="B16" s="136" t="s">
        <v>259</v>
      </c>
    </row>
    <row r="17" spans="1:2" ht="13.5" thickBot="1">
      <c r="A17" s="201" t="s">
        <v>529</v>
      </c>
      <c r="B17" s="136" t="s">
        <v>260</v>
      </c>
    </row>
    <row r="18" spans="1:2" ht="13.5" thickBot="1">
      <c r="A18" s="201" t="s">
        <v>529</v>
      </c>
      <c r="B18" s="136" t="s">
        <v>261</v>
      </c>
    </row>
    <row r="19" spans="1:2" ht="13.5" thickBot="1">
      <c r="A19" s="201" t="s">
        <v>529</v>
      </c>
      <c r="B19" s="136" t="s">
        <v>262</v>
      </c>
    </row>
    <row r="20" spans="1:2">
      <c r="A20" s="204"/>
      <c r="B20" s="136"/>
    </row>
    <row r="21" spans="1:2" ht="13.5" thickBot="1">
      <c r="A21" s="200" t="s">
        <v>529</v>
      </c>
      <c r="B21" s="136" t="s">
        <v>267</v>
      </c>
    </row>
    <row r="22" spans="1:2" ht="13.5" thickBot="1">
      <c r="A22" s="200"/>
      <c r="B22" s="136" t="s">
        <v>263</v>
      </c>
    </row>
    <row r="23" spans="1:2">
      <c r="A23" s="204"/>
      <c r="B23" s="136"/>
    </row>
    <row r="24" spans="1:2">
      <c r="A24" s="136" t="s">
        <v>280</v>
      </c>
    </row>
    <row r="25" spans="1:2" ht="13.5" thickBot="1">
      <c r="A25" s="200"/>
      <c r="B25" s="136" t="s">
        <v>264</v>
      </c>
    </row>
    <row r="26" spans="1:2">
      <c r="A26" s="204"/>
    </row>
    <row r="27" spans="1:2">
      <c r="A27" s="136" t="s">
        <v>266</v>
      </c>
    </row>
    <row r="28" spans="1:2">
      <c r="A28" s="1644" t="s">
        <v>370</v>
      </c>
      <c r="B28" s="1644"/>
    </row>
  </sheetData>
  <sheetProtection password="D94D" sheet="1"/>
  <mergeCells count="4">
    <mergeCell ref="A28:B28"/>
    <mergeCell ref="A4:B4"/>
    <mergeCell ref="A5:B5"/>
    <mergeCell ref="A10:B10"/>
  </mergeCells>
  <conditionalFormatting sqref="A4">
    <cfRule type="containsText" dxfId="391" priority="5" stopIfTrue="1" operator="containsText" text="Enter">
      <formula>NOT(ISERROR(SEARCH("Enter",A4)))</formula>
    </cfRule>
    <cfRule type="cellIs" dxfId="390" priority="6" stopIfTrue="1" operator="equal">
      <formula>"Enter Charter CDS # on BUDGET - CERT Worksheet"</formula>
    </cfRule>
  </conditionalFormatting>
  <conditionalFormatting sqref="A5">
    <cfRule type="containsText" dxfId="389" priority="1" stopIfTrue="1" operator="containsText" text="Enter">
      <formula>NOT(ISERROR(SEARCH("Enter",A5)))</formula>
    </cfRule>
    <cfRule type="cellIs" dxfId="388" priority="2" stopIfTrue="1" operator="equal">
      <formula>"Enter Charter CDS # on BUDGET - CERT Worksheet"</formula>
    </cfRule>
  </conditionalFormatting>
  <hyperlinks>
    <hyperlink ref="A28" r:id="rId1" display="http://fcmat.org/local-control-funding-formula-resources/" xr:uid="{00000000-0004-0000-0100-000000000000}"/>
    <hyperlink ref="A28:B28" r:id="rId2" display="https://www.fcmat.org/lcff" xr:uid="{00000000-0004-0000-0100-000001000000}"/>
  </hyperlinks>
  <pageMargins left="0.7" right="0.7" top="0.75" bottom="0.75" header="0.3" footer="0.3"/>
  <pageSetup fitToHeight="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theme="6" tint="-0.249977111117893"/>
    <pageSetUpPr fitToPage="1"/>
  </sheetPr>
  <dimension ref="A1:S65"/>
  <sheetViews>
    <sheetView showGridLines="0" zoomScale="115" zoomScaleNormal="115" workbookViewId="0">
      <selection activeCell="K7" sqref="K7"/>
    </sheetView>
  </sheetViews>
  <sheetFormatPr defaultRowHeight="12.75"/>
  <cols>
    <col min="1" max="1" width="2.42578125" customWidth="1"/>
    <col min="13" max="13" width="13.7109375" customWidth="1"/>
    <col min="14" max="14" width="9.28515625" customWidth="1"/>
  </cols>
  <sheetData>
    <row r="1" spans="1:19" ht="16.5">
      <c r="A1" s="114"/>
      <c r="B1" s="115"/>
      <c r="C1" s="115"/>
      <c r="D1" s="115"/>
      <c r="E1" s="115"/>
      <c r="F1" s="115"/>
      <c r="G1" s="116" t="s">
        <v>12</v>
      </c>
      <c r="H1" s="1208" t="s">
        <v>524</v>
      </c>
      <c r="I1" s="1278"/>
      <c r="J1" s="1278"/>
      <c r="K1" s="1278"/>
      <c r="L1" s="1278"/>
      <c r="M1" s="1278"/>
      <c r="N1" s="216"/>
    </row>
    <row r="2" spans="1:19" ht="16.5">
      <c r="A2" s="114"/>
      <c r="B2" s="115"/>
      <c r="C2" s="115"/>
      <c r="D2" s="115"/>
      <c r="E2" s="115"/>
      <c r="F2" s="115"/>
      <c r="G2" s="116" t="s">
        <v>13</v>
      </c>
      <c r="H2" s="1653" t="s">
        <v>525</v>
      </c>
      <c r="I2" s="1653"/>
      <c r="J2" s="1653"/>
      <c r="K2" s="1653"/>
      <c r="L2" s="1653"/>
      <c r="M2" s="1653"/>
      <c r="N2" s="216"/>
    </row>
    <row r="3" spans="1:19" ht="16.5">
      <c r="A3" s="114"/>
      <c r="B3" s="115"/>
      <c r="C3" s="115"/>
      <c r="D3" s="115"/>
      <c r="E3" s="115"/>
      <c r="F3" s="115"/>
      <c r="G3" s="116" t="s">
        <v>372</v>
      </c>
      <c r="H3" s="1209" t="s">
        <v>526</v>
      </c>
      <c r="I3" s="1279"/>
      <c r="J3" s="1279"/>
      <c r="K3" s="1279"/>
      <c r="L3" s="1279"/>
      <c r="M3" s="1279"/>
      <c r="N3" s="216"/>
    </row>
    <row r="4" spans="1:19" ht="16.5">
      <c r="A4" s="114"/>
      <c r="B4" s="115"/>
      <c r="C4" s="115"/>
      <c r="D4" s="115"/>
      <c r="E4" s="115"/>
      <c r="F4" s="115"/>
      <c r="G4" s="116" t="s">
        <v>14</v>
      </c>
      <c r="H4" s="1209" t="s">
        <v>527</v>
      </c>
      <c r="I4" s="1279"/>
      <c r="J4" s="1279"/>
      <c r="K4" s="1279"/>
      <c r="L4" s="1279"/>
      <c r="M4" s="1279"/>
      <c r="N4" s="216"/>
    </row>
    <row r="5" spans="1:19" ht="16.5">
      <c r="A5" s="114"/>
      <c r="B5" s="115"/>
      <c r="C5" s="115"/>
      <c r="D5" s="115"/>
      <c r="E5" s="115"/>
      <c r="F5" s="115"/>
      <c r="G5" s="116" t="s">
        <v>15</v>
      </c>
      <c r="H5" s="1210" t="s">
        <v>528</v>
      </c>
      <c r="I5" s="1280"/>
      <c r="J5" s="1280"/>
      <c r="K5" s="1280"/>
      <c r="L5" s="1280"/>
      <c r="M5" s="1280"/>
      <c r="N5" s="216"/>
    </row>
    <row r="6" spans="1:19" ht="15" thickBot="1">
      <c r="A6" s="118"/>
      <c r="B6" s="118"/>
      <c r="C6" s="118"/>
      <c r="D6" s="118"/>
      <c r="E6" s="118"/>
      <c r="F6" s="118"/>
      <c r="G6" s="118"/>
      <c r="H6" s="217"/>
      <c r="I6" s="217"/>
      <c r="J6" s="217"/>
      <c r="K6" s="217"/>
      <c r="L6" s="217"/>
      <c r="M6" s="1583" t="str">
        <f>Instructions!H1</f>
        <v>Form Orignated 5/16/2022</v>
      </c>
      <c r="N6" s="8"/>
    </row>
    <row r="7" spans="1:19" ht="15" thickTop="1">
      <c r="A7" s="119"/>
      <c r="B7" s="119"/>
      <c r="C7" s="119"/>
      <c r="D7" s="119"/>
      <c r="E7" s="119"/>
      <c r="F7" s="119"/>
      <c r="G7" s="119"/>
      <c r="H7" s="119"/>
      <c r="I7" s="119"/>
      <c r="J7" s="119"/>
      <c r="K7" s="119"/>
      <c r="L7" s="119"/>
      <c r="M7" s="119"/>
      <c r="N7" s="8"/>
    </row>
    <row r="8" spans="1:19" ht="14.25">
      <c r="A8" s="9"/>
      <c r="B8" s="9" t="s">
        <v>353</v>
      </c>
      <c r="C8" s="131"/>
      <c r="D8" s="131"/>
      <c r="E8" s="131"/>
      <c r="F8" s="131"/>
      <c r="G8" s="131"/>
      <c r="H8" s="9"/>
      <c r="I8" s="131"/>
      <c r="J8" s="131"/>
      <c r="K8" s="131"/>
      <c r="L8" s="131"/>
      <c r="M8" s="131"/>
      <c r="N8" s="100"/>
    </row>
    <row r="9" spans="1:19" ht="14.25">
      <c r="A9" s="9"/>
      <c r="B9" s="1654" t="str">
        <f>""&amp;'Budget-ADA'!K7&amp;" CHARTER SCHOOL INTERIM REPORT -- ALTERNATIVE FORM:  This report has been approved, and is hereby filed by the charter school pursuant to Education Code Section 47604.33."</f>
        <v>2022-23 CHARTER SCHOOL INTERIM REPORT -- ALTERNATIVE FORM:  This report has been approved, and is hereby filed by the charter school pursuant to Education Code Section 47604.33.</v>
      </c>
      <c r="C9" s="1654"/>
      <c r="D9" s="1654"/>
      <c r="E9" s="1654"/>
      <c r="F9" s="1654"/>
      <c r="G9" s="1654"/>
      <c r="H9" s="1654"/>
      <c r="I9" s="1654"/>
      <c r="J9" s="1654"/>
      <c r="K9" s="1654"/>
      <c r="L9" s="1654"/>
      <c r="M9" s="1654"/>
      <c r="N9" s="100"/>
    </row>
    <row r="10" spans="1:19" ht="14.25">
      <c r="A10" s="9"/>
      <c r="B10" s="1654"/>
      <c r="C10" s="1654"/>
      <c r="D10" s="1654"/>
      <c r="E10" s="1654"/>
      <c r="F10" s="1654"/>
      <c r="G10" s="1654"/>
      <c r="H10" s="1654"/>
      <c r="I10" s="1654"/>
      <c r="J10" s="1654"/>
      <c r="K10" s="1654"/>
      <c r="L10" s="1654"/>
      <c r="M10" s="1654"/>
      <c r="N10" s="100"/>
    </row>
    <row r="11" spans="1:19" ht="26.25" customHeight="1">
      <c r="A11" s="9"/>
      <c r="B11" s="9" t="s">
        <v>45</v>
      </c>
      <c r="C11" s="1650"/>
      <c r="D11" s="1656"/>
      <c r="E11" s="1656"/>
      <c r="F11" s="1656"/>
      <c r="G11" s="1656"/>
      <c r="H11" s="9"/>
      <c r="I11" s="9" t="s">
        <v>46</v>
      </c>
      <c r="J11" s="1651"/>
      <c r="K11" s="1651"/>
      <c r="L11" s="1651"/>
      <c r="M11" s="9"/>
      <c r="N11" s="100"/>
    </row>
    <row r="12" spans="1:19" ht="14.25">
      <c r="A12" s="100"/>
      <c r="B12" s="100"/>
      <c r="C12" s="121" t="s">
        <v>47</v>
      </c>
      <c r="D12" s="122"/>
      <c r="E12" s="122"/>
      <c r="F12" s="122"/>
      <c r="G12" s="122"/>
      <c r="H12" s="100"/>
      <c r="I12" s="100"/>
      <c r="J12" s="100"/>
      <c r="K12" s="100"/>
      <c r="L12" s="100"/>
      <c r="M12" s="100"/>
      <c r="N12" s="100"/>
    </row>
    <row r="13" spans="1:19" ht="14.25">
      <c r="A13" s="100"/>
      <c r="B13" s="100"/>
      <c r="C13" s="121" t="s">
        <v>48</v>
      </c>
      <c r="D13" s="122"/>
      <c r="E13" s="122"/>
      <c r="F13" s="122"/>
      <c r="G13" s="122"/>
      <c r="H13" s="100"/>
      <c r="I13" s="100"/>
      <c r="J13" s="100"/>
      <c r="K13" s="100"/>
      <c r="L13" s="100"/>
      <c r="M13" s="100"/>
      <c r="N13" s="100"/>
    </row>
    <row r="14" spans="1:19" ht="28.5">
      <c r="A14" s="9"/>
      <c r="B14" s="123" t="s">
        <v>49</v>
      </c>
      <c r="C14" s="1648"/>
      <c r="D14" s="1657"/>
      <c r="E14" s="1657"/>
      <c r="F14" s="1657"/>
      <c r="G14" s="1657"/>
      <c r="H14" s="9"/>
      <c r="I14" s="9" t="s">
        <v>50</v>
      </c>
      <c r="J14" s="1648"/>
      <c r="K14" s="1648"/>
      <c r="L14" s="1648"/>
      <c r="M14" s="9"/>
      <c r="N14" s="100"/>
    </row>
    <row r="15" spans="1:19" ht="14.25">
      <c r="A15" s="9"/>
      <c r="B15" s="9"/>
      <c r="C15" s="9"/>
      <c r="D15" s="9"/>
      <c r="E15" s="9"/>
      <c r="F15" s="9"/>
      <c r="G15" s="9"/>
      <c r="H15" s="9"/>
      <c r="I15" s="9"/>
      <c r="J15" s="9"/>
      <c r="K15" s="9"/>
      <c r="L15" s="9"/>
      <c r="M15" s="9"/>
      <c r="N15" s="9"/>
    </row>
    <row r="16" spans="1:19" ht="14.25">
      <c r="A16" s="100" t="s">
        <v>64</v>
      </c>
      <c r="B16" s="100"/>
      <c r="C16" s="100"/>
      <c r="D16" s="9"/>
      <c r="E16" s="123"/>
      <c r="F16" s="139"/>
      <c r="G16" s="1234"/>
      <c r="H16" s="1234"/>
      <c r="I16" s="1234"/>
      <c r="J16" s="1234"/>
      <c r="K16" s="9"/>
      <c r="L16" s="9"/>
      <c r="M16" s="139"/>
      <c r="N16" s="139"/>
      <c r="O16" s="139"/>
      <c r="P16" s="9"/>
      <c r="Q16" s="100"/>
      <c r="R16" s="100"/>
      <c r="S16" s="100"/>
    </row>
    <row r="17" spans="1:19" ht="14.25">
      <c r="A17" s="100"/>
      <c r="B17" s="100"/>
      <c r="C17" s="100"/>
      <c r="D17" s="9"/>
      <c r="E17" s="123"/>
      <c r="F17" s="139"/>
      <c r="G17" s="1234"/>
      <c r="H17" s="1234"/>
      <c r="I17" s="1234"/>
      <c r="J17" s="1234"/>
      <c r="K17" s="9"/>
      <c r="L17" s="9"/>
      <c r="M17" s="139"/>
      <c r="N17" s="139"/>
      <c r="O17" s="139"/>
      <c r="P17" s="9"/>
      <c r="Q17" s="100"/>
      <c r="R17" s="100"/>
      <c r="S17" s="100"/>
    </row>
    <row r="18" spans="1:19" s="17" customFormat="1" ht="14.25" customHeight="1">
      <c r="A18" s="1233"/>
      <c r="B18" s="1232" t="s">
        <v>529</v>
      </c>
      <c r="C18" s="1231" t="s">
        <v>429</v>
      </c>
      <c r="D18" s="1231"/>
      <c r="E18" s="1229"/>
      <c r="F18" s="1232"/>
      <c r="G18" s="1231" t="s">
        <v>428</v>
      </c>
      <c r="H18" s="1231"/>
      <c r="J18" s="1232"/>
      <c r="K18" s="1231" t="s">
        <v>430</v>
      </c>
      <c r="N18" s="1231"/>
      <c r="O18" s="1231"/>
      <c r="R18" s="1231"/>
      <c r="S18" s="1231"/>
    </row>
    <row r="19" spans="1:19" s="17" customFormat="1" ht="12">
      <c r="A19" s="1233"/>
      <c r="B19" s="1230"/>
      <c r="C19" s="1655" t="s">
        <v>431</v>
      </c>
      <c r="D19" s="1655"/>
      <c r="E19" s="1655"/>
      <c r="F19" s="1230"/>
      <c r="G19" s="1655" t="s">
        <v>432</v>
      </c>
      <c r="H19" s="1655"/>
      <c r="I19" s="1655"/>
      <c r="J19" s="1231"/>
      <c r="K19" s="1655" t="s">
        <v>433</v>
      </c>
      <c r="L19" s="1655"/>
      <c r="M19" s="1655"/>
      <c r="N19" s="1231"/>
      <c r="O19" s="1231"/>
      <c r="R19" s="1231"/>
      <c r="S19" s="1231"/>
    </row>
    <row r="20" spans="1:19" s="17" customFormat="1" ht="12">
      <c r="A20" s="1233"/>
      <c r="B20" s="1230"/>
      <c r="C20" s="1655"/>
      <c r="D20" s="1655"/>
      <c r="E20" s="1655"/>
      <c r="F20" s="1230"/>
      <c r="G20" s="1655"/>
      <c r="H20" s="1655"/>
      <c r="I20" s="1655"/>
      <c r="J20" s="1231"/>
      <c r="K20" s="1655"/>
      <c r="L20" s="1655"/>
      <c r="M20" s="1655"/>
      <c r="N20" s="1231"/>
      <c r="O20" s="1231"/>
      <c r="R20" s="1231"/>
      <c r="S20" s="1231"/>
    </row>
    <row r="21" spans="1:19" s="17" customFormat="1" ht="12">
      <c r="A21" s="1233"/>
      <c r="B21" s="1230"/>
      <c r="C21" s="1655"/>
      <c r="D21" s="1655"/>
      <c r="E21" s="1655"/>
      <c r="F21" s="1230"/>
      <c r="G21" s="1655"/>
      <c r="H21" s="1655"/>
      <c r="I21" s="1655"/>
      <c r="J21" s="1231"/>
      <c r="K21" s="1655"/>
      <c r="L21" s="1655"/>
      <c r="M21" s="1655"/>
      <c r="N21" s="1231"/>
      <c r="O21" s="1231"/>
      <c r="R21" s="1231"/>
      <c r="S21" s="1231"/>
    </row>
    <row r="22" spans="1:19" s="17" customFormat="1" ht="23.25" customHeight="1">
      <c r="A22" s="1233"/>
      <c r="B22" s="1230"/>
      <c r="C22" s="1655"/>
      <c r="D22" s="1655"/>
      <c r="E22" s="1655"/>
      <c r="F22" s="1233"/>
      <c r="G22" s="1655"/>
      <c r="H22" s="1655"/>
      <c r="I22" s="1655"/>
      <c r="J22" s="1231"/>
      <c r="K22" s="1655"/>
      <c r="L22" s="1655"/>
      <c r="M22" s="1655"/>
      <c r="N22" s="1231"/>
      <c r="O22" s="1231"/>
      <c r="R22" s="1231"/>
      <c r="S22" s="1231"/>
    </row>
    <row r="23" spans="1:19" ht="14.25">
      <c r="A23" s="124"/>
      <c r="B23" s="124"/>
      <c r="C23" s="124"/>
      <c r="D23" s="124"/>
      <c r="E23" s="124"/>
      <c r="F23" s="124"/>
      <c r="G23" s="124"/>
      <c r="H23" s="124"/>
      <c r="I23" s="124"/>
      <c r="J23" s="124"/>
      <c r="K23" s="124"/>
      <c r="L23" s="124"/>
      <c r="M23" s="124"/>
      <c r="N23" s="9"/>
    </row>
    <row r="24" spans="1:19" ht="14.25">
      <c r="A24" s="125"/>
      <c r="B24" s="125"/>
      <c r="C24" s="125"/>
      <c r="D24" s="125"/>
      <c r="E24" s="125"/>
      <c r="F24" s="125"/>
      <c r="G24" s="125"/>
      <c r="H24" s="125"/>
      <c r="I24" s="125"/>
      <c r="J24" s="125"/>
      <c r="K24" s="125"/>
      <c r="L24" s="125"/>
      <c r="M24" s="125"/>
      <c r="N24" s="9"/>
    </row>
    <row r="25" spans="1:19" ht="14.25">
      <c r="A25" s="9"/>
      <c r="B25" s="9" t="s">
        <v>51</v>
      </c>
      <c r="C25" s="9"/>
      <c r="D25" s="9"/>
      <c r="E25" s="9"/>
      <c r="F25" s="9"/>
      <c r="G25" s="9"/>
      <c r="H25" s="9"/>
      <c r="I25" s="9"/>
      <c r="J25" s="9"/>
      <c r="K25" s="9"/>
      <c r="L25" s="9"/>
      <c r="M25" s="131"/>
      <c r="N25" s="100"/>
    </row>
    <row r="26" spans="1:19" ht="14.25">
      <c r="A26" s="9"/>
      <c r="B26" s="1654" t="str">
        <f>""&amp;'Budget-ADA'!K7&amp;" CHARTER SCHOOL INTERIM REPORT -- ALTERNATIVE FORM:  This report has been reviewed pursuant to Education Code 47604.32(a) is hereby filed with the County Superintendent pursuant to Education Code Section 47604.33."</f>
        <v>2022-23 CHARTER SCHOOL INTERIM REPORT -- ALTERNATIVE FORM:  This report has been reviewed pursuant to Education Code 47604.32(a) is hereby filed with the County Superintendent pursuant to Education Code Section 47604.33.</v>
      </c>
      <c r="C26" s="1654"/>
      <c r="D26" s="1654"/>
      <c r="E26" s="1654"/>
      <c r="F26" s="1654"/>
      <c r="G26" s="1654"/>
      <c r="H26" s="1654"/>
      <c r="I26" s="1654"/>
      <c r="J26" s="1654"/>
      <c r="K26" s="1654"/>
      <c r="L26" s="1654"/>
      <c r="M26" s="1654"/>
      <c r="N26" s="100"/>
    </row>
    <row r="27" spans="1:19" ht="14.25">
      <c r="A27" s="9"/>
      <c r="B27" s="1654"/>
      <c r="C27" s="1654"/>
      <c r="D27" s="1654"/>
      <c r="E27" s="1654"/>
      <c r="F27" s="1654"/>
      <c r="G27" s="1654"/>
      <c r="H27" s="1654"/>
      <c r="I27" s="1654"/>
      <c r="J27" s="1654"/>
      <c r="K27" s="1654"/>
      <c r="L27" s="1654"/>
      <c r="M27" s="1654"/>
      <c r="N27" s="100"/>
    </row>
    <row r="28" spans="1:19" ht="27" customHeight="1">
      <c r="A28" s="9"/>
      <c r="B28" s="9" t="s">
        <v>45</v>
      </c>
      <c r="C28" s="1650"/>
      <c r="D28" s="1650"/>
      <c r="E28" s="1650"/>
      <c r="F28" s="1650"/>
      <c r="G28" s="1650"/>
      <c r="H28" s="9"/>
      <c r="I28" s="9" t="s">
        <v>46</v>
      </c>
      <c r="J28" s="1651"/>
      <c r="K28" s="1651"/>
      <c r="L28" s="1651"/>
      <c r="M28" s="9"/>
      <c r="N28" s="100"/>
    </row>
    <row r="29" spans="1:19" ht="25.5" customHeight="1">
      <c r="A29" s="100"/>
      <c r="B29" s="100"/>
      <c r="C29" s="127" t="s">
        <v>52</v>
      </c>
      <c r="D29" s="127"/>
      <c r="E29" s="127"/>
      <c r="F29" s="127"/>
      <c r="G29" s="127"/>
      <c r="H29" s="100"/>
      <c r="I29" s="100"/>
      <c r="J29" s="128"/>
      <c r="K29" s="128"/>
      <c r="L29" s="128"/>
      <c r="M29" s="100"/>
      <c r="N29" s="100"/>
    </row>
    <row r="30" spans="1:19">
      <c r="A30" s="100"/>
      <c r="B30" s="100"/>
      <c r="C30" s="109" t="s">
        <v>48</v>
      </c>
      <c r="D30" s="109"/>
      <c r="E30" s="109"/>
      <c r="F30" s="109"/>
      <c r="G30" s="109"/>
      <c r="H30" s="100"/>
      <c r="I30" s="100"/>
      <c r="J30" s="100"/>
      <c r="K30" s="100"/>
      <c r="L30" s="100"/>
      <c r="M30" s="100"/>
      <c r="N30" s="100"/>
    </row>
    <row r="31" spans="1:19" ht="28.5">
      <c r="A31" s="9"/>
      <c r="B31" s="123" t="s">
        <v>49</v>
      </c>
      <c r="C31" s="1648" t="s">
        <v>518</v>
      </c>
      <c r="D31" s="1648"/>
      <c r="E31" s="1648"/>
      <c r="F31" s="1648"/>
      <c r="G31" s="1648"/>
      <c r="H31" s="9"/>
      <c r="I31" s="9" t="s">
        <v>50</v>
      </c>
      <c r="J31" s="1648" t="s">
        <v>519</v>
      </c>
      <c r="K31" s="1648"/>
      <c r="L31" s="1648"/>
      <c r="M31" s="9"/>
      <c r="N31" s="100"/>
    </row>
    <row r="32" spans="1:19" ht="14.25">
      <c r="A32" s="100"/>
      <c r="B32" s="100"/>
      <c r="C32" s="100"/>
      <c r="D32" s="9"/>
      <c r="E32" s="123"/>
      <c r="F32" s="139"/>
      <c r="G32" s="139"/>
      <c r="H32" s="139"/>
      <c r="I32" s="139"/>
      <c r="J32" s="139"/>
      <c r="K32" s="9"/>
      <c r="L32" s="9"/>
      <c r="M32" s="139"/>
      <c r="N32" s="139"/>
      <c r="O32" s="139"/>
      <c r="P32" s="9"/>
      <c r="Q32" s="100"/>
      <c r="R32" s="100"/>
      <c r="S32" s="100"/>
    </row>
    <row r="33" spans="1:19" ht="14.25">
      <c r="A33" s="223"/>
      <c r="B33" s="1232"/>
      <c r="C33" s="1231" t="s">
        <v>429</v>
      </c>
      <c r="D33" s="1231"/>
      <c r="E33" s="1229"/>
      <c r="F33" s="1232"/>
      <c r="G33" s="1231" t="s">
        <v>428</v>
      </c>
      <c r="H33" s="1231"/>
      <c r="I33" s="17"/>
      <c r="J33" s="1232"/>
      <c r="K33" s="1231" t="s">
        <v>430</v>
      </c>
      <c r="L33" s="17"/>
      <c r="M33" s="17"/>
      <c r="N33" s="9"/>
      <c r="O33" s="139"/>
      <c r="P33" s="9"/>
      <c r="Q33" s="100"/>
      <c r="R33" s="100"/>
      <c r="S33" s="100"/>
    </row>
    <row r="34" spans="1:19" ht="29.25" customHeight="1">
      <c r="A34" s="223"/>
      <c r="B34" s="1230"/>
      <c r="C34" s="1655" t="s">
        <v>459</v>
      </c>
      <c r="D34" s="1655"/>
      <c r="E34" s="1655"/>
      <c r="F34" s="1230"/>
      <c r="G34" s="1655" t="s">
        <v>460</v>
      </c>
      <c r="H34" s="1655"/>
      <c r="I34" s="1655"/>
      <c r="J34" s="1231"/>
      <c r="K34" s="1655" t="s">
        <v>461</v>
      </c>
      <c r="L34" s="1655"/>
      <c r="M34" s="1655"/>
      <c r="N34" s="9"/>
      <c r="O34" s="9"/>
      <c r="P34" s="9"/>
      <c r="Q34" s="9"/>
      <c r="R34" s="9"/>
      <c r="S34" s="100"/>
    </row>
    <row r="35" spans="1:19" ht="14.25">
      <c r="A35" s="223"/>
      <c r="B35" s="1230"/>
      <c r="C35" s="1655"/>
      <c r="D35" s="1655"/>
      <c r="E35" s="1655"/>
      <c r="F35" s="1230"/>
      <c r="G35" s="1655"/>
      <c r="H35" s="1655"/>
      <c r="I35" s="1655"/>
      <c r="J35" s="1231"/>
      <c r="K35" s="1655"/>
      <c r="L35" s="1655"/>
      <c r="M35" s="1655"/>
      <c r="N35" s="9"/>
    </row>
    <row r="36" spans="1:19" ht="14.25">
      <c r="A36" s="9"/>
      <c r="B36" s="1230"/>
      <c r="C36" s="1655"/>
      <c r="D36" s="1655"/>
      <c r="E36" s="1655"/>
      <c r="F36" s="1230"/>
      <c r="G36" s="1655"/>
      <c r="H36" s="1655"/>
      <c r="I36" s="1655"/>
      <c r="J36" s="1231"/>
      <c r="K36" s="1655"/>
      <c r="L36" s="1655"/>
      <c r="M36" s="1655"/>
      <c r="N36" s="100"/>
    </row>
    <row r="37" spans="1:19" ht="14.25" customHeight="1">
      <c r="A37" s="9"/>
      <c r="B37" s="1230"/>
      <c r="C37" s="1655"/>
      <c r="D37" s="1655"/>
      <c r="E37" s="1655"/>
      <c r="F37" s="1233"/>
      <c r="G37" s="1655"/>
      <c r="H37" s="1655"/>
      <c r="I37" s="1655"/>
      <c r="J37" s="1231"/>
      <c r="K37" s="1655"/>
      <c r="L37" s="1655"/>
      <c r="M37" s="1655"/>
      <c r="N37" s="100"/>
    </row>
    <row r="38" spans="1:19" ht="14.25">
      <c r="A38" s="124"/>
      <c r="B38" s="124"/>
      <c r="C38" s="124"/>
      <c r="D38" s="124"/>
      <c r="E38" s="124"/>
      <c r="F38" s="124"/>
      <c r="G38" s="124"/>
      <c r="H38" s="124"/>
      <c r="I38" s="124"/>
      <c r="J38" s="124"/>
      <c r="K38" s="124"/>
      <c r="L38" s="124"/>
      <c r="M38" s="124"/>
      <c r="N38" s="100"/>
    </row>
    <row r="39" spans="1:19" ht="14.25">
      <c r="A39" s="9"/>
      <c r="B39" s="125" t="s">
        <v>2</v>
      </c>
      <c r="C39" s="125"/>
      <c r="D39" s="125"/>
      <c r="E39" s="125"/>
      <c r="F39" s="125"/>
      <c r="G39" s="125"/>
      <c r="H39" s="125"/>
      <c r="I39" s="125"/>
      <c r="J39" s="125"/>
      <c r="K39" s="125"/>
      <c r="L39" s="125"/>
      <c r="M39" s="126"/>
      <c r="N39" s="100"/>
    </row>
    <row r="40" spans="1:19">
      <c r="A40" s="100"/>
      <c r="B40" s="1654" t="str">
        <f>""&amp;'Budget-ADA'!K7&amp;" CHARTER SCHOOL INTERIM REPORT -- ALTERNATIVE FORM:  This report has been received by the County Superintendent of Schools pursuant to Education Code Section 47604.33(1)."</f>
        <v>2022-23 CHARTER SCHOOL INTERIM REPORT -- ALTERNATIVE FORM:  This report has been received by the County Superintendent of Schools pursuant to Education Code Section 47604.33(1).</v>
      </c>
      <c r="C40" s="1654"/>
      <c r="D40" s="1654"/>
      <c r="E40" s="1654"/>
      <c r="F40" s="1654"/>
      <c r="G40" s="1654"/>
      <c r="H40" s="1654"/>
      <c r="I40" s="1654"/>
      <c r="J40" s="1654"/>
      <c r="K40" s="1654"/>
      <c r="L40" s="1654"/>
      <c r="M40" s="1654"/>
      <c r="N40" s="100"/>
    </row>
    <row r="41" spans="1:19">
      <c r="A41" s="100"/>
      <c r="B41" s="1654"/>
      <c r="C41" s="1654"/>
      <c r="D41" s="1654"/>
      <c r="E41" s="1654"/>
      <c r="F41" s="1654"/>
      <c r="G41" s="1654"/>
      <c r="H41" s="1654"/>
      <c r="I41" s="1654"/>
      <c r="J41" s="1654"/>
      <c r="K41" s="1654"/>
      <c r="L41" s="1654"/>
      <c r="M41" s="1654"/>
      <c r="N41" s="100"/>
    </row>
    <row r="42" spans="1:19" ht="35.25" customHeight="1">
      <c r="A42" s="100"/>
      <c r="B42" s="9" t="s">
        <v>45</v>
      </c>
      <c r="C42" s="1650"/>
      <c r="D42" s="1650"/>
      <c r="E42" s="1650"/>
      <c r="F42" s="1650"/>
      <c r="G42" s="1650"/>
      <c r="H42" s="9"/>
      <c r="I42" s="9" t="s">
        <v>46</v>
      </c>
      <c r="J42" s="1651"/>
      <c r="K42" s="1651"/>
      <c r="L42" s="1651"/>
      <c r="M42" s="9"/>
      <c r="N42" s="8"/>
      <c r="O42" s="8"/>
      <c r="P42" s="8"/>
    </row>
    <row r="43" spans="1:19" ht="14.25">
      <c r="A43" s="100"/>
      <c r="B43" s="9"/>
      <c r="C43" s="109" t="s">
        <v>53</v>
      </c>
      <c r="D43" s="109"/>
      <c r="E43" s="109"/>
      <c r="F43" s="109"/>
      <c r="G43" s="109"/>
      <c r="H43" s="129"/>
      <c r="I43" s="9"/>
      <c r="J43" s="9"/>
      <c r="K43" s="9"/>
      <c r="L43" s="9"/>
      <c r="M43" s="9"/>
      <c r="N43" s="8"/>
      <c r="O43" s="8"/>
      <c r="P43" s="8"/>
    </row>
    <row r="44" spans="1:19" ht="14.25">
      <c r="A44" s="100"/>
      <c r="B44" s="9"/>
      <c r="C44" s="109" t="s">
        <v>48</v>
      </c>
      <c r="D44" s="109"/>
      <c r="E44" s="109"/>
      <c r="F44" s="109"/>
      <c r="G44" s="109"/>
      <c r="H44" s="129"/>
      <c r="I44" s="9"/>
      <c r="J44" s="9"/>
      <c r="K44" s="9"/>
      <c r="L44" s="9"/>
      <c r="M44" s="9"/>
      <c r="N44" s="8"/>
      <c r="O44" s="8"/>
      <c r="P44" s="8"/>
    </row>
    <row r="45" spans="1:19" ht="20.25" customHeight="1" thickBot="1">
      <c r="A45" s="117"/>
      <c r="B45" s="117"/>
      <c r="C45" s="117"/>
      <c r="D45" s="117"/>
      <c r="E45" s="117"/>
      <c r="F45" s="117"/>
      <c r="G45" s="117"/>
      <c r="H45" s="117"/>
      <c r="I45" s="117"/>
      <c r="J45" s="117"/>
      <c r="K45" s="117"/>
      <c r="L45" s="117"/>
      <c r="M45" s="117"/>
      <c r="N45" s="8"/>
      <c r="O45" s="8"/>
      <c r="P45" s="8"/>
    </row>
    <row r="46" spans="1:19" ht="13.5" thickTop="1">
      <c r="A46" s="100"/>
      <c r="B46" s="222"/>
      <c r="C46" s="222"/>
      <c r="D46" s="222"/>
      <c r="E46" s="222"/>
      <c r="F46" s="222"/>
      <c r="G46" s="222"/>
      <c r="H46" s="222"/>
      <c r="I46" s="222"/>
      <c r="J46" s="222"/>
      <c r="K46" s="222"/>
      <c r="L46" s="222"/>
      <c r="M46" s="222"/>
      <c r="N46" s="8"/>
      <c r="O46" s="8"/>
      <c r="P46" s="8"/>
    </row>
    <row r="47" spans="1:19" ht="27.75" customHeight="1">
      <c r="A47" s="100"/>
      <c r="B47" s="9" t="s">
        <v>59</v>
      </c>
      <c r="C47" s="131"/>
      <c r="D47" s="131"/>
      <c r="E47" s="131"/>
      <c r="F47" s="131"/>
      <c r="G47" s="131"/>
      <c r="H47" s="131"/>
      <c r="I47" s="131"/>
      <c r="J47" s="131"/>
      <c r="K47" s="131"/>
      <c r="L47" s="131"/>
      <c r="M47" s="100"/>
      <c r="N47" s="8"/>
      <c r="O47" s="8"/>
      <c r="P47" s="8"/>
    </row>
    <row r="48" spans="1:19">
      <c r="A48" s="100"/>
      <c r="B48" s="100"/>
      <c r="C48" s="100"/>
      <c r="D48" s="100"/>
      <c r="E48" s="100"/>
      <c r="F48" s="100"/>
      <c r="G48" s="100"/>
      <c r="H48" s="100"/>
      <c r="I48" s="100"/>
      <c r="J48" s="100"/>
      <c r="K48" s="100"/>
      <c r="L48" s="100"/>
      <c r="M48" s="100"/>
      <c r="N48" s="8"/>
      <c r="O48" s="8"/>
      <c r="P48" s="8"/>
    </row>
    <row r="49" spans="1:16" ht="14.25">
      <c r="A49" s="100"/>
      <c r="B49" s="130" t="s">
        <v>371</v>
      </c>
      <c r="C49" s="131"/>
      <c r="D49" s="131"/>
      <c r="E49" s="131"/>
      <c r="F49" s="131"/>
      <c r="G49" s="131"/>
      <c r="H49" s="9"/>
      <c r="I49" s="130" t="s">
        <v>54</v>
      </c>
      <c r="J49" s="131"/>
      <c r="K49" s="131"/>
      <c r="L49" s="131"/>
      <c r="M49" s="131"/>
      <c r="N49" s="8"/>
      <c r="O49" s="8"/>
      <c r="P49" s="8"/>
    </row>
    <row r="50" spans="1:16" ht="24.75" customHeight="1">
      <c r="A50" s="9"/>
      <c r="B50" s="1648" t="s">
        <v>520</v>
      </c>
      <c r="C50" s="1648"/>
      <c r="D50" s="1648"/>
      <c r="E50" s="1648"/>
      <c r="F50" s="1648"/>
      <c r="G50" s="1648"/>
      <c r="H50" s="9"/>
      <c r="I50" s="1652"/>
      <c r="J50" s="1652"/>
      <c r="K50" s="1652"/>
      <c r="L50" s="1652"/>
      <c r="M50" s="1652"/>
      <c r="N50" s="9"/>
      <c r="O50" s="9"/>
      <c r="P50" s="9"/>
    </row>
    <row r="51" spans="1:16" ht="14.25">
      <c r="A51" s="9"/>
      <c r="B51" s="132" t="s">
        <v>55</v>
      </c>
      <c r="C51" s="132"/>
      <c r="D51" s="132"/>
      <c r="E51" s="132"/>
      <c r="F51" s="132"/>
      <c r="G51" s="133"/>
      <c r="H51" s="9"/>
      <c r="I51" s="132" t="s">
        <v>55</v>
      </c>
      <c r="J51" s="132"/>
      <c r="K51" s="132"/>
      <c r="L51" s="132"/>
      <c r="M51" s="132"/>
      <c r="N51" s="9"/>
      <c r="O51" s="9"/>
      <c r="P51" s="9"/>
    </row>
    <row r="52" spans="1:16" ht="24.75" customHeight="1">
      <c r="A52" s="9"/>
      <c r="B52" s="1648" t="s">
        <v>521</v>
      </c>
      <c r="C52" s="1648"/>
      <c r="D52" s="1648"/>
      <c r="E52" s="1648"/>
      <c r="F52" s="1648"/>
      <c r="G52" s="1648"/>
      <c r="H52" s="9"/>
      <c r="I52" s="1648"/>
      <c r="J52" s="1648"/>
      <c r="K52" s="1648"/>
      <c r="L52" s="1648"/>
      <c r="M52" s="1648"/>
      <c r="N52" s="9"/>
      <c r="O52" s="9"/>
      <c r="P52" s="9"/>
    </row>
    <row r="53" spans="1:16" ht="14.25">
      <c r="A53" s="100"/>
      <c r="B53" s="132" t="s">
        <v>56</v>
      </c>
      <c r="C53" s="132"/>
      <c r="D53" s="132"/>
      <c r="E53" s="132"/>
      <c r="F53" s="132"/>
      <c r="G53" s="132"/>
      <c r="H53" s="9"/>
      <c r="I53" s="132" t="s">
        <v>56</v>
      </c>
      <c r="J53" s="132"/>
      <c r="K53" s="132"/>
      <c r="L53" s="132"/>
      <c r="M53" s="133"/>
      <c r="N53" s="100"/>
    </row>
    <row r="54" spans="1:16" ht="25.5" customHeight="1">
      <c r="A54" s="100"/>
      <c r="B54" s="1648" t="s">
        <v>522</v>
      </c>
      <c r="C54" s="1648"/>
      <c r="D54" s="1648"/>
      <c r="E54" s="1648"/>
      <c r="F54" s="1648"/>
      <c r="G54" s="1648"/>
      <c r="H54" s="9"/>
      <c r="I54" s="1652"/>
      <c r="J54" s="1652"/>
      <c r="K54" s="1652"/>
      <c r="L54" s="1652"/>
      <c r="M54" s="1652"/>
      <c r="N54" s="100"/>
    </row>
    <row r="55" spans="1:16" ht="14.25">
      <c r="A55" s="100"/>
      <c r="B55" s="132" t="s">
        <v>57</v>
      </c>
      <c r="C55" s="132"/>
      <c r="D55" s="132"/>
      <c r="E55" s="132"/>
      <c r="F55" s="132"/>
      <c r="G55" s="132"/>
      <c r="H55" s="9"/>
      <c r="I55" s="132" t="s">
        <v>57</v>
      </c>
      <c r="J55" s="132"/>
      <c r="K55" s="132"/>
      <c r="L55" s="132"/>
      <c r="M55" s="132"/>
      <c r="N55" s="100"/>
    </row>
    <row r="56" spans="1:16" ht="24.75" customHeight="1">
      <c r="A56" s="100"/>
      <c r="B56" s="1648" t="s">
        <v>523</v>
      </c>
      <c r="C56" s="1648"/>
      <c r="D56" s="1648"/>
      <c r="E56" s="1648"/>
      <c r="F56" s="1648"/>
      <c r="G56" s="1648"/>
      <c r="H56" s="9"/>
      <c r="I56" s="1649"/>
      <c r="J56" s="1649"/>
      <c r="K56" s="1649"/>
      <c r="L56" s="1649"/>
      <c r="M56" s="1649"/>
      <c r="N56" s="100"/>
    </row>
    <row r="57" spans="1:16" ht="14.25">
      <c r="A57" s="100"/>
      <c r="B57" s="132" t="s">
        <v>58</v>
      </c>
      <c r="C57" s="132"/>
      <c r="D57" s="132"/>
      <c r="E57" s="132"/>
      <c r="F57" s="132"/>
      <c r="G57" s="133"/>
      <c r="H57" s="9"/>
      <c r="I57" s="132" t="s">
        <v>58</v>
      </c>
      <c r="J57" s="132"/>
      <c r="K57" s="132"/>
      <c r="L57" s="132"/>
      <c r="M57" s="132"/>
      <c r="N57" s="100"/>
    </row>
    <row r="58" spans="1:16">
      <c r="A58" s="100"/>
      <c r="B58" s="100"/>
      <c r="C58" s="100"/>
      <c r="D58" s="100"/>
      <c r="E58" s="100"/>
      <c r="F58" s="100"/>
      <c r="G58" s="100"/>
      <c r="H58" s="100"/>
      <c r="I58" s="100"/>
      <c r="J58" s="100"/>
      <c r="K58" s="100"/>
      <c r="L58" s="100"/>
      <c r="M58" s="100"/>
      <c r="N58" s="100"/>
    </row>
    <row r="59" spans="1:16">
      <c r="A59" s="100"/>
      <c r="B59" s="100"/>
      <c r="C59" s="100"/>
      <c r="D59" s="100"/>
      <c r="E59" s="100"/>
      <c r="F59" s="100"/>
      <c r="G59" s="100"/>
      <c r="H59" s="100"/>
      <c r="I59" s="100"/>
      <c r="J59" s="100"/>
      <c r="K59" s="100"/>
      <c r="L59" s="100"/>
      <c r="M59" s="100"/>
      <c r="N59" s="100"/>
    </row>
    <row r="60" spans="1:16">
      <c r="A60" s="100"/>
      <c r="B60" s="100"/>
      <c r="C60" s="100"/>
      <c r="D60" s="100"/>
      <c r="E60" s="100"/>
      <c r="F60" s="100"/>
      <c r="G60" s="100"/>
      <c r="H60" s="100"/>
      <c r="I60" s="100"/>
      <c r="J60" s="100"/>
      <c r="K60" s="100"/>
      <c r="L60" s="100"/>
      <c r="M60" s="100"/>
      <c r="N60" s="100"/>
    </row>
    <row r="61" spans="1:16">
      <c r="B61" s="100"/>
      <c r="C61" s="100"/>
      <c r="D61" s="100"/>
      <c r="E61" s="100"/>
      <c r="F61" s="100"/>
      <c r="G61" s="100"/>
      <c r="H61" s="100"/>
      <c r="I61" s="100"/>
      <c r="J61" s="100"/>
      <c r="K61" s="100"/>
      <c r="L61" s="100"/>
      <c r="M61" s="100"/>
    </row>
    <row r="62" spans="1:16">
      <c r="B62" s="100"/>
      <c r="C62" s="100"/>
      <c r="D62" s="100"/>
      <c r="E62" s="100"/>
      <c r="F62" s="100"/>
      <c r="G62" s="100"/>
      <c r="H62" s="100"/>
      <c r="I62" s="100"/>
      <c r="J62" s="100"/>
      <c r="K62" s="100"/>
      <c r="L62" s="100"/>
      <c r="M62" s="100"/>
    </row>
    <row r="63" spans="1:16">
      <c r="B63" s="100"/>
      <c r="C63" s="100"/>
      <c r="D63" s="100"/>
      <c r="E63" s="100"/>
      <c r="F63" s="100"/>
      <c r="G63" s="100"/>
      <c r="H63" s="100"/>
      <c r="I63" s="100"/>
      <c r="J63" s="100"/>
      <c r="K63" s="100"/>
      <c r="L63" s="100"/>
      <c r="M63" s="100"/>
    </row>
    <row r="64" spans="1:16">
      <c r="B64" s="100"/>
      <c r="C64" s="100"/>
      <c r="D64" s="100"/>
      <c r="E64" s="100"/>
      <c r="F64" s="100"/>
      <c r="G64" s="100"/>
      <c r="H64" s="100"/>
      <c r="I64" s="100"/>
      <c r="J64" s="100"/>
      <c r="K64" s="100"/>
      <c r="L64" s="100"/>
      <c r="M64" s="100"/>
    </row>
    <row r="65" spans="2:13">
      <c r="B65" s="100"/>
      <c r="C65" s="100"/>
      <c r="D65" s="100"/>
      <c r="E65" s="100"/>
      <c r="F65" s="100"/>
      <c r="G65" s="100"/>
      <c r="H65" s="100"/>
      <c r="I65" s="100"/>
      <c r="J65" s="100"/>
      <c r="K65" s="100"/>
      <c r="L65" s="100"/>
      <c r="M65" s="100"/>
    </row>
  </sheetData>
  <sheetProtection password="D94D" sheet="1"/>
  <mergeCells count="28">
    <mergeCell ref="C31:G31"/>
    <mergeCell ref="J31:L31"/>
    <mergeCell ref="B40:M41"/>
    <mergeCell ref="C11:G11"/>
    <mergeCell ref="I50:M50"/>
    <mergeCell ref="C14:G14"/>
    <mergeCell ref="J14:L14"/>
    <mergeCell ref="B26:M27"/>
    <mergeCell ref="C28:G28"/>
    <mergeCell ref="J28:L28"/>
    <mergeCell ref="C34:E37"/>
    <mergeCell ref="G34:I37"/>
    <mergeCell ref="K34:M37"/>
    <mergeCell ref="H2:M2"/>
    <mergeCell ref="J11:L11"/>
    <mergeCell ref="B9:M10"/>
    <mergeCell ref="C19:E22"/>
    <mergeCell ref="G19:I22"/>
    <mergeCell ref="K19:M22"/>
    <mergeCell ref="B56:G56"/>
    <mergeCell ref="I56:M56"/>
    <mergeCell ref="C42:G42"/>
    <mergeCell ref="J42:L42"/>
    <mergeCell ref="B50:G50"/>
    <mergeCell ref="B54:G54"/>
    <mergeCell ref="I54:M54"/>
    <mergeCell ref="B52:G52"/>
    <mergeCell ref="I52:M52"/>
  </mergeCells>
  <printOptions horizontalCentered="1"/>
  <pageMargins left="0.25" right="0.25" top="0.75" bottom="0.75" header="0.3" footer="0.3"/>
  <pageSetup scale="7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6" tint="-0.249977111117893"/>
    <pageSetUpPr fitToPage="1"/>
  </sheetPr>
  <dimension ref="A1:Y88"/>
  <sheetViews>
    <sheetView showGridLines="0" zoomScaleNormal="100" workbookViewId="0">
      <pane xSplit="8" ySplit="9" topLeftCell="I10" activePane="bottomRight" state="frozen"/>
      <selection activeCell="J13" sqref="J13"/>
      <selection pane="topRight" activeCell="J13" sqref="J13"/>
      <selection pane="bottomLeft" activeCell="J13" sqref="J13"/>
      <selection pane="bottomRight" activeCell="N12" sqref="N12:N19"/>
    </sheetView>
  </sheetViews>
  <sheetFormatPr defaultRowHeight="12.75"/>
  <cols>
    <col min="1" max="1" width="2.7109375" customWidth="1"/>
    <col min="9" max="9" width="14" style="93" customWidth="1"/>
    <col min="10" max="10" width="18.7109375" customWidth="1"/>
    <col min="11" max="11" width="14" customWidth="1"/>
    <col min="12" max="12" width="18.42578125" customWidth="1"/>
    <col min="13" max="14" width="14" customWidth="1"/>
    <col min="15" max="15" width="17.28515625" customWidth="1"/>
    <col min="16" max="17" width="14" customWidth="1"/>
    <col min="18" max="18" width="17.28515625" customWidth="1"/>
    <col min="19" max="19" width="14" customWidth="1"/>
    <col min="20" max="20" width="117.42578125" style="1203" customWidth="1"/>
    <col min="21" max="214" width="9.28515625" customWidth="1"/>
  </cols>
  <sheetData>
    <row r="1" spans="1:25" ht="15.75">
      <c r="A1" s="43" t="s">
        <v>39</v>
      </c>
      <c r="B1" s="44"/>
      <c r="C1" s="45"/>
      <c r="D1" s="45"/>
      <c r="E1" s="45"/>
      <c r="F1" s="45"/>
      <c r="G1" s="45"/>
      <c r="H1" s="103"/>
      <c r="I1" s="1684" t="str">
        <f>IF('BUDGET-CERTIFICATION'!$H$1="","CHARTER NAME: Enter Charter Name on BUDGET-CERTIFICATION Worksheet",(CONCATENATE("CHARTER NAME: ",'BUDGET-CERTIFICATION'!$H$1)))</f>
        <v>CHARTER NAME: Elite Academic Academy - Virtual Prep Lucerne</v>
      </c>
      <c r="J1" s="1684"/>
      <c r="K1" s="1684"/>
      <c r="L1" s="1684"/>
      <c r="M1" s="1684"/>
      <c r="N1" s="1684"/>
      <c r="O1" s="205"/>
      <c r="P1" s="205"/>
      <c r="Q1" s="258"/>
      <c r="R1" s="258"/>
      <c r="S1" s="259"/>
      <c r="U1" s="1203"/>
      <c r="V1" s="1203"/>
      <c r="W1" s="1203"/>
      <c r="X1" s="1203"/>
      <c r="Y1" s="1203"/>
    </row>
    <row r="2" spans="1:25" ht="16.5" thickBot="1">
      <c r="A2" s="1582" t="str">
        <f>Instructions!H1</f>
        <v>Form Orignated 5/16/2022</v>
      </c>
      <c r="C2" s="34"/>
      <c r="D2" s="34"/>
      <c r="E2" s="34"/>
      <c r="F2" s="34"/>
      <c r="G2" s="34"/>
      <c r="H2" s="104"/>
      <c r="I2" s="1685" t="str">
        <f>IF('BUDGET-CERTIFICATION'!$H$5="","CHARTER #: Enter Charter # on BUDGET-CERTIFICATION Worksheet",(_xlfn.CONCAT("CHARTER #: ",'BUDGET-CERTIFICATION'!$H$5)))</f>
        <v>CHARTER #: 1975</v>
      </c>
      <c r="J2" s="1685"/>
      <c r="K2" s="1685"/>
      <c r="L2" s="1685"/>
      <c r="M2" s="1685"/>
      <c r="N2" s="1685"/>
      <c r="O2" s="206"/>
      <c r="P2" s="11"/>
      <c r="S2" s="261"/>
    </row>
    <row r="3" spans="1:25" ht="16.5" thickTop="1">
      <c r="A3" s="260"/>
      <c r="B3" s="33"/>
      <c r="C3" s="34"/>
      <c r="D3" s="34"/>
      <c r="E3" s="34"/>
      <c r="F3" s="34"/>
      <c r="G3" s="34"/>
      <c r="H3" s="35"/>
      <c r="I3" s="999"/>
      <c r="J3" s="35"/>
      <c r="K3" s="35"/>
      <c r="L3" s="35"/>
      <c r="M3" s="35"/>
      <c r="N3" s="35"/>
      <c r="O3" s="35"/>
      <c r="P3" s="35"/>
      <c r="S3" s="262"/>
    </row>
    <row r="4" spans="1:25" ht="15.75">
      <c r="A4" s="40"/>
      <c r="B4" s="36"/>
      <c r="E4" s="37"/>
      <c r="F4" s="37"/>
      <c r="G4" s="37"/>
      <c r="H4" s="37"/>
      <c r="I4" s="1686" t="str">
        <f>"Fiscal Year "&amp;K7&amp;" Budget"</f>
        <v>Fiscal Year 2022-23 Budget</v>
      </c>
      <c r="J4" s="1686"/>
      <c r="K4" s="1686"/>
      <c r="L4" s="37"/>
      <c r="M4" s="37"/>
      <c r="N4" s="37"/>
      <c r="O4" s="37"/>
      <c r="P4" s="37"/>
      <c r="R4" s="88"/>
      <c r="S4" s="263"/>
    </row>
    <row r="5" spans="1:25" ht="15.75">
      <c r="A5" s="40"/>
      <c r="B5" s="36"/>
      <c r="C5" s="36"/>
      <c r="E5" s="37"/>
      <c r="F5" s="37"/>
      <c r="G5" s="37"/>
      <c r="H5" s="37"/>
      <c r="I5" s="37"/>
      <c r="J5" s="37" t="s">
        <v>197</v>
      </c>
      <c r="K5" s="37"/>
      <c r="L5" s="37"/>
      <c r="M5" s="37"/>
      <c r="N5" s="37"/>
      <c r="O5" s="37"/>
      <c r="P5" s="37"/>
      <c r="R5" s="88"/>
      <c r="S5" s="263"/>
    </row>
    <row r="6" spans="1:25" ht="16.5" thickBot="1">
      <c r="A6" s="1662"/>
      <c r="B6" s="1663"/>
      <c r="C6" s="1663"/>
      <c r="D6" s="1663"/>
      <c r="E6" s="1663"/>
      <c r="F6" s="1663"/>
      <c r="G6" s="1663"/>
      <c r="H6" s="1663"/>
      <c r="I6" s="265"/>
      <c r="J6" s="264"/>
      <c r="K6" s="266"/>
      <c r="L6" s="266"/>
      <c r="M6" s="266"/>
      <c r="N6" s="267"/>
      <c r="O6" s="267"/>
      <c r="P6" s="267"/>
      <c r="Q6" s="176"/>
      <c r="R6" s="176"/>
      <c r="S6" s="268"/>
    </row>
    <row r="7" spans="1:25" ht="15.75" customHeight="1">
      <c r="A7" s="1676" t="str">
        <f>IF('BUDGET-CERTIFICATION'!$H$3="","Charter Authorizer: Enter Charter Authorizer on BUDGET-CERTIFICATION Worksheet",(_xlfn.CONCAT("Charter Authorizer: ",'BUDGET-CERTIFICATION'!$H$3)))</f>
        <v>Charter Authorizer: Lucerne Valley Unified School District</v>
      </c>
      <c r="B7" s="1677"/>
      <c r="C7" s="1677"/>
      <c r="D7" s="1677"/>
      <c r="E7" s="1677"/>
      <c r="F7" s="1677"/>
      <c r="G7" s="1678"/>
      <c r="H7" s="242"/>
      <c r="I7" s="1687" t="s">
        <v>354</v>
      </c>
      <c r="J7" s="1688"/>
      <c r="K7" s="1689" t="s">
        <v>368</v>
      </c>
      <c r="L7" s="1690"/>
      <c r="M7" s="1691"/>
      <c r="N7" s="1689" t="s">
        <v>373</v>
      </c>
      <c r="O7" s="1690"/>
      <c r="P7" s="1691"/>
      <c r="Q7" s="1659" t="s">
        <v>505</v>
      </c>
      <c r="R7" s="1660"/>
      <c r="S7" s="1661"/>
    </row>
    <row r="8" spans="1:25" ht="21" thickBot="1">
      <c r="A8" s="1679"/>
      <c r="B8" s="1680"/>
      <c r="C8" s="1680"/>
      <c r="D8" s="1680"/>
      <c r="E8" s="1680"/>
      <c r="F8" s="1680"/>
      <c r="G8" s="1681"/>
      <c r="H8" s="40"/>
      <c r="I8" s="445" t="s">
        <v>196</v>
      </c>
      <c r="J8" s="446" t="s">
        <v>199</v>
      </c>
      <c r="K8" s="445" t="s">
        <v>197</v>
      </c>
      <c r="L8" s="447" t="s">
        <v>199</v>
      </c>
      <c r="M8" s="1667" t="s">
        <v>231</v>
      </c>
      <c r="N8" s="448" t="s">
        <v>197</v>
      </c>
      <c r="O8" s="447" t="s">
        <v>199</v>
      </c>
      <c r="P8" s="1667" t="s">
        <v>231</v>
      </c>
      <c r="Q8" s="445" t="s">
        <v>197</v>
      </c>
      <c r="R8" s="449" t="s">
        <v>199</v>
      </c>
      <c r="S8" s="1669" t="s">
        <v>231</v>
      </c>
    </row>
    <row r="9" spans="1:25" ht="16.5" thickBot="1">
      <c r="A9" s="422" t="s">
        <v>2</v>
      </c>
      <c r="B9" s="423"/>
      <c r="C9" s="423"/>
      <c r="D9" s="423"/>
      <c r="E9" s="424"/>
      <c r="F9" s="425"/>
      <c r="G9" s="664"/>
      <c r="H9" s="662" t="s">
        <v>37</v>
      </c>
      <c r="I9" s="233" t="s">
        <v>170</v>
      </c>
      <c r="J9" s="232"/>
      <c r="K9" s="233" t="s">
        <v>170</v>
      </c>
      <c r="L9" s="234"/>
      <c r="M9" s="1668"/>
      <c r="N9" s="235" t="s">
        <v>170</v>
      </c>
      <c r="O9" s="234"/>
      <c r="P9" s="1668"/>
      <c r="Q9" s="233" t="s">
        <v>170</v>
      </c>
      <c r="R9" s="234"/>
      <c r="S9" s="1670"/>
    </row>
    <row r="10" spans="1:25" ht="21.75" thickTop="1" thickBot="1">
      <c r="A10" s="663" t="s">
        <v>200</v>
      </c>
      <c r="B10" s="107"/>
      <c r="C10" s="107"/>
      <c r="D10" s="34"/>
      <c r="E10" s="34"/>
      <c r="F10" s="34"/>
      <c r="G10" s="1002">
        <v>1</v>
      </c>
      <c r="H10" s="625"/>
      <c r="I10" s="561"/>
      <c r="J10" s="560"/>
      <c r="K10" s="560"/>
      <c r="L10" s="560"/>
      <c r="M10" s="560"/>
      <c r="N10" s="560"/>
      <c r="O10" s="560"/>
      <c r="P10" s="560"/>
      <c r="Q10" s="560"/>
      <c r="R10" s="560"/>
      <c r="S10" s="562"/>
    </row>
    <row r="11" spans="1:25" ht="15.75">
      <c r="A11" s="42" t="s">
        <v>174</v>
      </c>
      <c r="B11" s="152"/>
      <c r="C11" s="152"/>
      <c r="D11" s="244"/>
      <c r="E11" s="244"/>
      <c r="F11" s="244"/>
      <c r="G11" s="244"/>
      <c r="H11" s="563"/>
      <c r="I11" s="440"/>
      <c r="J11" s="243"/>
      <c r="K11" s="243"/>
      <c r="L11" s="243"/>
      <c r="M11" s="243"/>
      <c r="N11" s="243"/>
      <c r="O11" s="243"/>
      <c r="P11" s="243"/>
      <c r="Q11" s="243"/>
      <c r="R11" s="243"/>
      <c r="S11" s="439"/>
    </row>
    <row r="12" spans="1:25" ht="15.75">
      <c r="A12" s="441"/>
      <c r="B12" s="247"/>
      <c r="C12" s="1674" t="s">
        <v>171</v>
      </c>
      <c r="D12" s="1674"/>
      <c r="E12" s="1674"/>
      <c r="F12" s="1674"/>
      <c r="G12" s="1675"/>
      <c r="H12" s="246" t="s">
        <v>175</v>
      </c>
      <c r="I12" s="249">
        <v>157.73795999999999</v>
      </c>
      <c r="J12" s="659"/>
      <c r="K12" s="250">
        <v>279.690050949051</v>
      </c>
      <c r="L12" s="660"/>
      <c r="M12" s="251">
        <f t="shared" ref="M12:M23" si="0">IF(I12&lt;1," ",IF(K12&lt;1," ",(K12-I12)/I12))</f>
        <v>0.77313089981036287</v>
      </c>
      <c r="N12" s="250">
        <v>279.690050949051</v>
      </c>
      <c r="O12" s="661"/>
      <c r="P12" s="252">
        <f t="shared" ref="P12:P23" si="1">IF(K12&lt;1," ",IF(N12&lt;1," ",(N12-K12)/K12))</f>
        <v>0</v>
      </c>
      <c r="Q12" s="250">
        <v>279.690050949051</v>
      </c>
      <c r="R12" s="660"/>
      <c r="S12" s="253">
        <f t="shared" ref="S12:S23" si="2">IF(N12&lt;1," ",IF(Q12&lt;1," ",(Q12-N12)/N12))</f>
        <v>0</v>
      </c>
    </row>
    <row r="13" spans="1:25" ht="15.75">
      <c r="A13" s="239"/>
      <c r="B13" s="247"/>
      <c r="C13" s="1682" t="s">
        <v>184</v>
      </c>
      <c r="D13" s="1682"/>
      <c r="E13" s="1682"/>
      <c r="F13" s="1682"/>
      <c r="G13" s="1683"/>
      <c r="H13" s="246" t="s">
        <v>176</v>
      </c>
      <c r="I13" s="249"/>
      <c r="J13" s="659"/>
      <c r="K13" s="250"/>
      <c r="L13" s="660"/>
      <c r="M13" s="251" t="str">
        <f t="shared" si="0"/>
        <v xml:space="preserve"> </v>
      </c>
      <c r="N13" s="250"/>
      <c r="O13" s="661"/>
      <c r="P13" s="252" t="str">
        <f t="shared" si="1"/>
        <v xml:space="preserve"> </v>
      </c>
      <c r="Q13" s="250"/>
      <c r="R13" s="660"/>
      <c r="S13" s="253" t="str">
        <f t="shared" si="2"/>
        <v xml:space="preserve"> </v>
      </c>
    </row>
    <row r="14" spans="1:25" ht="15.75">
      <c r="A14" s="68"/>
      <c r="B14" s="247"/>
      <c r="C14" s="1674" t="s">
        <v>172</v>
      </c>
      <c r="D14" s="1674"/>
      <c r="E14" s="1674"/>
      <c r="F14" s="1674"/>
      <c r="G14" s="1675"/>
      <c r="H14" s="246" t="s">
        <v>177</v>
      </c>
      <c r="I14" s="249"/>
      <c r="J14" s="659"/>
      <c r="K14" s="250"/>
      <c r="L14" s="660"/>
      <c r="M14" s="251" t="str">
        <f t="shared" si="0"/>
        <v xml:space="preserve"> </v>
      </c>
      <c r="N14" s="250"/>
      <c r="O14" s="661"/>
      <c r="P14" s="252" t="str">
        <f t="shared" si="1"/>
        <v xml:space="preserve"> </v>
      </c>
      <c r="Q14" s="250"/>
      <c r="R14" s="660"/>
      <c r="S14" s="253" t="str">
        <f t="shared" si="2"/>
        <v xml:space="preserve"> </v>
      </c>
    </row>
    <row r="15" spans="1:25" ht="15.75">
      <c r="A15" s="68"/>
      <c r="B15" s="247"/>
      <c r="C15" s="1682" t="s">
        <v>185</v>
      </c>
      <c r="D15" s="1682"/>
      <c r="E15" s="1682"/>
      <c r="F15" s="1682"/>
      <c r="G15" s="1683"/>
      <c r="H15" s="246" t="s">
        <v>178</v>
      </c>
      <c r="I15" s="249"/>
      <c r="J15" s="659"/>
      <c r="K15" s="250"/>
      <c r="L15" s="660"/>
      <c r="M15" s="251" t="str">
        <f t="shared" si="0"/>
        <v xml:space="preserve"> </v>
      </c>
      <c r="N15" s="250"/>
      <c r="O15" s="661"/>
      <c r="P15" s="252" t="str">
        <f t="shared" si="1"/>
        <v xml:space="preserve"> </v>
      </c>
      <c r="Q15" s="250"/>
      <c r="R15" s="660"/>
      <c r="S15" s="253" t="str">
        <f t="shared" si="2"/>
        <v xml:space="preserve"> </v>
      </c>
    </row>
    <row r="16" spans="1:25" ht="15.75">
      <c r="A16" s="68"/>
      <c r="B16" s="247"/>
      <c r="C16" s="1674" t="s">
        <v>173</v>
      </c>
      <c r="D16" s="1674"/>
      <c r="E16" s="1674"/>
      <c r="F16" s="1674"/>
      <c r="G16" s="1675"/>
      <c r="H16" s="246" t="s">
        <v>179</v>
      </c>
      <c r="I16" s="249">
        <v>29.822040000000015</v>
      </c>
      <c r="J16" s="659"/>
      <c r="K16" s="250">
        <v>52.878380619380607</v>
      </c>
      <c r="L16" s="660"/>
      <c r="M16" s="251">
        <f t="shared" si="0"/>
        <v>0.77313089981036109</v>
      </c>
      <c r="N16" s="250">
        <v>52.878380619380607</v>
      </c>
      <c r="O16" s="661"/>
      <c r="P16" s="252">
        <f t="shared" si="1"/>
        <v>0</v>
      </c>
      <c r="Q16" s="250">
        <v>52.878380619380607</v>
      </c>
      <c r="R16" s="660"/>
      <c r="S16" s="253">
        <f t="shared" si="2"/>
        <v>0</v>
      </c>
    </row>
    <row r="17" spans="1:19" ht="15.75">
      <c r="A17" s="68"/>
      <c r="B17" s="247"/>
      <c r="C17" s="1682" t="s">
        <v>186</v>
      </c>
      <c r="D17" s="1682"/>
      <c r="E17" s="1682"/>
      <c r="F17" s="1682"/>
      <c r="G17" s="1683"/>
      <c r="H17" s="246" t="s">
        <v>190</v>
      </c>
      <c r="I17" s="249"/>
      <c r="J17" s="659"/>
      <c r="K17" s="250"/>
      <c r="L17" s="660"/>
      <c r="M17" s="251" t="str">
        <f t="shared" si="0"/>
        <v xml:space="preserve"> </v>
      </c>
      <c r="N17" s="250"/>
      <c r="O17" s="661"/>
      <c r="P17" s="252" t="str">
        <f t="shared" si="1"/>
        <v xml:space="preserve"> </v>
      </c>
      <c r="Q17" s="250"/>
      <c r="R17" s="660"/>
      <c r="S17" s="253" t="str">
        <f t="shared" si="2"/>
        <v xml:space="preserve"> </v>
      </c>
    </row>
    <row r="18" spans="1:19" ht="15.75">
      <c r="A18" s="68"/>
      <c r="B18" s="247"/>
      <c r="C18" s="1674" t="s">
        <v>187</v>
      </c>
      <c r="D18" s="1674"/>
      <c r="E18" s="1674"/>
      <c r="F18" s="1674"/>
      <c r="G18" s="1675"/>
      <c r="H18" s="246" t="s">
        <v>191</v>
      </c>
      <c r="I18" s="249"/>
      <c r="J18" s="659"/>
      <c r="K18" s="250"/>
      <c r="L18" s="660"/>
      <c r="M18" s="251" t="str">
        <f t="shared" si="0"/>
        <v xml:space="preserve"> </v>
      </c>
      <c r="N18" s="250"/>
      <c r="O18" s="661"/>
      <c r="P18" s="252" t="str">
        <f t="shared" si="1"/>
        <v xml:space="preserve"> </v>
      </c>
      <c r="Q18" s="250"/>
      <c r="R18" s="660"/>
      <c r="S18" s="253" t="str">
        <f t="shared" si="2"/>
        <v xml:space="preserve"> </v>
      </c>
    </row>
    <row r="19" spans="1:19" ht="15.75">
      <c r="A19" s="68"/>
      <c r="B19" s="247"/>
      <c r="C19" s="1682" t="s">
        <v>188</v>
      </c>
      <c r="D19" s="1682"/>
      <c r="E19" s="1682"/>
      <c r="F19" s="1682"/>
      <c r="G19" s="1683"/>
      <c r="H19" s="246" t="s">
        <v>192</v>
      </c>
      <c r="I19" s="249"/>
      <c r="J19" s="659"/>
      <c r="K19" s="250"/>
      <c r="L19" s="660"/>
      <c r="M19" s="251" t="str">
        <f t="shared" si="0"/>
        <v xml:space="preserve"> </v>
      </c>
      <c r="N19" s="250"/>
      <c r="O19" s="661"/>
      <c r="P19" s="252" t="str">
        <f t="shared" si="1"/>
        <v xml:space="preserve"> </v>
      </c>
      <c r="Q19" s="250"/>
      <c r="R19" s="660"/>
      <c r="S19" s="253" t="str">
        <f t="shared" si="2"/>
        <v xml:space="preserve"> </v>
      </c>
    </row>
    <row r="20" spans="1:19" ht="36" customHeight="1">
      <c r="A20" s="68"/>
      <c r="B20" s="1671" t="s">
        <v>364</v>
      </c>
      <c r="C20" s="1672"/>
      <c r="D20" s="1672"/>
      <c r="E20" s="1672"/>
      <c r="F20" s="1672"/>
      <c r="G20" s="1673"/>
      <c r="H20" s="246" t="s">
        <v>193</v>
      </c>
      <c r="I20" s="254">
        <f>I12+I14+I16+I18</f>
        <v>187.56</v>
      </c>
      <c r="J20" s="659"/>
      <c r="K20" s="254">
        <f>K12+K14+K16+K18</f>
        <v>332.56843156843161</v>
      </c>
      <c r="L20" s="660"/>
      <c r="M20" s="252">
        <f t="shared" si="0"/>
        <v>0.77313089981036254</v>
      </c>
      <c r="N20" s="254">
        <f>N12+N14+N16+N18</f>
        <v>332.56843156843161</v>
      </c>
      <c r="O20" s="661"/>
      <c r="P20" s="252">
        <f t="shared" si="1"/>
        <v>0</v>
      </c>
      <c r="Q20" s="254">
        <f>Q12+Q14+Q16+Q18</f>
        <v>332.56843156843161</v>
      </c>
      <c r="R20" s="660"/>
      <c r="S20" s="436">
        <f t="shared" si="2"/>
        <v>0</v>
      </c>
    </row>
    <row r="21" spans="1:19" ht="15.75">
      <c r="A21" s="68"/>
      <c r="B21" s="1671" t="s">
        <v>365</v>
      </c>
      <c r="C21" s="1672"/>
      <c r="D21" s="1672"/>
      <c r="E21" s="1672"/>
      <c r="F21" s="1672"/>
      <c r="G21" s="1673"/>
      <c r="H21" s="246" t="s">
        <v>194</v>
      </c>
      <c r="I21" s="254">
        <f>I13+I15+I17+I19</f>
        <v>0</v>
      </c>
      <c r="J21" s="255">
        <f>I21</f>
        <v>0</v>
      </c>
      <c r="K21" s="254">
        <f>K13+K15+K17+K19</f>
        <v>0</v>
      </c>
      <c r="L21" s="559">
        <f>K21</f>
        <v>0</v>
      </c>
      <c r="M21" s="252" t="str">
        <f t="shared" si="0"/>
        <v xml:space="preserve"> </v>
      </c>
      <c r="N21" s="254">
        <f>N13+N15+N17+N19</f>
        <v>0</v>
      </c>
      <c r="O21" s="559">
        <f>N21</f>
        <v>0</v>
      </c>
      <c r="P21" s="252" t="str">
        <f t="shared" si="1"/>
        <v xml:space="preserve"> </v>
      </c>
      <c r="Q21" s="254">
        <f>Q13+Q15+Q17+Q19</f>
        <v>0</v>
      </c>
      <c r="R21" s="444">
        <f>Q21</f>
        <v>0</v>
      </c>
      <c r="S21" s="436" t="str">
        <f t="shared" si="2"/>
        <v xml:space="preserve"> </v>
      </c>
    </row>
    <row r="22" spans="1:19" ht="33.75" customHeight="1">
      <c r="A22" s="68"/>
      <c r="B22" s="1671" t="s">
        <v>362</v>
      </c>
      <c r="C22" s="1672"/>
      <c r="D22" s="1672"/>
      <c r="E22" s="1672"/>
      <c r="F22" s="1672"/>
      <c r="G22" s="1673"/>
      <c r="H22" s="246" t="s">
        <v>361</v>
      </c>
      <c r="I22" s="254">
        <f>I20-I21</f>
        <v>187.56</v>
      </c>
      <c r="J22" s="255">
        <f>IF($G$10="","Cell G10 CANNOT be blank",I22*$G$10)</f>
        <v>187.56</v>
      </c>
      <c r="K22" s="254">
        <f>K20-K21</f>
        <v>332.56843156843161</v>
      </c>
      <c r="L22" s="559">
        <f>IF($G$10="","Cell G10 CANNOT be blank",K22*$G$10)</f>
        <v>332.56843156843161</v>
      </c>
      <c r="M22" s="252">
        <f t="shared" si="0"/>
        <v>0.77313089981036254</v>
      </c>
      <c r="N22" s="254">
        <f>N20-N21</f>
        <v>332.56843156843161</v>
      </c>
      <c r="O22" s="559">
        <f>IF($G$10="","Cell G10 CANNOT be blank",N22*$G$10)</f>
        <v>332.56843156843161</v>
      </c>
      <c r="P22" s="252">
        <f t="shared" si="1"/>
        <v>0</v>
      </c>
      <c r="Q22" s="254">
        <f>Q20-Q21</f>
        <v>332.56843156843161</v>
      </c>
      <c r="R22" s="559">
        <f>IF($G$10="","Cell G10 CANNOT be blank",Q22*$G$10)</f>
        <v>332.56843156843161</v>
      </c>
      <c r="S22" s="257">
        <f t="shared" si="2"/>
        <v>0</v>
      </c>
    </row>
    <row r="23" spans="1:19" ht="30" customHeight="1">
      <c r="A23" s="68"/>
      <c r="B23" s="1664" t="s">
        <v>189</v>
      </c>
      <c r="C23" s="1665"/>
      <c r="D23" s="1665"/>
      <c r="E23" s="1665"/>
      <c r="F23" s="1665"/>
      <c r="G23" s="1666"/>
      <c r="H23" s="246" t="s">
        <v>195</v>
      </c>
      <c r="I23" s="249"/>
      <c r="J23" s="659"/>
      <c r="K23" s="250"/>
      <c r="L23" s="660"/>
      <c r="M23" s="251" t="str">
        <f t="shared" si="0"/>
        <v xml:space="preserve"> </v>
      </c>
      <c r="N23" s="250"/>
      <c r="O23" s="661"/>
      <c r="P23" s="252" t="str">
        <f t="shared" si="1"/>
        <v xml:space="preserve"> </v>
      </c>
      <c r="Q23" s="250"/>
      <c r="R23" s="660"/>
      <c r="S23" s="253" t="str">
        <f t="shared" si="2"/>
        <v xml:space="preserve"> </v>
      </c>
    </row>
    <row r="24" spans="1:19" ht="15.75">
      <c r="A24" s="68"/>
      <c r="B24" s="107"/>
      <c r="C24" s="34"/>
      <c r="D24" s="34"/>
      <c r="E24" s="34"/>
      <c r="F24" s="34"/>
      <c r="G24" s="34"/>
      <c r="H24" s="564"/>
      <c r="I24" s="565"/>
      <c r="J24" s="566"/>
      <c r="K24" s="565"/>
      <c r="L24" s="566"/>
      <c r="M24" s="566"/>
      <c r="N24" s="565"/>
      <c r="O24" s="566"/>
      <c r="P24" s="566"/>
      <c r="Q24" s="565"/>
      <c r="R24" s="566"/>
      <c r="S24" s="567"/>
    </row>
    <row r="25" spans="1:19" ht="15.75">
      <c r="A25" s="42" t="s">
        <v>180</v>
      </c>
      <c r="B25" s="152"/>
      <c r="C25" s="152"/>
      <c r="D25" s="244"/>
      <c r="E25" s="244"/>
      <c r="F25" s="244"/>
      <c r="G25" s="244"/>
      <c r="H25" s="563"/>
      <c r="I25" s="440"/>
      <c r="J25" s="243"/>
      <c r="K25" s="243"/>
      <c r="L25" s="243"/>
      <c r="M25" s="243"/>
      <c r="N25" s="243"/>
      <c r="O25" s="243"/>
      <c r="P25" s="243"/>
      <c r="Q25" s="243"/>
      <c r="R25" s="243"/>
      <c r="S25" s="439"/>
    </row>
    <row r="26" spans="1:19" ht="15.75">
      <c r="A26" s="68"/>
      <c r="B26" s="247"/>
      <c r="C26" s="1674" t="s">
        <v>171</v>
      </c>
      <c r="D26" s="1674"/>
      <c r="E26" s="1674"/>
      <c r="F26" s="1674"/>
      <c r="G26" s="1675"/>
      <c r="H26" s="246" t="s">
        <v>175</v>
      </c>
      <c r="I26" s="249">
        <v>102.13104</v>
      </c>
      <c r="J26" s="659"/>
      <c r="K26" s="250">
        <v>122.98427772227772</v>
      </c>
      <c r="L26" s="660"/>
      <c r="M26" s="251">
        <f t="shared" ref="M26:M36" si="3">IF(I26&lt;1," ",IF(K26&lt;1," ",(K26-I26)/I26))</f>
        <v>0.20418119429977141</v>
      </c>
      <c r="N26" s="250">
        <v>122.98427772227772</v>
      </c>
      <c r="O26" s="661"/>
      <c r="P26" s="252">
        <f t="shared" ref="P26:P36" si="4">IF(K26&lt;1," ",IF(N26&lt;1," ",(N26-K26)/K26))</f>
        <v>0</v>
      </c>
      <c r="Q26" s="250">
        <v>122.98427772227772</v>
      </c>
      <c r="R26" s="660"/>
      <c r="S26" s="253">
        <f t="shared" ref="S26:S36" si="5">IF(N26&lt;1," ",IF(Q26&lt;1," ",(Q26-N26)/N26))</f>
        <v>0</v>
      </c>
    </row>
    <row r="27" spans="1:19" ht="15.75">
      <c r="A27" s="68"/>
      <c r="B27" s="247"/>
      <c r="C27" s="1682" t="s">
        <v>184</v>
      </c>
      <c r="D27" s="1682"/>
      <c r="E27" s="1682"/>
      <c r="F27" s="1682"/>
      <c r="G27" s="1683"/>
      <c r="H27" s="246" t="s">
        <v>176</v>
      </c>
      <c r="I27" s="249"/>
      <c r="J27" s="659"/>
      <c r="K27" s="250"/>
      <c r="L27" s="660"/>
      <c r="M27" s="251" t="str">
        <f t="shared" si="3"/>
        <v xml:space="preserve"> </v>
      </c>
      <c r="N27" s="250"/>
      <c r="O27" s="661"/>
      <c r="P27" s="252" t="str">
        <f t="shared" si="4"/>
        <v xml:space="preserve"> </v>
      </c>
      <c r="Q27" s="250"/>
      <c r="R27" s="660"/>
      <c r="S27" s="253" t="str">
        <f t="shared" si="5"/>
        <v xml:space="preserve"> </v>
      </c>
    </row>
    <row r="28" spans="1:19" ht="15.75">
      <c r="A28" s="68"/>
      <c r="B28" s="247"/>
      <c r="C28" s="1674" t="s">
        <v>172</v>
      </c>
      <c r="D28" s="1674"/>
      <c r="E28" s="1674"/>
      <c r="F28" s="1674"/>
      <c r="G28" s="1675"/>
      <c r="H28" s="246" t="s">
        <v>177</v>
      </c>
      <c r="I28" s="249"/>
      <c r="J28" s="659"/>
      <c r="K28" s="250"/>
      <c r="L28" s="660"/>
      <c r="M28" s="251" t="str">
        <f t="shared" si="3"/>
        <v xml:space="preserve"> </v>
      </c>
      <c r="N28" s="250"/>
      <c r="O28" s="661"/>
      <c r="P28" s="252" t="str">
        <f t="shared" si="4"/>
        <v xml:space="preserve"> </v>
      </c>
      <c r="Q28" s="250"/>
      <c r="R28" s="660"/>
      <c r="S28" s="253" t="str">
        <f t="shared" si="5"/>
        <v xml:space="preserve"> </v>
      </c>
    </row>
    <row r="29" spans="1:19" ht="15.75">
      <c r="A29" s="68"/>
      <c r="B29" s="247"/>
      <c r="C29" s="1682" t="s">
        <v>185</v>
      </c>
      <c r="D29" s="1682"/>
      <c r="E29" s="1682"/>
      <c r="F29" s="1682"/>
      <c r="G29" s="1683"/>
      <c r="H29" s="246" t="s">
        <v>178</v>
      </c>
      <c r="I29" s="249"/>
      <c r="J29" s="659"/>
      <c r="K29" s="250"/>
      <c r="L29" s="660"/>
      <c r="M29" s="251" t="str">
        <f t="shared" si="3"/>
        <v xml:space="preserve"> </v>
      </c>
      <c r="N29" s="250"/>
      <c r="O29" s="661"/>
      <c r="P29" s="252" t="str">
        <f t="shared" si="4"/>
        <v xml:space="preserve"> </v>
      </c>
      <c r="Q29" s="250"/>
      <c r="R29" s="660"/>
      <c r="S29" s="253" t="str">
        <f t="shared" si="5"/>
        <v xml:space="preserve"> </v>
      </c>
    </row>
    <row r="30" spans="1:19" ht="15.75">
      <c r="A30" s="68"/>
      <c r="B30" s="247"/>
      <c r="C30" s="1674" t="s">
        <v>173</v>
      </c>
      <c r="D30" s="1674"/>
      <c r="E30" s="1674"/>
      <c r="F30" s="1674"/>
      <c r="G30" s="1675"/>
      <c r="H30" s="246" t="s">
        <v>179</v>
      </c>
      <c r="I30" s="249">
        <v>19.308959999999999</v>
      </c>
      <c r="J30" s="659"/>
      <c r="K30" s="250">
        <v>23.251486513486512</v>
      </c>
      <c r="L30" s="660"/>
      <c r="M30" s="251">
        <f t="shared" si="3"/>
        <v>0.20418119429977136</v>
      </c>
      <c r="N30" s="250">
        <v>23.251486513486512</v>
      </c>
      <c r="O30" s="661"/>
      <c r="P30" s="252">
        <f t="shared" si="4"/>
        <v>0</v>
      </c>
      <c r="Q30" s="250">
        <v>23.251486513486512</v>
      </c>
      <c r="R30" s="660"/>
      <c r="S30" s="253">
        <f t="shared" si="5"/>
        <v>0</v>
      </c>
    </row>
    <row r="31" spans="1:19" ht="15.75">
      <c r="A31" s="68"/>
      <c r="B31" s="247"/>
      <c r="C31" s="1682" t="s">
        <v>186</v>
      </c>
      <c r="D31" s="1682"/>
      <c r="E31" s="1682"/>
      <c r="F31" s="1682"/>
      <c r="G31" s="1683"/>
      <c r="H31" s="246" t="s">
        <v>190</v>
      </c>
      <c r="I31" s="249"/>
      <c r="J31" s="659"/>
      <c r="K31" s="250"/>
      <c r="L31" s="660"/>
      <c r="M31" s="251" t="str">
        <f t="shared" si="3"/>
        <v xml:space="preserve"> </v>
      </c>
      <c r="N31" s="250"/>
      <c r="O31" s="661"/>
      <c r="P31" s="252" t="str">
        <f t="shared" si="4"/>
        <v xml:space="preserve"> </v>
      </c>
      <c r="Q31" s="250"/>
      <c r="R31" s="660"/>
      <c r="S31" s="253" t="str">
        <f t="shared" si="5"/>
        <v xml:space="preserve"> </v>
      </c>
    </row>
    <row r="32" spans="1:19" ht="15.75">
      <c r="A32" s="68"/>
      <c r="B32" s="247"/>
      <c r="C32" s="1674" t="s">
        <v>187</v>
      </c>
      <c r="D32" s="1674"/>
      <c r="E32" s="1674"/>
      <c r="F32" s="1674"/>
      <c r="G32" s="1675"/>
      <c r="H32" s="246" t="s">
        <v>191</v>
      </c>
      <c r="I32" s="249"/>
      <c r="J32" s="659"/>
      <c r="K32" s="250"/>
      <c r="L32" s="660"/>
      <c r="M32" s="251" t="str">
        <f t="shared" si="3"/>
        <v xml:space="preserve"> </v>
      </c>
      <c r="N32" s="250"/>
      <c r="O32" s="661"/>
      <c r="P32" s="252" t="str">
        <f t="shared" si="4"/>
        <v xml:space="preserve"> </v>
      </c>
      <c r="Q32" s="250"/>
      <c r="R32" s="660"/>
      <c r="S32" s="253" t="str">
        <f t="shared" si="5"/>
        <v xml:space="preserve"> </v>
      </c>
    </row>
    <row r="33" spans="1:19" ht="15.75">
      <c r="A33" s="68"/>
      <c r="B33" s="247"/>
      <c r="C33" s="1682" t="s">
        <v>188</v>
      </c>
      <c r="D33" s="1682"/>
      <c r="E33" s="1682"/>
      <c r="F33" s="1682"/>
      <c r="G33" s="1683"/>
      <c r="H33" s="246" t="s">
        <v>192</v>
      </c>
      <c r="I33" s="249"/>
      <c r="J33" s="659"/>
      <c r="K33" s="250"/>
      <c r="L33" s="660"/>
      <c r="M33" s="251" t="str">
        <f t="shared" si="3"/>
        <v xml:space="preserve"> </v>
      </c>
      <c r="N33" s="250"/>
      <c r="O33" s="661"/>
      <c r="P33" s="252" t="str">
        <f t="shared" si="4"/>
        <v xml:space="preserve"> </v>
      </c>
      <c r="Q33" s="250"/>
      <c r="R33" s="660"/>
      <c r="S33" s="253" t="str">
        <f t="shared" si="5"/>
        <v xml:space="preserve"> </v>
      </c>
    </row>
    <row r="34" spans="1:19" ht="33" customHeight="1">
      <c r="A34" s="68"/>
      <c r="B34" s="1671" t="s">
        <v>364</v>
      </c>
      <c r="C34" s="1672"/>
      <c r="D34" s="1672"/>
      <c r="E34" s="1672"/>
      <c r="F34" s="1672"/>
      <c r="G34" s="1673"/>
      <c r="H34" s="246" t="s">
        <v>193</v>
      </c>
      <c r="I34" s="254">
        <f>I26+I28+I30+I32</f>
        <v>121.44</v>
      </c>
      <c r="J34" s="659"/>
      <c r="K34" s="254">
        <f>K26+K28+K30+K32</f>
        <v>146.23576423576424</v>
      </c>
      <c r="L34" s="660"/>
      <c r="M34" s="252">
        <f t="shared" si="3"/>
        <v>0.20418119429977141</v>
      </c>
      <c r="N34" s="254">
        <f>N26+N28+N30+N32</f>
        <v>146.23576423576424</v>
      </c>
      <c r="O34" s="660"/>
      <c r="P34" s="443">
        <f t="shared" si="4"/>
        <v>0</v>
      </c>
      <c r="Q34" s="254">
        <f>Q26+Q28+Q30+Q32</f>
        <v>146.23576423576424</v>
      </c>
      <c r="R34" s="660"/>
      <c r="S34" s="253">
        <f t="shared" si="5"/>
        <v>0</v>
      </c>
    </row>
    <row r="35" spans="1:19" ht="15.75">
      <c r="A35" s="68"/>
      <c r="B35" s="1671" t="s">
        <v>365</v>
      </c>
      <c r="C35" s="1672"/>
      <c r="D35" s="1672"/>
      <c r="E35" s="1672"/>
      <c r="F35" s="1672"/>
      <c r="G35" s="1673"/>
      <c r="H35" s="246" t="s">
        <v>194</v>
      </c>
      <c r="I35" s="254">
        <f>I27+I29+I31+I33</f>
        <v>0</v>
      </c>
      <c r="J35" s="255">
        <f>I35</f>
        <v>0</v>
      </c>
      <c r="K35" s="254">
        <f>K27+K29+K31+K33</f>
        <v>0</v>
      </c>
      <c r="L35" s="444">
        <f>K35</f>
        <v>0</v>
      </c>
      <c r="M35" s="252" t="str">
        <f t="shared" si="3"/>
        <v xml:space="preserve"> </v>
      </c>
      <c r="N35" s="254">
        <f>N27+N29+N31+N33</f>
        <v>0</v>
      </c>
      <c r="O35" s="444">
        <f>N35</f>
        <v>0</v>
      </c>
      <c r="P35" s="443" t="str">
        <f t="shared" si="4"/>
        <v xml:space="preserve"> </v>
      </c>
      <c r="Q35" s="254">
        <f>Q27+Q29+Q31+Q33</f>
        <v>0</v>
      </c>
      <c r="R35" s="444">
        <f>Q35</f>
        <v>0</v>
      </c>
      <c r="S35" s="253" t="str">
        <f t="shared" si="5"/>
        <v xml:space="preserve"> </v>
      </c>
    </row>
    <row r="36" spans="1:19" ht="32.25" customHeight="1">
      <c r="A36" s="68"/>
      <c r="B36" s="1671" t="s">
        <v>362</v>
      </c>
      <c r="C36" s="1672"/>
      <c r="D36" s="1672"/>
      <c r="E36" s="1672"/>
      <c r="F36" s="1672"/>
      <c r="G36" s="1673"/>
      <c r="H36" s="246" t="s">
        <v>361</v>
      </c>
      <c r="I36" s="254">
        <f>I34-I35</f>
        <v>121.44</v>
      </c>
      <c r="J36" s="255">
        <f>IF($G$10="","Cell G10 CANNOT be blank",I36*$G$10)</f>
        <v>121.44</v>
      </c>
      <c r="K36" s="254">
        <f>K34-K35</f>
        <v>146.23576423576424</v>
      </c>
      <c r="L36" s="444">
        <f>IF($G$10="","Cell G10 CANNOT be blank",K36*$G$10)</f>
        <v>146.23576423576424</v>
      </c>
      <c r="M36" s="252">
        <f t="shared" si="3"/>
        <v>0.20418119429977141</v>
      </c>
      <c r="N36" s="254">
        <f>N34-N35</f>
        <v>146.23576423576424</v>
      </c>
      <c r="O36" s="444">
        <f>IF($G$10="","Cell G10 CANNOT be blank",N36*$G$10)</f>
        <v>146.23576423576424</v>
      </c>
      <c r="P36" s="443">
        <f t="shared" si="4"/>
        <v>0</v>
      </c>
      <c r="Q36" s="254">
        <f>Q34-Q35</f>
        <v>146.23576423576424</v>
      </c>
      <c r="R36" s="444">
        <f>IF($G$10="","Cell G10 CANNOT be blank",Q36*$G$10)</f>
        <v>146.23576423576424</v>
      </c>
      <c r="S36" s="1009">
        <f t="shared" si="5"/>
        <v>0</v>
      </c>
    </row>
    <row r="37" spans="1:19" ht="15.75">
      <c r="A37" s="68"/>
      <c r="B37" s="107"/>
      <c r="C37" s="34"/>
      <c r="D37" s="34"/>
      <c r="E37" s="34"/>
      <c r="F37" s="34"/>
      <c r="G37" s="34"/>
      <c r="H37" s="564"/>
      <c r="I37" s="565"/>
      <c r="J37" s="566"/>
      <c r="K37" s="565"/>
      <c r="L37" s="566"/>
      <c r="M37" s="566"/>
      <c r="N37" s="565"/>
      <c r="O37" s="566"/>
      <c r="P37" s="566"/>
      <c r="Q37" s="565"/>
      <c r="R37" s="566"/>
      <c r="S37" s="567"/>
    </row>
    <row r="38" spans="1:19" ht="15.75">
      <c r="A38" s="42" t="s">
        <v>181</v>
      </c>
      <c r="B38" s="152"/>
      <c r="C38" s="152"/>
      <c r="D38" s="244"/>
      <c r="E38" s="244"/>
      <c r="F38" s="244"/>
      <c r="G38" s="244"/>
      <c r="H38" s="563"/>
      <c r="I38" s="440"/>
      <c r="J38" s="243"/>
      <c r="K38" s="243"/>
      <c r="L38" s="243"/>
      <c r="M38" s="243"/>
      <c r="N38" s="243"/>
      <c r="O38" s="243"/>
      <c r="P38" s="243"/>
      <c r="Q38" s="243"/>
      <c r="R38" s="243"/>
      <c r="S38" s="439"/>
    </row>
    <row r="39" spans="1:19" ht="15.75">
      <c r="A39" s="41"/>
      <c r="B39" s="247"/>
      <c r="C39" s="1674" t="s">
        <v>171</v>
      </c>
      <c r="D39" s="1674"/>
      <c r="E39" s="1674"/>
      <c r="F39" s="1674"/>
      <c r="G39" s="1675"/>
      <c r="H39" s="246" t="s">
        <v>175</v>
      </c>
      <c r="I39" s="249">
        <v>74.327579999999998</v>
      </c>
      <c r="J39" s="659"/>
      <c r="K39" s="250">
        <v>138.19201098901098</v>
      </c>
      <c r="L39" s="660"/>
      <c r="M39" s="251">
        <f t="shared" ref="M39:M49" si="6">IF(I39&lt;1," ",IF(K39&lt;1," ",(K39-I39)/I39))</f>
        <v>0.85922925230460867</v>
      </c>
      <c r="N39" s="250">
        <v>138.19201098901098</v>
      </c>
      <c r="O39" s="661"/>
      <c r="P39" s="252">
        <f t="shared" ref="P39:P49" si="7">IF(K39&lt;1," ",IF(N39&lt;1," ",(N39-K39)/K39))</f>
        <v>0</v>
      </c>
      <c r="Q39" s="250">
        <v>138.19201098901098</v>
      </c>
      <c r="R39" s="660"/>
      <c r="S39" s="253">
        <f t="shared" ref="S39:S49" si="8">IF(N39&lt;1," ",IF(Q39&lt;1," ",(Q39-N39)/N39))</f>
        <v>0</v>
      </c>
    </row>
    <row r="40" spans="1:19" ht="15.75">
      <c r="A40" s="41"/>
      <c r="B40" s="247"/>
      <c r="C40" s="1682" t="s">
        <v>184</v>
      </c>
      <c r="D40" s="1682"/>
      <c r="E40" s="1682"/>
      <c r="F40" s="1682"/>
      <c r="G40" s="1683"/>
      <c r="H40" s="246" t="s">
        <v>176</v>
      </c>
      <c r="I40" s="249"/>
      <c r="J40" s="659"/>
      <c r="K40" s="250"/>
      <c r="L40" s="660"/>
      <c r="M40" s="251" t="str">
        <f t="shared" si="6"/>
        <v xml:space="preserve"> </v>
      </c>
      <c r="N40" s="250"/>
      <c r="O40" s="661"/>
      <c r="P40" s="252" t="str">
        <f t="shared" si="7"/>
        <v xml:space="preserve"> </v>
      </c>
      <c r="Q40" s="250"/>
      <c r="R40" s="660"/>
      <c r="S40" s="253" t="str">
        <f t="shared" si="8"/>
        <v xml:space="preserve"> </v>
      </c>
    </row>
    <row r="41" spans="1:19" ht="15.75">
      <c r="A41" s="41"/>
      <c r="B41" s="247"/>
      <c r="C41" s="1674" t="s">
        <v>172</v>
      </c>
      <c r="D41" s="1674"/>
      <c r="E41" s="1674"/>
      <c r="F41" s="1674"/>
      <c r="G41" s="1675"/>
      <c r="H41" s="246" t="s">
        <v>177</v>
      </c>
      <c r="I41" s="249"/>
      <c r="J41" s="659"/>
      <c r="K41" s="250"/>
      <c r="L41" s="660"/>
      <c r="M41" s="251" t="str">
        <f t="shared" si="6"/>
        <v xml:space="preserve"> </v>
      </c>
      <c r="N41" s="250"/>
      <c r="O41" s="661"/>
      <c r="P41" s="252" t="str">
        <f t="shared" si="7"/>
        <v xml:space="preserve"> </v>
      </c>
      <c r="Q41" s="250"/>
      <c r="R41" s="660"/>
      <c r="S41" s="253" t="str">
        <f t="shared" si="8"/>
        <v xml:space="preserve"> </v>
      </c>
    </row>
    <row r="42" spans="1:19" ht="15.75">
      <c r="A42" s="41"/>
      <c r="B42" s="247"/>
      <c r="C42" s="1682" t="s">
        <v>185</v>
      </c>
      <c r="D42" s="1682"/>
      <c r="E42" s="1682"/>
      <c r="F42" s="1682"/>
      <c r="G42" s="1683"/>
      <c r="H42" s="246" t="s">
        <v>178</v>
      </c>
      <c r="I42" s="249"/>
      <c r="J42" s="659"/>
      <c r="K42" s="250"/>
      <c r="L42" s="660"/>
      <c r="M42" s="251" t="str">
        <f t="shared" si="6"/>
        <v xml:space="preserve"> </v>
      </c>
      <c r="N42" s="250"/>
      <c r="O42" s="661"/>
      <c r="P42" s="252" t="str">
        <f t="shared" si="7"/>
        <v xml:space="preserve"> </v>
      </c>
      <c r="Q42" s="250"/>
      <c r="R42" s="660"/>
      <c r="S42" s="253" t="str">
        <f t="shared" si="8"/>
        <v xml:space="preserve"> </v>
      </c>
    </row>
    <row r="43" spans="1:19" ht="15.75">
      <c r="A43" s="41"/>
      <c r="B43" s="247"/>
      <c r="C43" s="1674" t="s">
        <v>173</v>
      </c>
      <c r="D43" s="1674"/>
      <c r="E43" s="1674"/>
      <c r="F43" s="1674"/>
      <c r="G43" s="1675"/>
      <c r="H43" s="246" t="s">
        <v>179</v>
      </c>
      <c r="I43" s="249">
        <v>14.052419999999998</v>
      </c>
      <c r="J43" s="659"/>
      <c r="K43" s="250">
        <v>26.126670329670333</v>
      </c>
      <c r="L43" s="660"/>
      <c r="M43" s="251">
        <f t="shared" si="6"/>
        <v>0.85922925230460923</v>
      </c>
      <c r="N43" s="250">
        <v>26.126670329670333</v>
      </c>
      <c r="O43" s="661"/>
      <c r="P43" s="252">
        <f t="shared" si="7"/>
        <v>0</v>
      </c>
      <c r="Q43" s="250">
        <v>26.126670329670333</v>
      </c>
      <c r="R43" s="660"/>
      <c r="S43" s="253">
        <f t="shared" si="8"/>
        <v>0</v>
      </c>
    </row>
    <row r="44" spans="1:19" ht="15.75">
      <c r="A44" s="41"/>
      <c r="B44" s="247"/>
      <c r="C44" s="1682" t="s">
        <v>186</v>
      </c>
      <c r="D44" s="1682"/>
      <c r="E44" s="1682"/>
      <c r="F44" s="1682"/>
      <c r="G44" s="1683"/>
      <c r="H44" s="246" t="s">
        <v>190</v>
      </c>
      <c r="I44" s="249"/>
      <c r="J44" s="659"/>
      <c r="K44" s="250"/>
      <c r="L44" s="660"/>
      <c r="M44" s="251" t="str">
        <f t="shared" si="6"/>
        <v xml:space="preserve"> </v>
      </c>
      <c r="N44" s="250"/>
      <c r="O44" s="661"/>
      <c r="P44" s="252" t="str">
        <f t="shared" si="7"/>
        <v xml:space="preserve"> </v>
      </c>
      <c r="Q44" s="250"/>
      <c r="R44" s="660"/>
      <c r="S44" s="253" t="str">
        <f t="shared" si="8"/>
        <v xml:space="preserve"> </v>
      </c>
    </row>
    <row r="45" spans="1:19" ht="15.75">
      <c r="A45" s="41"/>
      <c r="B45" s="247"/>
      <c r="C45" s="1674" t="s">
        <v>187</v>
      </c>
      <c r="D45" s="1674"/>
      <c r="E45" s="1674"/>
      <c r="F45" s="1674"/>
      <c r="G45" s="1675"/>
      <c r="H45" s="246" t="s">
        <v>191</v>
      </c>
      <c r="I45" s="249"/>
      <c r="J45" s="659"/>
      <c r="K45" s="250"/>
      <c r="L45" s="660"/>
      <c r="M45" s="251" t="str">
        <f t="shared" si="6"/>
        <v xml:space="preserve"> </v>
      </c>
      <c r="N45" s="250"/>
      <c r="O45" s="661"/>
      <c r="P45" s="252" t="str">
        <f t="shared" si="7"/>
        <v xml:space="preserve"> </v>
      </c>
      <c r="Q45" s="250"/>
      <c r="R45" s="660"/>
      <c r="S45" s="253" t="str">
        <f t="shared" si="8"/>
        <v xml:space="preserve"> </v>
      </c>
    </row>
    <row r="46" spans="1:19" ht="15.75">
      <c r="A46" s="41"/>
      <c r="B46" s="247"/>
      <c r="C46" s="1682" t="s">
        <v>188</v>
      </c>
      <c r="D46" s="1682"/>
      <c r="E46" s="1682"/>
      <c r="F46" s="1682"/>
      <c r="G46" s="1683"/>
      <c r="H46" s="246" t="s">
        <v>192</v>
      </c>
      <c r="I46" s="249"/>
      <c r="J46" s="659"/>
      <c r="K46" s="250"/>
      <c r="L46" s="660"/>
      <c r="M46" s="251" t="str">
        <f t="shared" si="6"/>
        <v xml:space="preserve"> </v>
      </c>
      <c r="N46" s="250"/>
      <c r="O46" s="661"/>
      <c r="P46" s="252" t="str">
        <f t="shared" si="7"/>
        <v xml:space="preserve"> </v>
      </c>
      <c r="Q46" s="250"/>
      <c r="R46" s="660"/>
      <c r="S46" s="253" t="str">
        <f t="shared" si="8"/>
        <v xml:space="preserve"> </v>
      </c>
    </row>
    <row r="47" spans="1:19" ht="33" customHeight="1">
      <c r="A47" s="68"/>
      <c r="B47" s="1671" t="s">
        <v>364</v>
      </c>
      <c r="C47" s="1672"/>
      <c r="D47" s="1672"/>
      <c r="E47" s="1672"/>
      <c r="F47" s="1672"/>
      <c r="G47" s="1673"/>
      <c r="H47" s="246" t="s">
        <v>193</v>
      </c>
      <c r="I47" s="254">
        <f>I39+I41+I43+I45</f>
        <v>88.38</v>
      </c>
      <c r="J47" s="659"/>
      <c r="K47" s="254">
        <f>K39+K41+K43+K45</f>
        <v>164.31868131868131</v>
      </c>
      <c r="L47" s="660"/>
      <c r="M47" s="252">
        <f t="shared" si="6"/>
        <v>0.85922925230460878</v>
      </c>
      <c r="N47" s="254">
        <f>N39+N41+N43+N45</f>
        <v>164.31868131868131</v>
      </c>
      <c r="O47" s="660"/>
      <c r="P47" s="443">
        <f t="shared" si="7"/>
        <v>0</v>
      </c>
      <c r="Q47" s="254">
        <f>Q39+Q41+Q43+Q45</f>
        <v>164.31868131868131</v>
      </c>
      <c r="R47" s="660"/>
      <c r="S47" s="253">
        <f t="shared" si="8"/>
        <v>0</v>
      </c>
    </row>
    <row r="48" spans="1:19" ht="15.75">
      <c r="A48" s="68"/>
      <c r="B48" s="1671" t="s">
        <v>365</v>
      </c>
      <c r="C48" s="1672"/>
      <c r="D48" s="1672"/>
      <c r="E48" s="1672"/>
      <c r="F48" s="1672"/>
      <c r="G48" s="1673"/>
      <c r="H48" s="246" t="s">
        <v>194</v>
      </c>
      <c r="I48" s="254">
        <f>I40+I42+I44+I46</f>
        <v>0</v>
      </c>
      <c r="J48" s="255">
        <f>I48</f>
        <v>0</v>
      </c>
      <c r="K48" s="254">
        <f>K40+K42+K44+K46</f>
        <v>0</v>
      </c>
      <c r="L48" s="444">
        <f>K48</f>
        <v>0</v>
      </c>
      <c r="M48" s="252" t="str">
        <f t="shared" si="6"/>
        <v xml:space="preserve"> </v>
      </c>
      <c r="N48" s="254">
        <f>N40+N42+N44+N46</f>
        <v>0</v>
      </c>
      <c r="O48" s="444">
        <f>N48</f>
        <v>0</v>
      </c>
      <c r="P48" s="443" t="str">
        <f t="shared" si="7"/>
        <v xml:space="preserve"> </v>
      </c>
      <c r="Q48" s="254">
        <f>Q40+Q42+Q44+Q46</f>
        <v>0</v>
      </c>
      <c r="R48" s="444">
        <f>Q48</f>
        <v>0</v>
      </c>
      <c r="S48" s="253" t="str">
        <f t="shared" si="8"/>
        <v xml:space="preserve"> </v>
      </c>
    </row>
    <row r="49" spans="1:19" ht="30.75" customHeight="1">
      <c r="A49" s="68"/>
      <c r="B49" s="1671" t="s">
        <v>362</v>
      </c>
      <c r="C49" s="1672"/>
      <c r="D49" s="1672"/>
      <c r="E49" s="1672"/>
      <c r="F49" s="1672"/>
      <c r="G49" s="1673"/>
      <c r="H49" s="246" t="s">
        <v>361</v>
      </c>
      <c r="I49" s="254">
        <f>I47-I48</f>
        <v>88.38</v>
      </c>
      <c r="J49" s="255">
        <f>IF($G$10="","Cell G10 CANNOT be blank",I49*$G$10)</f>
        <v>88.38</v>
      </c>
      <c r="K49" s="254">
        <f>K47-K48</f>
        <v>164.31868131868131</v>
      </c>
      <c r="L49" s="444">
        <f>IF($G$10="","Cell G10 CANNOT be blank",K49*$G$10)</f>
        <v>164.31868131868131</v>
      </c>
      <c r="M49" s="252">
        <f t="shared" si="6"/>
        <v>0.85922925230460878</v>
      </c>
      <c r="N49" s="254">
        <f>N47-N48</f>
        <v>164.31868131868131</v>
      </c>
      <c r="O49" s="444">
        <f>IF($G$10="","Cell G10 CANNOT be blank",N49*$G$10)</f>
        <v>164.31868131868131</v>
      </c>
      <c r="P49" s="443">
        <f t="shared" si="7"/>
        <v>0</v>
      </c>
      <c r="Q49" s="254">
        <f>Q47-Q48</f>
        <v>164.31868131868131</v>
      </c>
      <c r="R49" s="444">
        <f>IF($G$10="","Cell G10 CANNOT be blank",Q49*$G$10)</f>
        <v>164.31868131868131</v>
      </c>
      <c r="S49" s="1009">
        <f t="shared" si="8"/>
        <v>0</v>
      </c>
    </row>
    <row r="50" spans="1:19" ht="15.75">
      <c r="A50" s="41"/>
      <c r="B50" s="34"/>
      <c r="C50" s="34"/>
      <c r="D50" s="34"/>
      <c r="E50" s="34"/>
      <c r="F50" s="34"/>
      <c r="G50" s="34"/>
      <c r="H50" s="564"/>
      <c r="I50" s="565"/>
      <c r="J50" s="566"/>
      <c r="K50" s="565"/>
      <c r="L50" s="566"/>
      <c r="M50" s="566"/>
      <c r="N50" s="565"/>
      <c r="O50" s="566"/>
      <c r="P50" s="566"/>
      <c r="Q50" s="565"/>
      <c r="R50" s="566"/>
      <c r="S50" s="567"/>
    </row>
    <row r="51" spans="1:19" ht="15.75">
      <c r="A51" s="42" t="s">
        <v>182</v>
      </c>
      <c r="B51" s="152"/>
      <c r="C51" s="152"/>
      <c r="D51" s="244"/>
      <c r="E51" s="244"/>
      <c r="F51" s="244"/>
      <c r="G51" s="244"/>
      <c r="H51" s="563"/>
      <c r="I51" s="440"/>
      <c r="J51" s="243"/>
      <c r="K51" s="243"/>
      <c r="L51" s="243"/>
      <c r="M51" s="243"/>
      <c r="N51" s="243"/>
      <c r="O51" s="243"/>
      <c r="P51" s="243"/>
      <c r="Q51" s="243"/>
      <c r="R51" s="243"/>
      <c r="S51" s="439"/>
    </row>
    <row r="52" spans="1:19" ht="15.75">
      <c r="A52" s="41"/>
      <c r="B52" s="247"/>
      <c r="C52" s="248" t="s">
        <v>171</v>
      </c>
      <c r="D52" s="245"/>
      <c r="E52" s="245"/>
      <c r="F52" s="245"/>
      <c r="G52" s="245"/>
      <c r="H52" s="246" t="s">
        <v>175</v>
      </c>
      <c r="I52" s="249">
        <v>40.258669999999995</v>
      </c>
      <c r="J52" s="659"/>
      <c r="K52" s="250">
        <v>121.00066033966033</v>
      </c>
      <c r="L52" s="660"/>
      <c r="M52" s="251">
        <f t="shared" ref="M52:M62" si="9">IF(I52&lt;1," ",IF(K52&lt;1," ",(K52-I52)/I52))</f>
        <v>2.0055801729083536</v>
      </c>
      <c r="N52" s="250">
        <v>121.00066033966033</v>
      </c>
      <c r="O52" s="661"/>
      <c r="P52" s="252">
        <f t="shared" ref="P52:P62" si="10">IF(K52&lt;1," ",IF(N52&lt;1," ",(N52-K52)/K52))</f>
        <v>0</v>
      </c>
      <c r="Q52" s="250">
        <v>121.00066033966033</v>
      </c>
      <c r="R52" s="660"/>
      <c r="S52" s="253">
        <f t="shared" ref="S52:S62" si="11">IF(N52&lt;1," ",IF(Q52&lt;1," ",(Q52-N52)/N52))</f>
        <v>0</v>
      </c>
    </row>
    <row r="53" spans="1:19" ht="15.75">
      <c r="A53" s="41"/>
      <c r="B53" s="247"/>
      <c r="C53" s="141" t="s">
        <v>184</v>
      </c>
      <c r="D53" s="245"/>
      <c r="E53" s="245"/>
      <c r="F53" s="245"/>
      <c r="G53" s="245"/>
      <c r="H53" s="246" t="s">
        <v>176</v>
      </c>
      <c r="I53" s="249"/>
      <c r="J53" s="659"/>
      <c r="K53" s="250"/>
      <c r="L53" s="660"/>
      <c r="M53" s="251" t="str">
        <f t="shared" si="9"/>
        <v xml:space="preserve"> </v>
      </c>
      <c r="N53" s="250"/>
      <c r="O53" s="661"/>
      <c r="P53" s="252" t="str">
        <f t="shared" si="10"/>
        <v xml:space="preserve"> </v>
      </c>
      <c r="Q53" s="250"/>
      <c r="R53" s="660"/>
      <c r="S53" s="253" t="str">
        <f t="shared" si="11"/>
        <v xml:space="preserve"> </v>
      </c>
    </row>
    <row r="54" spans="1:19" ht="15.75">
      <c r="A54" s="41"/>
      <c r="B54" s="247"/>
      <c r="C54" s="248" t="s">
        <v>172</v>
      </c>
      <c r="D54" s="245"/>
      <c r="E54" s="245"/>
      <c r="F54" s="245"/>
      <c r="G54" s="245"/>
      <c r="H54" s="246" t="s">
        <v>177</v>
      </c>
      <c r="I54" s="249"/>
      <c r="J54" s="659"/>
      <c r="K54" s="250"/>
      <c r="L54" s="660"/>
      <c r="M54" s="251" t="str">
        <f t="shared" si="9"/>
        <v xml:space="preserve"> </v>
      </c>
      <c r="N54" s="250"/>
      <c r="O54" s="661"/>
      <c r="P54" s="252" t="str">
        <f t="shared" si="10"/>
        <v xml:space="preserve"> </v>
      </c>
      <c r="Q54" s="250"/>
      <c r="R54" s="660"/>
      <c r="S54" s="253" t="str">
        <f t="shared" si="11"/>
        <v xml:space="preserve"> </v>
      </c>
    </row>
    <row r="55" spans="1:19" ht="15.75">
      <c r="A55" s="41"/>
      <c r="B55" s="247"/>
      <c r="C55" s="141" t="s">
        <v>185</v>
      </c>
      <c r="D55" s="245"/>
      <c r="E55" s="245"/>
      <c r="F55" s="245"/>
      <c r="G55" s="245"/>
      <c r="H55" s="246" t="s">
        <v>178</v>
      </c>
      <c r="I55" s="249"/>
      <c r="J55" s="659"/>
      <c r="K55" s="250"/>
      <c r="L55" s="660"/>
      <c r="M55" s="251" t="str">
        <f t="shared" si="9"/>
        <v xml:space="preserve"> </v>
      </c>
      <c r="N55" s="250"/>
      <c r="O55" s="661"/>
      <c r="P55" s="252" t="str">
        <f t="shared" si="10"/>
        <v xml:space="preserve"> </v>
      </c>
      <c r="Q55" s="250"/>
      <c r="R55" s="660"/>
      <c r="S55" s="253" t="str">
        <f t="shared" si="11"/>
        <v xml:space="preserve"> </v>
      </c>
    </row>
    <row r="56" spans="1:19" ht="15.75">
      <c r="A56" s="41"/>
      <c r="B56" s="247"/>
      <c r="C56" s="248" t="s">
        <v>173</v>
      </c>
      <c r="D56" s="245"/>
      <c r="E56" s="245"/>
      <c r="F56" s="245"/>
      <c r="G56" s="245"/>
      <c r="H56" s="246" t="s">
        <v>179</v>
      </c>
      <c r="I56" s="249">
        <v>7.6113300000000024</v>
      </c>
      <c r="J56" s="659"/>
      <c r="K56" s="250">
        <v>22.876462537462544</v>
      </c>
      <c r="L56" s="660"/>
      <c r="M56" s="251">
        <f t="shared" si="9"/>
        <v>2.0055801729083531</v>
      </c>
      <c r="N56" s="250">
        <v>22.876462537462544</v>
      </c>
      <c r="O56" s="661"/>
      <c r="P56" s="252">
        <f t="shared" si="10"/>
        <v>0</v>
      </c>
      <c r="Q56" s="250">
        <v>22.876462537462544</v>
      </c>
      <c r="R56" s="660"/>
      <c r="S56" s="253">
        <f t="shared" si="11"/>
        <v>0</v>
      </c>
    </row>
    <row r="57" spans="1:19" ht="15.75">
      <c r="A57" s="41"/>
      <c r="B57" s="247"/>
      <c r="C57" s="141" t="s">
        <v>186</v>
      </c>
      <c r="D57" s="245"/>
      <c r="E57" s="245"/>
      <c r="F57" s="245"/>
      <c r="G57" s="245"/>
      <c r="H57" s="246" t="s">
        <v>190</v>
      </c>
      <c r="I57" s="249"/>
      <c r="J57" s="659"/>
      <c r="K57" s="250"/>
      <c r="L57" s="660"/>
      <c r="M57" s="251" t="str">
        <f t="shared" si="9"/>
        <v xml:space="preserve"> </v>
      </c>
      <c r="N57" s="250"/>
      <c r="O57" s="661"/>
      <c r="P57" s="252" t="str">
        <f t="shared" si="10"/>
        <v xml:space="preserve"> </v>
      </c>
      <c r="Q57" s="250"/>
      <c r="R57" s="660"/>
      <c r="S57" s="253" t="str">
        <f t="shared" si="11"/>
        <v xml:space="preserve"> </v>
      </c>
    </row>
    <row r="58" spans="1:19" ht="15.75">
      <c r="A58" s="41"/>
      <c r="B58" s="247"/>
      <c r="C58" s="248" t="s">
        <v>187</v>
      </c>
      <c r="D58" s="245"/>
      <c r="E58" s="245"/>
      <c r="F58" s="245"/>
      <c r="G58" s="245"/>
      <c r="H58" s="246" t="s">
        <v>191</v>
      </c>
      <c r="I58" s="249"/>
      <c r="J58" s="659"/>
      <c r="K58" s="250"/>
      <c r="L58" s="660"/>
      <c r="M58" s="251" t="str">
        <f t="shared" si="9"/>
        <v xml:space="preserve"> </v>
      </c>
      <c r="N58" s="250"/>
      <c r="O58" s="661"/>
      <c r="P58" s="252" t="str">
        <f t="shared" si="10"/>
        <v xml:space="preserve"> </v>
      </c>
      <c r="Q58" s="250"/>
      <c r="R58" s="660"/>
      <c r="S58" s="253" t="str">
        <f t="shared" si="11"/>
        <v xml:space="preserve"> </v>
      </c>
    </row>
    <row r="59" spans="1:19" ht="15.75">
      <c r="A59" s="41"/>
      <c r="B59" s="247"/>
      <c r="C59" s="141" t="s">
        <v>188</v>
      </c>
      <c r="D59" s="245"/>
      <c r="E59" s="245"/>
      <c r="F59" s="245"/>
      <c r="G59" s="245"/>
      <c r="H59" s="246" t="s">
        <v>192</v>
      </c>
      <c r="I59" s="249"/>
      <c r="J59" s="659"/>
      <c r="K59" s="250"/>
      <c r="L59" s="660"/>
      <c r="M59" s="251" t="str">
        <f t="shared" si="9"/>
        <v xml:space="preserve"> </v>
      </c>
      <c r="N59" s="250"/>
      <c r="O59" s="661"/>
      <c r="P59" s="252" t="str">
        <f t="shared" si="10"/>
        <v xml:space="preserve"> </v>
      </c>
      <c r="Q59" s="250"/>
      <c r="R59" s="660"/>
      <c r="S59" s="253" t="str">
        <f t="shared" si="11"/>
        <v xml:space="preserve"> </v>
      </c>
    </row>
    <row r="60" spans="1:19" ht="31.5" customHeight="1">
      <c r="A60" s="68"/>
      <c r="B60" s="1671" t="s">
        <v>364</v>
      </c>
      <c r="C60" s="1672"/>
      <c r="D60" s="1672"/>
      <c r="E60" s="1672"/>
      <c r="F60" s="1672"/>
      <c r="G60" s="1673"/>
      <c r="H60" s="246" t="s">
        <v>193</v>
      </c>
      <c r="I60" s="254">
        <f>I52+I54+I56+I58</f>
        <v>47.87</v>
      </c>
      <c r="J60" s="659"/>
      <c r="K60" s="254">
        <f>K52+K54+K56+K58</f>
        <v>143.87712287712287</v>
      </c>
      <c r="L60" s="660"/>
      <c r="M60" s="252">
        <f t="shared" si="9"/>
        <v>2.0055801729083531</v>
      </c>
      <c r="N60" s="254">
        <f>N52+N54+N56+N58</f>
        <v>143.87712287712287</v>
      </c>
      <c r="O60" s="660"/>
      <c r="P60" s="443">
        <f t="shared" si="10"/>
        <v>0</v>
      </c>
      <c r="Q60" s="254">
        <f>Q52+Q54+Q56+Q58</f>
        <v>143.87712287712287</v>
      </c>
      <c r="R60" s="660"/>
      <c r="S60" s="253">
        <f t="shared" si="11"/>
        <v>0</v>
      </c>
    </row>
    <row r="61" spans="1:19" ht="15.75">
      <c r="A61" s="68"/>
      <c r="B61" s="1671" t="s">
        <v>365</v>
      </c>
      <c r="C61" s="1672"/>
      <c r="D61" s="1672"/>
      <c r="E61" s="1672"/>
      <c r="F61" s="1672"/>
      <c r="G61" s="1673"/>
      <c r="H61" s="246" t="s">
        <v>194</v>
      </c>
      <c r="I61" s="254">
        <f>I53+I55+I57+I59</f>
        <v>0</v>
      </c>
      <c r="J61" s="255">
        <f>I61</f>
        <v>0</v>
      </c>
      <c r="K61" s="254">
        <f>K53+K55+K57+K59</f>
        <v>0</v>
      </c>
      <c r="L61" s="444">
        <f>K61</f>
        <v>0</v>
      </c>
      <c r="M61" s="252" t="str">
        <f t="shared" si="9"/>
        <v xml:space="preserve"> </v>
      </c>
      <c r="N61" s="254">
        <f>N53+N55+N57+N59</f>
        <v>0</v>
      </c>
      <c r="O61" s="444">
        <f>N61</f>
        <v>0</v>
      </c>
      <c r="P61" s="443" t="str">
        <f t="shared" si="10"/>
        <v xml:space="preserve"> </v>
      </c>
      <c r="Q61" s="254">
        <f>Q53+Q55+Q57+Q59</f>
        <v>0</v>
      </c>
      <c r="R61" s="444">
        <f>Q61</f>
        <v>0</v>
      </c>
      <c r="S61" s="253" t="str">
        <f t="shared" si="11"/>
        <v xml:space="preserve"> </v>
      </c>
    </row>
    <row r="62" spans="1:19" ht="34.5" customHeight="1">
      <c r="A62" s="68"/>
      <c r="B62" s="1671" t="s">
        <v>362</v>
      </c>
      <c r="C62" s="1672"/>
      <c r="D62" s="1672"/>
      <c r="E62" s="1672"/>
      <c r="F62" s="1672"/>
      <c r="G62" s="1673"/>
      <c r="H62" s="246" t="s">
        <v>361</v>
      </c>
      <c r="I62" s="254">
        <f>I60-I61</f>
        <v>47.87</v>
      </c>
      <c r="J62" s="255">
        <f>IF($G$10="","Cell G10 CANNOT be blank",I62*$G$10)</f>
        <v>47.87</v>
      </c>
      <c r="K62" s="254">
        <f>K60-K61</f>
        <v>143.87712287712287</v>
      </c>
      <c r="L62" s="444">
        <f>IF($G$10="","Cell G10 CANNOT be blank",K62*$G$10)</f>
        <v>143.87712287712287</v>
      </c>
      <c r="M62" s="252">
        <f t="shared" si="9"/>
        <v>2.0055801729083531</v>
      </c>
      <c r="N62" s="254">
        <f>N60-N61</f>
        <v>143.87712287712287</v>
      </c>
      <c r="O62" s="444">
        <f>IF($G$10="","Cell G10 CANNOT be blank",N62*$G$10)</f>
        <v>143.87712287712287</v>
      </c>
      <c r="P62" s="443">
        <f t="shared" si="10"/>
        <v>0</v>
      </c>
      <c r="Q62" s="254">
        <f>Q60-Q61</f>
        <v>143.87712287712287</v>
      </c>
      <c r="R62" s="444">
        <f>IF($G$10="","Cell G10 CANNOT be blank",Q62*$G$10)</f>
        <v>143.87712287712287</v>
      </c>
      <c r="S62" s="1009">
        <f t="shared" si="11"/>
        <v>0</v>
      </c>
    </row>
    <row r="63" spans="1:19" ht="15.75">
      <c r="A63" s="41"/>
      <c r="B63" s="34"/>
      <c r="C63" s="34"/>
      <c r="D63" s="34"/>
      <c r="E63" s="34"/>
      <c r="F63" s="34"/>
      <c r="G63" s="34"/>
      <c r="H63" s="564"/>
      <c r="I63" s="565"/>
      <c r="J63" s="566"/>
      <c r="K63" s="565"/>
      <c r="L63" s="566"/>
      <c r="M63" s="566"/>
      <c r="N63" s="565"/>
      <c r="O63" s="566"/>
      <c r="P63" s="566"/>
      <c r="Q63" s="565"/>
      <c r="R63" s="566"/>
      <c r="S63" s="567"/>
    </row>
    <row r="64" spans="1:19" ht="15.75">
      <c r="A64" s="42" t="s">
        <v>183</v>
      </c>
      <c r="B64" s="152"/>
      <c r="C64" s="152"/>
      <c r="D64" s="244"/>
      <c r="E64" s="244"/>
      <c r="F64" s="244"/>
      <c r="G64" s="244"/>
      <c r="H64" s="563"/>
      <c r="I64" s="440"/>
      <c r="J64" s="243"/>
      <c r="K64" s="243"/>
      <c r="L64" s="243"/>
      <c r="M64" s="243"/>
      <c r="N64" s="243"/>
      <c r="O64" s="243"/>
      <c r="P64" s="243"/>
      <c r="Q64" s="243"/>
      <c r="R64" s="243"/>
      <c r="S64" s="439"/>
    </row>
    <row r="65" spans="1:19" ht="15.75">
      <c r="A65" s="41"/>
      <c r="B65" s="247"/>
      <c r="C65" s="1674" t="s">
        <v>171</v>
      </c>
      <c r="D65" s="1674"/>
      <c r="E65" s="1674"/>
      <c r="F65" s="1674"/>
      <c r="G65" s="1675"/>
      <c r="H65" s="246" t="s">
        <v>175</v>
      </c>
      <c r="I65" s="254">
        <f t="shared" ref="I65:I72" si="12">I12+I26+I39+I52</f>
        <v>374.45524999999998</v>
      </c>
      <c r="J65" s="659"/>
      <c r="K65" s="256">
        <f t="shared" ref="K65:K72" si="13">K12+K26+K39+K52</f>
        <v>661.86699999999996</v>
      </c>
      <c r="L65" s="660"/>
      <c r="M65" s="251">
        <f t="shared" ref="M65:M75" si="14">IF(I65&lt;1," ",IF(K65&lt;1," ",(K65-I65)/I65))</f>
        <v>0.76754632229084785</v>
      </c>
      <c r="N65" s="256">
        <f t="shared" ref="N65:N72" si="15">N12+N26+N39+N52</f>
        <v>661.86699999999996</v>
      </c>
      <c r="O65" s="661"/>
      <c r="P65" s="252">
        <f t="shared" ref="P65:P75" si="16">IF(K65&lt;1," ",IF(N65&lt;1," ",(N65-K65)/K65))</f>
        <v>0</v>
      </c>
      <c r="Q65" s="256">
        <f t="shared" ref="Q65:Q72" si="17">Q12+Q26+Q39+Q52</f>
        <v>661.86699999999996</v>
      </c>
      <c r="R65" s="660"/>
      <c r="S65" s="253">
        <f t="shared" ref="S65:S75" si="18">IF(N65&lt;1," ",IF(Q65&lt;1," ",(Q65-N65)/N65))</f>
        <v>0</v>
      </c>
    </row>
    <row r="66" spans="1:19" ht="15.75">
      <c r="A66" s="41"/>
      <c r="B66" s="247"/>
      <c r="C66" s="1682" t="s">
        <v>184</v>
      </c>
      <c r="D66" s="1682"/>
      <c r="E66" s="1682"/>
      <c r="F66" s="1682"/>
      <c r="G66" s="1683"/>
      <c r="H66" s="246" t="s">
        <v>176</v>
      </c>
      <c r="I66" s="254">
        <f t="shared" si="12"/>
        <v>0</v>
      </c>
      <c r="J66" s="659"/>
      <c r="K66" s="256">
        <f t="shared" si="13"/>
        <v>0</v>
      </c>
      <c r="L66" s="660"/>
      <c r="M66" s="251" t="str">
        <f t="shared" si="14"/>
        <v xml:space="preserve"> </v>
      </c>
      <c r="N66" s="256">
        <f t="shared" si="15"/>
        <v>0</v>
      </c>
      <c r="O66" s="661"/>
      <c r="P66" s="252" t="str">
        <f t="shared" si="16"/>
        <v xml:space="preserve"> </v>
      </c>
      <c r="Q66" s="256">
        <f t="shared" si="17"/>
        <v>0</v>
      </c>
      <c r="R66" s="660"/>
      <c r="S66" s="253" t="str">
        <f t="shared" si="18"/>
        <v xml:space="preserve"> </v>
      </c>
    </row>
    <row r="67" spans="1:19" ht="15.75">
      <c r="A67" s="41"/>
      <c r="B67" s="247"/>
      <c r="C67" s="1674" t="s">
        <v>172</v>
      </c>
      <c r="D67" s="1674"/>
      <c r="E67" s="1674"/>
      <c r="F67" s="1674"/>
      <c r="G67" s="1675"/>
      <c r="H67" s="246" t="s">
        <v>177</v>
      </c>
      <c r="I67" s="254">
        <f t="shared" si="12"/>
        <v>0</v>
      </c>
      <c r="J67" s="659"/>
      <c r="K67" s="256">
        <f t="shared" si="13"/>
        <v>0</v>
      </c>
      <c r="L67" s="660"/>
      <c r="M67" s="251" t="str">
        <f t="shared" si="14"/>
        <v xml:space="preserve"> </v>
      </c>
      <c r="N67" s="256">
        <f t="shared" si="15"/>
        <v>0</v>
      </c>
      <c r="O67" s="661"/>
      <c r="P67" s="252" t="str">
        <f t="shared" si="16"/>
        <v xml:space="preserve"> </v>
      </c>
      <c r="Q67" s="256">
        <f t="shared" si="17"/>
        <v>0</v>
      </c>
      <c r="R67" s="660"/>
      <c r="S67" s="253" t="str">
        <f t="shared" si="18"/>
        <v xml:space="preserve"> </v>
      </c>
    </row>
    <row r="68" spans="1:19" ht="15.75">
      <c r="A68" s="41"/>
      <c r="B68" s="247"/>
      <c r="C68" s="1682" t="s">
        <v>185</v>
      </c>
      <c r="D68" s="1682"/>
      <c r="E68" s="1682"/>
      <c r="F68" s="1682"/>
      <c r="G68" s="1683"/>
      <c r="H68" s="246" t="s">
        <v>178</v>
      </c>
      <c r="I68" s="254">
        <f t="shared" si="12"/>
        <v>0</v>
      </c>
      <c r="J68" s="659"/>
      <c r="K68" s="256">
        <f t="shared" si="13"/>
        <v>0</v>
      </c>
      <c r="L68" s="660"/>
      <c r="M68" s="251" t="str">
        <f t="shared" si="14"/>
        <v xml:space="preserve"> </v>
      </c>
      <c r="N68" s="256">
        <f t="shared" si="15"/>
        <v>0</v>
      </c>
      <c r="O68" s="661"/>
      <c r="P68" s="252" t="str">
        <f t="shared" si="16"/>
        <v xml:space="preserve"> </v>
      </c>
      <c r="Q68" s="256">
        <f t="shared" si="17"/>
        <v>0</v>
      </c>
      <c r="R68" s="660"/>
      <c r="S68" s="253" t="str">
        <f t="shared" si="18"/>
        <v xml:space="preserve"> </v>
      </c>
    </row>
    <row r="69" spans="1:19" ht="15.75">
      <c r="A69" s="41"/>
      <c r="B69" s="247"/>
      <c r="C69" s="1674" t="s">
        <v>173</v>
      </c>
      <c r="D69" s="1674"/>
      <c r="E69" s="1674"/>
      <c r="F69" s="1674"/>
      <c r="G69" s="1675"/>
      <c r="H69" s="246" t="s">
        <v>179</v>
      </c>
      <c r="I69" s="254">
        <f t="shared" si="12"/>
        <v>70.794750000000022</v>
      </c>
      <c r="J69" s="659"/>
      <c r="K69" s="256">
        <f t="shared" si="13"/>
        <v>125.133</v>
      </c>
      <c r="L69" s="660"/>
      <c r="M69" s="251">
        <f t="shared" si="14"/>
        <v>0.76754632229084718</v>
      </c>
      <c r="N69" s="256">
        <f t="shared" si="15"/>
        <v>125.133</v>
      </c>
      <c r="O69" s="661"/>
      <c r="P69" s="252">
        <f t="shared" si="16"/>
        <v>0</v>
      </c>
      <c r="Q69" s="256">
        <f t="shared" si="17"/>
        <v>125.133</v>
      </c>
      <c r="R69" s="660"/>
      <c r="S69" s="253">
        <f t="shared" si="18"/>
        <v>0</v>
      </c>
    </row>
    <row r="70" spans="1:19" ht="15.75">
      <c r="A70" s="108"/>
      <c r="B70" s="247"/>
      <c r="C70" s="1682" t="s">
        <v>186</v>
      </c>
      <c r="D70" s="1682"/>
      <c r="E70" s="1682"/>
      <c r="F70" s="1682"/>
      <c r="G70" s="1683"/>
      <c r="H70" s="246" t="s">
        <v>190</v>
      </c>
      <c r="I70" s="254">
        <f t="shared" si="12"/>
        <v>0</v>
      </c>
      <c r="J70" s="659"/>
      <c r="K70" s="256">
        <f t="shared" si="13"/>
        <v>0</v>
      </c>
      <c r="L70" s="660"/>
      <c r="M70" s="251" t="str">
        <f t="shared" si="14"/>
        <v xml:space="preserve"> </v>
      </c>
      <c r="N70" s="256">
        <f t="shared" si="15"/>
        <v>0</v>
      </c>
      <c r="O70" s="661"/>
      <c r="P70" s="252" t="str">
        <f t="shared" si="16"/>
        <v xml:space="preserve"> </v>
      </c>
      <c r="Q70" s="256">
        <f t="shared" si="17"/>
        <v>0</v>
      </c>
      <c r="R70" s="660"/>
      <c r="S70" s="253" t="str">
        <f t="shared" si="18"/>
        <v xml:space="preserve"> </v>
      </c>
    </row>
    <row r="71" spans="1:19" ht="15.75">
      <c r="A71" s="108"/>
      <c r="B71" s="247"/>
      <c r="C71" s="1674" t="s">
        <v>187</v>
      </c>
      <c r="D71" s="1674"/>
      <c r="E71" s="1674"/>
      <c r="F71" s="1674"/>
      <c r="G71" s="1675"/>
      <c r="H71" s="246" t="s">
        <v>191</v>
      </c>
      <c r="I71" s="254">
        <f t="shared" si="12"/>
        <v>0</v>
      </c>
      <c r="J71" s="659"/>
      <c r="K71" s="256">
        <f t="shared" si="13"/>
        <v>0</v>
      </c>
      <c r="L71" s="660"/>
      <c r="M71" s="251" t="str">
        <f t="shared" si="14"/>
        <v xml:space="preserve"> </v>
      </c>
      <c r="N71" s="256">
        <f t="shared" si="15"/>
        <v>0</v>
      </c>
      <c r="O71" s="661"/>
      <c r="P71" s="252" t="str">
        <f t="shared" si="16"/>
        <v xml:space="preserve"> </v>
      </c>
      <c r="Q71" s="256">
        <f t="shared" si="17"/>
        <v>0</v>
      </c>
      <c r="R71" s="660"/>
      <c r="S71" s="253" t="str">
        <f t="shared" si="18"/>
        <v xml:space="preserve"> </v>
      </c>
    </row>
    <row r="72" spans="1:19" ht="15.75">
      <c r="A72" s="108"/>
      <c r="B72" s="247"/>
      <c r="C72" s="1682" t="s">
        <v>188</v>
      </c>
      <c r="D72" s="1682"/>
      <c r="E72" s="1682"/>
      <c r="F72" s="1682"/>
      <c r="G72" s="1683"/>
      <c r="H72" s="246" t="s">
        <v>192</v>
      </c>
      <c r="I72" s="254">
        <f t="shared" si="12"/>
        <v>0</v>
      </c>
      <c r="J72" s="659"/>
      <c r="K72" s="256">
        <f t="shared" si="13"/>
        <v>0</v>
      </c>
      <c r="L72" s="660"/>
      <c r="M72" s="251" t="str">
        <f t="shared" si="14"/>
        <v xml:space="preserve"> </v>
      </c>
      <c r="N72" s="256">
        <f t="shared" si="15"/>
        <v>0</v>
      </c>
      <c r="O72" s="661"/>
      <c r="P72" s="252" t="str">
        <f t="shared" si="16"/>
        <v xml:space="preserve"> </v>
      </c>
      <c r="Q72" s="256">
        <f t="shared" si="17"/>
        <v>0</v>
      </c>
      <c r="R72" s="660"/>
      <c r="S72" s="253" t="str">
        <f t="shared" si="18"/>
        <v xml:space="preserve"> </v>
      </c>
    </row>
    <row r="73" spans="1:19" ht="32.25" customHeight="1">
      <c r="A73" s="108"/>
      <c r="B73" s="1671" t="s">
        <v>364</v>
      </c>
      <c r="C73" s="1672"/>
      <c r="D73" s="1672"/>
      <c r="E73" s="1672"/>
      <c r="F73" s="1672"/>
      <c r="G73" s="1673"/>
      <c r="H73" s="246" t="s">
        <v>193</v>
      </c>
      <c r="I73" s="254">
        <f>I65+I67+I69+I71</f>
        <v>445.25</v>
      </c>
      <c r="J73" s="659"/>
      <c r="K73" s="254">
        <f>K65+K67+K69+K71</f>
        <v>787</v>
      </c>
      <c r="L73" s="660"/>
      <c r="M73" s="252">
        <f t="shared" si="14"/>
        <v>0.76754632229084785</v>
      </c>
      <c r="N73" s="254">
        <f>N65+N67+N69+N71</f>
        <v>787</v>
      </c>
      <c r="O73" s="660"/>
      <c r="P73" s="443">
        <f t="shared" si="16"/>
        <v>0</v>
      </c>
      <c r="Q73" s="254">
        <f>Q65+Q67+Q69+Q71</f>
        <v>787</v>
      </c>
      <c r="R73" s="660"/>
      <c r="S73" s="253">
        <f t="shared" si="18"/>
        <v>0</v>
      </c>
    </row>
    <row r="74" spans="1:19" ht="15.75">
      <c r="A74" s="108"/>
      <c r="B74" s="1671" t="s">
        <v>365</v>
      </c>
      <c r="C74" s="1672"/>
      <c r="D74" s="1672"/>
      <c r="E74" s="1672"/>
      <c r="F74" s="1672"/>
      <c r="G74" s="1673"/>
      <c r="H74" s="246" t="s">
        <v>194</v>
      </c>
      <c r="I74" s="254">
        <f>I66+I68+I70+I72</f>
        <v>0</v>
      </c>
      <c r="J74" s="255">
        <f>I74</f>
        <v>0</v>
      </c>
      <c r="K74" s="254">
        <f>K66+K68+K70+K72</f>
        <v>0</v>
      </c>
      <c r="L74" s="444">
        <f>K74</f>
        <v>0</v>
      </c>
      <c r="M74" s="252" t="str">
        <f t="shared" si="14"/>
        <v xml:space="preserve"> </v>
      </c>
      <c r="N74" s="254">
        <f>N66+N68+N70+N72</f>
        <v>0</v>
      </c>
      <c r="O74" s="444">
        <f>N74</f>
        <v>0</v>
      </c>
      <c r="P74" s="443" t="str">
        <f t="shared" si="16"/>
        <v xml:space="preserve"> </v>
      </c>
      <c r="Q74" s="254">
        <f>Q66+Q68+Q70+Q72</f>
        <v>0</v>
      </c>
      <c r="R74" s="444">
        <f>Q74</f>
        <v>0</v>
      </c>
      <c r="S74" s="253" t="str">
        <f t="shared" si="18"/>
        <v xml:space="preserve"> </v>
      </c>
    </row>
    <row r="75" spans="1:19" ht="34.5" customHeight="1">
      <c r="A75" s="441"/>
      <c r="B75" s="1671" t="s">
        <v>362</v>
      </c>
      <c r="C75" s="1672"/>
      <c r="D75" s="1672"/>
      <c r="E75" s="1672"/>
      <c r="F75" s="1672"/>
      <c r="G75" s="1673"/>
      <c r="H75" s="246" t="s">
        <v>361</v>
      </c>
      <c r="I75" s="254">
        <f>I73-I74</f>
        <v>445.25</v>
      </c>
      <c r="J75" s="255">
        <f>IF($G$10="","Cell G10 CANNOT be blank",I75*$G$10)</f>
        <v>445.25</v>
      </c>
      <c r="K75" s="254">
        <f>K73-K74</f>
        <v>787</v>
      </c>
      <c r="L75" s="444">
        <f>IF($G$10="","Cell G10 CANNOT be blank",K75*$G$10)</f>
        <v>787</v>
      </c>
      <c r="M75" s="252">
        <f t="shared" si="14"/>
        <v>0.76754632229084785</v>
      </c>
      <c r="N75" s="254">
        <f>N73-N74</f>
        <v>787</v>
      </c>
      <c r="O75" s="444">
        <f>IF($G$10="","Cell G10 CANNOT be blank",N75*$G$10)</f>
        <v>787</v>
      </c>
      <c r="P75" s="443">
        <f t="shared" si="16"/>
        <v>0</v>
      </c>
      <c r="Q75" s="254">
        <f>Q73-Q74</f>
        <v>787</v>
      </c>
      <c r="R75" s="444">
        <f>IF($G$10="","Cell G10 CANNOT be blank",Q75*$G$10)</f>
        <v>787</v>
      </c>
      <c r="S75" s="1009">
        <f t="shared" si="18"/>
        <v>0</v>
      </c>
    </row>
    <row r="76" spans="1:19" ht="16.5" thickBot="1">
      <c r="A76" s="1010"/>
      <c r="B76" s="1692" t="s">
        <v>363</v>
      </c>
      <c r="C76" s="1693"/>
      <c r="D76" s="1693"/>
      <c r="E76" s="1693"/>
      <c r="F76" s="1693"/>
      <c r="G76" s="1694"/>
      <c r="H76" s="577"/>
      <c r="I76" s="1011"/>
      <c r="J76" s="1012">
        <f>J74+J75</f>
        <v>445.25</v>
      </c>
      <c r="K76" s="1011"/>
      <c r="L76" s="1013">
        <f>L74+L75</f>
        <v>787</v>
      </c>
      <c r="M76" s="1014"/>
      <c r="N76" s="1011"/>
      <c r="O76" s="1013">
        <f>O74+O75</f>
        <v>787</v>
      </c>
      <c r="P76" s="1014"/>
      <c r="Q76" s="1011"/>
      <c r="R76" s="1013">
        <f>R74+R75</f>
        <v>787</v>
      </c>
      <c r="S76" s="1015"/>
    </row>
    <row r="77" spans="1:19" ht="15.75">
      <c r="A77" s="38"/>
      <c r="B77" s="107"/>
      <c r="C77" s="34"/>
      <c r="D77" s="34"/>
      <c r="E77" s="34"/>
      <c r="F77" s="34"/>
      <c r="G77" s="34"/>
      <c r="H77" s="38"/>
      <c r="I77" s="92"/>
      <c r="J77" s="38"/>
      <c r="K77" s="39"/>
      <c r="L77" s="39"/>
      <c r="M77" s="39"/>
      <c r="N77" s="39"/>
      <c r="O77" s="39"/>
      <c r="P77" s="39"/>
      <c r="S77" s="39"/>
    </row>
    <row r="78" spans="1:19" ht="19.5" customHeight="1">
      <c r="A78" s="1658" t="s">
        <v>303</v>
      </c>
      <c r="B78" s="1658"/>
      <c r="C78" s="1658"/>
      <c r="D78" s="1658"/>
      <c r="E78" s="1658"/>
      <c r="F78" s="1658"/>
      <c r="G78" s="1658"/>
      <c r="H78" s="1658"/>
      <c r="I78" s="1658"/>
      <c r="J78" s="1658"/>
      <c r="K78" s="1658"/>
      <c r="L78" s="1658"/>
      <c r="M78" s="1658"/>
      <c r="N78" s="1658"/>
      <c r="O78" s="1658"/>
      <c r="P78" s="1658"/>
      <c r="Q78" s="1658"/>
      <c r="R78" s="1658"/>
    </row>
    <row r="88" spans="17:17">
      <c r="Q88" s="89"/>
    </row>
  </sheetData>
  <sheetProtection password="D94D" sheet="1"/>
  <mergeCells count="62">
    <mergeCell ref="C67:G67"/>
    <mergeCell ref="B74:G74"/>
    <mergeCell ref="B75:G75"/>
    <mergeCell ref="B76:G76"/>
    <mergeCell ref="C68:G68"/>
    <mergeCell ref="C69:G69"/>
    <mergeCell ref="C70:G70"/>
    <mergeCell ref="C71:G71"/>
    <mergeCell ref="C72:G72"/>
    <mergeCell ref="B73:G73"/>
    <mergeCell ref="B60:G60"/>
    <mergeCell ref="B61:G61"/>
    <mergeCell ref="B62:G62"/>
    <mergeCell ref="C65:G65"/>
    <mergeCell ref="C66:G66"/>
    <mergeCell ref="B49:G49"/>
    <mergeCell ref="B34:G34"/>
    <mergeCell ref="B35:G35"/>
    <mergeCell ref="B36:G36"/>
    <mergeCell ref="C39:G39"/>
    <mergeCell ref="C40:G40"/>
    <mergeCell ref="C41:G41"/>
    <mergeCell ref="C42:G42"/>
    <mergeCell ref="C43:G43"/>
    <mergeCell ref="C44:G44"/>
    <mergeCell ref="C33:G33"/>
    <mergeCell ref="B47:G47"/>
    <mergeCell ref="B48:G48"/>
    <mergeCell ref="C45:G45"/>
    <mergeCell ref="C46:G46"/>
    <mergeCell ref="C28:G28"/>
    <mergeCell ref="C29:G29"/>
    <mergeCell ref="C30:G30"/>
    <mergeCell ref="C31:G31"/>
    <mergeCell ref="C32:G32"/>
    <mergeCell ref="C18:G18"/>
    <mergeCell ref="C19:G19"/>
    <mergeCell ref="B21:G21"/>
    <mergeCell ref="C26:G26"/>
    <mergeCell ref="C27:G27"/>
    <mergeCell ref="I1:N1"/>
    <mergeCell ref="I2:N2"/>
    <mergeCell ref="I4:K4"/>
    <mergeCell ref="I7:J7"/>
    <mergeCell ref="K7:M7"/>
    <mergeCell ref="N7:P7"/>
    <mergeCell ref="A78:R78"/>
    <mergeCell ref="Q7:S7"/>
    <mergeCell ref="A6:H6"/>
    <mergeCell ref="B23:G23"/>
    <mergeCell ref="M8:M9"/>
    <mergeCell ref="S8:S9"/>
    <mergeCell ref="P8:P9"/>
    <mergeCell ref="B20:G20"/>
    <mergeCell ref="B22:G22"/>
    <mergeCell ref="C12:G12"/>
    <mergeCell ref="A7:G8"/>
    <mergeCell ref="C13:G13"/>
    <mergeCell ref="C14:G14"/>
    <mergeCell ref="C15:G15"/>
    <mergeCell ref="C16:G16"/>
    <mergeCell ref="C17:G17"/>
  </mergeCells>
  <conditionalFormatting sqref="J21">
    <cfRule type="containsText" dxfId="387" priority="19" stopIfTrue="1" operator="containsText" text="Cell G10 CANNOT be blank">
      <formula>NOT(ISERROR(SEARCH("Cell G10 CANNOT be blank",J21)))</formula>
    </cfRule>
  </conditionalFormatting>
  <conditionalFormatting sqref="I1:I2">
    <cfRule type="containsText" dxfId="386" priority="21" stopIfTrue="1" operator="containsText" text="Enter">
      <formula>NOT(ISERROR(SEARCH("Enter",I1)))</formula>
    </cfRule>
  </conditionalFormatting>
  <conditionalFormatting sqref="A7">
    <cfRule type="containsText" dxfId="385" priority="20" stopIfTrue="1" operator="containsText" text="Enter">
      <formula>NOT(ISERROR(SEARCH("Enter",A7)))</formula>
    </cfRule>
  </conditionalFormatting>
  <conditionalFormatting sqref="L21">
    <cfRule type="containsText" dxfId="384" priority="18" stopIfTrue="1" operator="containsText" text="Cell G10 CANNOT be blank">
      <formula>NOT(ISERROR(SEARCH("Cell G10 CANNOT be blank",L21)))</formula>
    </cfRule>
  </conditionalFormatting>
  <conditionalFormatting sqref="O21">
    <cfRule type="containsText" dxfId="383" priority="17" stopIfTrue="1" operator="containsText" text="Cell G10 CANNOT be blank">
      <formula>NOT(ISERROR(SEARCH("Cell G10 CANNOT be blank",O21)))</formula>
    </cfRule>
  </conditionalFormatting>
  <conditionalFormatting sqref="R21">
    <cfRule type="containsText" dxfId="382" priority="16" stopIfTrue="1" operator="containsText" text="Cell G10 CANNOT be blank">
      <formula>NOT(ISERROR(SEARCH("Cell G10 CANNOT be blank",R21)))</formula>
    </cfRule>
  </conditionalFormatting>
  <conditionalFormatting sqref="J22">
    <cfRule type="containsText" dxfId="381" priority="15" stopIfTrue="1" operator="containsText" text="Cell G10 CANNOT be blank">
      <formula>NOT(ISERROR(SEARCH("Cell G10 CANNOT be blank",J22)))</formula>
    </cfRule>
  </conditionalFormatting>
  <conditionalFormatting sqref="L22">
    <cfRule type="containsText" dxfId="380" priority="14" stopIfTrue="1" operator="containsText" text="Cell G10 CANNOT be blank">
      <formula>NOT(ISERROR(SEARCH("Cell G10 CANNOT be blank",L22)))</formula>
    </cfRule>
  </conditionalFormatting>
  <conditionalFormatting sqref="O22">
    <cfRule type="containsText" dxfId="379" priority="13" stopIfTrue="1" operator="containsText" text="Cell G10 CANNOT be blank">
      <formula>NOT(ISERROR(SEARCH("Cell G10 CANNOT be blank",O22)))</formula>
    </cfRule>
  </conditionalFormatting>
  <conditionalFormatting sqref="R75 O75 L75 J75">
    <cfRule type="containsText" dxfId="378" priority="2" stopIfTrue="1" operator="containsText" text="Cell G10 CANNOT be blank">
      <formula>NOT(ISERROR(SEARCH("Cell G10 CANNOT be blank",J75)))</formula>
    </cfRule>
  </conditionalFormatting>
  <conditionalFormatting sqref="R22">
    <cfRule type="containsText" dxfId="377" priority="12" stopIfTrue="1" operator="containsText" text="Cell G10 CANNOT be blank">
      <formula>NOT(ISERROR(SEARCH("Cell G10 CANNOT be blank",R22)))</formula>
    </cfRule>
  </conditionalFormatting>
  <conditionalFormatting sqref="R61 O61 L61 J61">
    <cfRule type="containsText" dxfId="376" priority="5" stopIfTrue="1" operator="containsText" text="Cell G10 CANNOT be blank">
      <formula>NOT(ISERROR(SEARCH("Cell G10 CANNOT be blank",J61)))</formula>
    </cfRule>
  </conditionalFormatting>
  <conditionalFormatting sqref="R62 O62 L62 J62">
    <cfRule type="containsText" dxfId="375" priority="4" stopIfTrue="1" operator="containsText" text="Cell G10 CANNOT be blank">
      <formula>NOT(ISERROR(SEARCH("Cell G10 CANNOT be blank",J62)))</formula>
    </cfRule>
  </conditionalFormatting>
  <conditionalFormatting sqref="R35 O35 L35 J35">
    <cfRule type="containsText" dxfId="374" priority="9" stopIfTrue="1" operator="containsText" text="Cell G10 CANNOT be blank">
      <formula>NOT(ISERROR(SEARCH("Cell G10 CANNOT be blank",J35)))</formula>
    </cfRule>
  </conditionalFormatting>
  <conditionalFormatting sqref="R36 O36 L36 J36">
    <cfRule type="containsText" dxfId="373" priority="8" stopIfTrue="1" operator="containsText" text="Cell G10 CANNOT be blank">
      <formula>NOT(ISERROR(SEARCH("Cell G10 CANNOT be blank",J36)))</formula>
    </cfRule>
  </conditionalFormatting>
  <conditionalFormatting sqref="R48 O48 L48 J48">
    <cfRule type="containsText" dxfId="372" priority="7" stopIfTrue="1" operator="containsText" text="Cell G10 CANNOT be blank">
      <formula>NOT(ISERROR(SEARCH("Cell G10 CANNOT be blank",J48)))</formula>
    </cfRule>
  </conditionalFormatting>
  <conditionalFormatting sqref="R49 O49 L49 J49">
    <cfRule type="containsText" dxfId="371" priority="6" stopIfTrue="1" operator="containsText" text="Cell G10 CANNOT be blank">
      <formula>NOT(ISERROR(SEARCH("Cell G10 CANNOT be blank",J49)))</formula>
    </cfRule>
  </conditionalFormatting>
  <conditionalFormatting sqref="R74 O74 L74 J74">
    <cfRule type="containsText" dxfId="370" priority="3" stopIfTrue="1" operator="containsText" text="Cell G10 CANNOT be blank">
      <formula>NOT(ISERROR(SEARCH("Cell G10 CANNOT be blank",J74)))</formula>
    </cfRule>
  </conditionalFormatting>
  <conditionalFormatting sqref="J76 L76 O76 R76">
    <cfRule type="containsText" dxfId="369" priority="1" stopIfTrue="1" operator="containsText" text="Cell G10 CANNOT be blank">
      <formula>NOT(ISERROR(SEARCH("Cell G10 CANNOT be blank",J76)))</formula>
    </cfRule>
  </conditionalFormatting>
  <pageMargins left="0.7" right="0.7" top="0.75" bottom="0.75" header="0.3" footer="0.3"/>
  <pageSetup scale="52" fitToHeight="0" orientation="landscape" r:id="rId1"/>
  <headerFooter>
    <oddHeader>&amp;RPage &amp;P of &amp;N</oddHeader>
  </headerFooter>
  <rowBreaks count="1" manualBreakCount="1">
    <brk id="49"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theme="6" tint="-0.249977111117893"/>
    <pageSetUpPr fitToPage="1"/>
  </sheetPr>
  <dimension ref="A1:M94"/>
  <sheetViews>
    <sheetView showGridLines="0" showWhiteSpace="0" zoomScaleNormal="100" workbookViewId="0">
      <pane xSplit="6" ySplit="8" topLeftCell="G64" activePane="bottomRight" state="frozen"/>
      <selection pane="topRight" activeCell="G1" sqref="G1"/>
      <selection pane="bottomLeft" activeCell="A9" sqref="A9"/>
      <selection pane="bottomRight" activeCell="G41" sqref="G41:G43"/>
    </sheetView>
  </sheetViews>
  <sheetFormatPr defaultRowHeight="12.75"/>
  <cols>
    <col min="1" max="1" width="3.7109375" customWidth="1"/>
    <col min="2" max="2" width="11" customWidth="1"/>
    <col min="3" max="3" width="16.42578125" customWidth="1"/>
    <col min="4" max="4" width="29.7109375" customWidth="1"/>
    <col min="6" max="6" width="13.7109375" customWidth="1"/>
    <col min="7" max="8" width="19.42578125" customWidth="1"/>
    <col min="9" max="9" width="11.28515625" customWidth="1"/>
    <col min="10" max="10" width="18.7109375" customWidth="1"/>
    <col min="11" max="11" width="11.28515625" customWidth="1"/>
    <col min="12" max="12" width="83.5703125" style="1203" customWidth="1"/>
    <col min="13" max="32" width="9.28515625" customWidth="1"/>
  </cols>
  <sheetData>
    <row r="1" spans="1:11" ht="15.75">
      <c r="A1" s="1645" t="str">
        <f>IF('BUDGET-CERTIFICATION'!$H$1="","CHARTER NAME: Enter Charter Name on BUDGET-CERTIFICATION Worksheet",(CONCATENATE("CHARTER NAME: ",'BUDGET-CERTIFICATION'!$H$1)))</f>
        <v>CHARTER NAME: Elite Academic Academy - Virtual Prep Lucerne</v>
      </c>
      <c r="B1" s="1645"/>
      <c r="C1" s="1645"/>
      <c r="D1" s="1645"/>
      <c r="E1" s="1645"/>
      <c r="F1" s="1645"/>
      <c r="G1" s="12"/>
      <c r="H1" s="12"/>
      <c r="I1" s="12"/>
      <c r="J1" s="1"/>
      <c r="K1" s="1"/>
    </row>
    <row r="2" spans="1:11" ht="15.75">
      <c r="A2" s="1645" t="str">
        <f>IF('BUDGET-CERTIFICATION'!$H$2="","CDS #: Enter Charter CDS # on BUDGET-CERTIFICATION Worksheet",(_xlfn.CONCAT("CDS #: ",'BUDGET-CERTIFICATION'!$H$2)))</f>
        <v>CDS #: 36-75051-0138107</v>
      </c>
      <c r="B2" s="1645"/>
      <c r="C2" s="1645"/>
      <c r="D2" s="1645"/>
      <c r="E2" s="1645"/>
      <c r="F2" s="1645"/>
      <c r="G2" s="82"/>
      <c r="H2" s="82"/>
      <c r="I2" s="82"/>
      <c r="J2" s="1"/>
      <c r="K2" s="1"/>
    </row>
    <row r="3" spans="1:11" ht="15.75">
      <c r="A3" s="1645" t="str">
        <f>IF('BUDGET-CERTIFICATION'!$H$5="","CHARTER #: Enter Charter # on BUDGET-CERTIFICATION Worksheet",(_xlfn.CONCAT("CHARTER #: ",'BUDGET-CERTIFICATION'!$H$5)))</f>
        <v>CHARTER #: 1975</v>
      </c>
      <c r="B3" s="1645"/>
      <c r="C3" s="1645"/>
      <c r="D3" s="1645"/>
      <c r="E3" s="1645"/>
      <c r="F3" s="1645"/>
      <c r="G3" s="12"/>
      <c r="H3" s="12"/>
      <c r="I3" s="12"/>
      <c r="J3" s="1"/>
      <c r="K3" s="1"/>
    </row>
    <row r="4" spans="1:11" ht="15.75">
      <c r="A4" s="1700" t="str">
        <f>'Budget-ADA'!I4</f>
        <v>Fiscal Year 2022-23 Budget</v>
      </c>
      <c r="B4" s="1700"/>
      <c r="C4" s="1700"/>
      <c r="D4" s="1700"/>
      <c r="E4" s="1700"/>
      <c r="F4" s="1700"/>
      <c r="G4" s="1700"/>
      <c r="H4" s="1700"/>
      <c r="I4" s="1700"/>
      <c r="J4" s="1700"/>
      <c r="K4" s="1700"/>
    </row>
    <row r="5" spans="1:11" ht="16.5" thickBot="1">
      <c r="A5" s="1581" t="str">
        <f>Instructions!H1</f>
        <v>Form Orignated 5/16/2022</v>
      </c>
      <c r="B5" s="267"/>
      <c r="C5" s="267"/>
      <c r="D5" s="12"/>
      <c r="E5" s="12"/>
      <c r="F5" s="12"/>
      <c r="G5" s="12"/>
      <c r="H5" s="12"/>
      <c r="I5" s="12"/>
      <c r="J5" s="1"/>
      <c r="K5" s="12"/>
    </row>
    <row r="6" spans="1:11" ht="16.5" thickBot="1">
      <c r="A6" s="684" t="s">
        <v>35</v>
      </c>
      <c r="B6" s="685"/>
      <c r="C6" s="685"/>
      <c r="D6" s="685"/>
      <c r="E6" s="685"/>
      <c r="F6" s="686"/>
      <c r="G6" s="281" t="str">
        <f>'Budget-ADA'!K7</f>
        <v>2022-23</v>
      </c>
      <c r="H6" s="282" t="str">
        <f>'Budget-ADA'!N7</f>
        <v>2023-24</v>
      </c>
      <c r="I6" s="282" t="s">
        <v>22</v>
      </c>
      <c r="J6" s="282" t="str">
        <f>'Budget-ADA'!Q7</f>
        <v>2024-25</v>
      </c>
      <c r="K6" s="283" t="s">
        <v>22</v>
      </c>
    </row>
    <row r="7" spans="1:11" ht="15.75">
      <c r="A7" s="332"/>
      <c r="B7" s="1"/>
      <c r="C7" s="1"/>
      <c r="D7" s="1"/>
      <c r="E7" s="1"/>
      <c r="F7" s="1218"/>
      <c r="G7" s="1555"/>
      <c r="H7" s="168"/>
      <c r="I7" s="168"/>
      <c r="J7" s="168"/>
      <c r="K7" s="666"/>
    </row>
    <row r="8" spans="1:11" ht="15.75">
      <c r="A8" s="687" t="s">
        <v>328</v>
      </c>
      <c r="C8" s="155"/>
      <c r="D8" s="155"/>
      <c r="E8" s="155"/>
      <c r="F8" s="665"/>
      <c r="G8" s="667"/>
      <c r="H8" s="667"/>
      <c r="I8" s="655"/>
      <c r="J8" s="667"/>
      <c r="K8" s="656"/>
    </row>
    <row r="9" spans="1:11" ht="15.75">
      <c r="A9" s="68"/>
      <c r="B9" s="142" t="s">
        <v>250</v>
      </c>
      <c r="C9" s="141"/>
      <c r="D9" s="143"/>
      <c r="E9" s="141"/>
      <c r="F9" s="1505"/>
      <c r="G9" s="1506">
        <v>5.33E-2</v>
      </c>
      <c r="H9" s="1506">
        <v>3.61E-2</v>
      </c>
      <c r="I9" s="489">
        <f>SUM(H9-G9)</f>
        <v>-1.72E-2</v>
      </c>
      <c r="J9" s="1507">
        <v>3.6400000000000002E-2</v>
      </c>
      <c r="K9" s="488">
        <f>SUM(J9-H9)</f>
        <v>3.0000000000000165E-4</v>
      </c>
    </row>
    <row r="10" spans="1:11" ht="15.75" hidden="1">
      <c r="A10" s="284"/>
      <c r="B10" s="144" t="s">
        <v>251</v>
      </c>
      <c r="C10" s="145"/>
      <c r="D10" s="143"/>
      <c r="E10" s="145"/>
      <c r="F10" s="1505"/>
      <c r="G10" s="1508"/>
      <c r="H10" s="1508"/>
      <c r="I10" s="489">
        <f>SUM(H10-G10)</f>
        <v>0</v>
      </c>
      <c r="J10" s="1507"/>
      <c r="K10" s="488">
        <f>SUM(J10-H10)</f>
        <v>0</v>
      </c>
    </row>
    <row r="11" spans="1:11" ht="15.75">
      <c r="A11" s="284"/>
      <c r="B11" s="144" t="s">
        <v>375</v>
      </c>
      <c r="C11" s="145"/>
      <c r="D11" s="145"/>
      <c r="E11" s="145"/>
      <c r="F11" s="1505"/>
      <c r="G11" s="1509">
        <v>8452168.0600000005</v>
      </c>
      <c r="H11" s="1510">
        <v>8759124</v>
      </c>
      <c r="I11" s="489">
        <f>SUM(H11-G11)/G11</f>
        <v>3.6316828749853258E-2</v>
      </c>
      <c r="J11" s="1509">
        <v>9080158</v>
      </c>
      <c r="K11" s="488">
        <f>SUM(J11-H11)/H11</f>
        <v>3.6651382033180489E-2</v>
      </c>
    </row>
    <row r="12" spans="1:11" ht="15.75">
      <c r="A12" s="284"/>
      <c r="B12" s="374" t="s">
        <v>327</v>
      </c>
      <c r="C12" s="145" t="s">
        <v>376</v>
      </c>
      <c r="D12" s="145"/>
      <c r="E12" s="145"/>
      <c r="F12" s="1511">
        <v>44678</v>
      </c>
      <c r="G12" s="1512"/>
      <c r="H12" s="1513"/>
      <c r="I12" s="1514"/>
      <c r="J12" s="1512"/>
      <c r="K12" s="1515"/>
    </row>
    <row r="13" spans="1:11" ht="15.75">
      <c r="A13" s="284"/>
      <c r="B13" s="144"/>
      <c r="C13" s="145" t="s">
        <v>252</v>
      </c>
      <c r="D13" s="145"/>
      <c r="E13" s="145"/>
      <c r="F13" s="1511">
        <v>44734</v>
      </c>
      <c r="G13" s="1512"/>
      <c r="H13" s="1513"/>
      <c r="I13" s="1514"/>
      <c r="J13" s="1512"/>
      <c r="K13" s="1515"/>
    </row>
    <row r="14" spans="1:11" ht="15.75">
      <c r="A14" s="284"/>
      <c r="B14" s="333"/>
      <c r="C14" s="333"/>
      <c r="D14" s="333"/>
      <c r="E14" s="333"/>
      <c r="F14" s="668"/>
      <c r="G14" s="669"/>
      <c r="H14" s="670"/>
      <c r="I14" s="495"/>
      <c r="J14" s="671"/>
      <c r="K14" s="672"/>
    </row>
    <row r="15" spans="1:11" ht="15.75">
      <c r="A15" s="687" t="s">
        <v>344</v>
      </c>
      <c r="B15" s="134"/>
      <c r="C15" s="673"/>
      <c r="D15" s="673"/>
      <c r="E15" s="673"/>
      <c r="F15" s="674"/>
      <c r="G15" s="675"/>
      <c r="H15" s="675"/>
      <c r="I15" s="676"/>
      <c r="J15" s="675"/>
      <c r="K15" s="677"/>
    </row>
    <row r="16" spans="1:11" ht="15.75">
      <c r="A16" s="284"/>
      <c r="B16" s="144" t="s">
        <v>150</v>
      </c>
      <c r="C16" s="145"/>
      <c r="D16" s="145"/>
      <c r="E16" s="145"/>
      <c r="F16" s="1505"/>
      <c r="G16" s="1509">
        <v>163</v>
      </c>
      <c r="H16" s="1509">
        <v>163</v>
      </c>
      <c r="I16" s="1516">
        <f>H16-G16</f>
        <v>0</v>
      </c>
      <c r="J16" s="1509">
        <v>163</v>
      </c>
      <c r="K16" s="1517">
        <f>SUM(J16-H16)</f>
        <v>0</v>
      </c>
    </row>
    <row r="17" spans="1:11" ht="15.75">
      <c r="A17" s="284"/>
      <c r="B17" s="144" t="s">
        <v>151</v>
      </c>
      <c r="C17" s="145"/>
      <c r="D17" s="145"/>
      <c r="E17" s="145"/>
      <c r="F17" s="1505"/>
      <c r="G17" s="1509"/>
      <c r="H17" s="1509"/>
      <c r="I17" s="1516">
        <f>H17-G17</f>
        <v>0</v>
      </c>
      <c r="J17" s="1509"/>
      <c r="K17" s="1517">
        <f>SUM(J17-H17)</f>
        <v>0</v>
      </c>
    </row>
    <row r="18" spans="1:11" ht="15.75">
      <c r="A18" s="284"/>
      <c r="B18" s="333"/>
      <c r="C18" s="333"/>
      <c r="D18" s="333"/>
      <c r="E18" s="333"/>
      <c r="F18" s="668"/>
      <c r="G18" s="669"/>
      <c r="H18" s="670"/>
      <c r="I18" s="495"/>
      <c r="J18" s="671"/>
      <c r="K18" s="672"/>
    </row>
    <row r="19" spans="1:11" ht="15.75">
      <c r="A19" s="688" t="s">
        <v>201</v>
      </c>
      <c r="C19" s="166"/>
      <c r="D19" s="166"/>
      <c r="E19" s="166"/>
      <c r="F19" s="665"/>
      <c r="G19" s="678"/>
      <c r="H19" s="678"/>
      <c r="I19" s="553"/>
      <c r="J19" s="679"/>
      <c r="K19" s="554"/>
    </row>
    <row r="20" spans="1:11" ht="15.75">
      <c r="A20" s="284"/>
      <c r="B20" s="144" t="s">
        <v>152</v>
      </c>
      <c r="C20" s="145"/>
      <c r="D20" s="145"/>
      <c r="E20" s="145"/>
      <c r="F20" s="1518"/>
      <c r="G20" s="1519">
        <f>'Budget-ADA'!K75</f>
        <v>787</v>
      </c>
      <c r="H20" s="1520">
        <f>'Budget-ADA'!N75</f>
        <v>787</v>
      </c>
      <c r="I20" s="1521">
        <f>H20-G20</f>
        <v>0</v>
      </c>
      <c r="J20" s="1520">
        <f>'Budget-ADA'!Q75</f>
        <v>787</v>
      </c>
      <c r="K20" s="1532">
        <f>J20-H20</f>
        <v>0</v>
      </c>
    </row>
    <row r="21" spans="1:11" ht="33" customHeight="1">
      <c r="A21" s="284"/>
      <c r="B21" s="654" t="s">
        <v>154</v>
      </c>
      <c r="C21" s="145"/>
      <c r="D21" s="145"/>
      <c r="E21" s="145"/>
      <c r="F21" s="1518"/>
      <c r="G21" s="1522">
        <f>IF(('Budget-ADA'!L75="Cell G10 CANNOT be blank"), "Missing Data Budget-ADA Tab, cell G10",'Budget-ADA'!L75)</f>
        <v>787</v>
      </c>
      <c r="H21" s="1522">
        <f>IF(('Budget-ADA'!O75="Cell G10 CANNOT be blank"), "Missing Data Budget-ADA Tab, cell G10",'Budget-ADA'!O75)</f>
        <v>787</v>
      </c>
      <c r="I21" s="1521">
        <f>H21-G21</f>
        <v>0</v>
      </c>
      <c r="J21" s="1522">
        <f>IF(('Budget-ADA'!R75="Cell G10 CANNOT be blank"), "Missing Data Budget-ADA Tab, cell G10",'Budget-ADA'!R75)</f>
        <v>787</v>
      </c>
      <c r="K21" s="1532">
        <f>J21-H21</f>
        <v>0</v>
      </c>
    </row>
    <row r="22" spans="1:11" ht="15.75">
      <c r="A22" s="284"/>
      <c r="B22" s="144" t="s">
        <v>153</v>
      </c>
      <c r="C22" s="145"/>
      <c r="D22" s="145"/>
      <c r="E22" s="145"/>
      <c r="F22" s="1518"/>
      <c r="G22" s="1523">
        <f>'Budget-ADA'!L74</f>
        <v>0</v>
      </c>
      <c r="H22" s="1520">
        <f>'Budget-ADA'!O74</f>
        <v>0</v>
      </c>
      <c r="I22" s="1521">
        <f>H22-G22</f>
        <v>0</v>
      </c>
      <c r="J22" s="1520">
        <f>'Budget-ADA'!R74</f>
        <v>0</v>
      </c>
      <c r="K22" s="1532">
        <f>J22-H22</f>
        <v>0</v>
      </c>
    </row>
    <row r="23" spans="1:11" ht="15.75">
      <c r="A23" s="68"/>
      <c r="B23" s="147" t="s">
        <v>36</v>
      </c>
      <c r="C23" s="141"/>
      <c r="D23" s="141"/>
      <c r="E23" s="141"/>
      <c r="F23" s="1518"/>
      <c r="G23" s="1524">
        <f>SUM(G21:G22)</f>
        <v>787</v>
      </c>
      <c r="H23" s="1524">
        <f>SUM(H21:H22)</f>
        <v>787</v>
      </c>
      <c r="I23" s="1521">
        <f>H23-G23</f>
        <v>0</v>
      </c>
      <c r="J23" s="1524">
        <f>SUM(J21:J22)</f>
        <v>787</v>
      </c>
      <c r="K23" s="1532">
        <f>J23-H23</f>
        <v>0</v>
      </c>
    </row>
    <row r="24" spans="1:11" ht="15.75">
      <c r="A24" s="285"/>
      <c r="B24" s="148" t="s">
        <v>140</v>
      </c>
      <c r="C24" s="149"/>
      <c r="D24" s="149"/>
      <c r="E24" s="150" t="s">
        <v>336</v>
      </c>
      <c r="F24" s="1525">
        <v>488</v>
      </c>
      <c r="G24" s="1526">
        <v>1000</v>
      </c>
      <c r="H24" s="1526">
        <v>1000</v>
      </c>
      <c r="I24" s="1521">
        <f>H24-G24</f>
        <v>0</v>
      </c>
      <c r="J24" s="1526">
        <v>1000</v>
      </c>
      <c r="K24" s="1532">
        <f>J24-H24</f>
        <v>0</v>
      </c>
    </row>
    <row r="25" spans="1:11" ht="15.75">
      <c r="A25" s="285"/>
      <c r="B25" s="148" t="s">
        <v>203</v>
      </c>
      <c r="C25" s="149"/>
      <c r="D25" s="149"/>
      <c r="E25" s="152"/>
      <c r="F25" s="1527"/>
      <c r="G25" s="489">
        <f>(G24-F24)/F24</f>
        <v>1.0491803278688525</v>
      </c>
      <c r="H25" s="489">
        <f>(H24-G24)/G24</f>
        <v>0</v>
      </c>
      <c r="I25" s="1514" t="s">
        <v>2</v>
      </c>
      <c r="J25" s="489">
        <f>(J24-H24)/H24</f>
        <v>0</v>
      </c>
      <c r="K25" s="1515" t="s">
        <v>2</v>
      </c>
    </row>
    <row r="26" spans="1:11" ht="15.75">
      <c r="A26" s="285"/>
      <c r="B26" s="148" t="s">
        <v>202</v>
      </c>
      <c r="C26" s="149"/>
      <c r="D26" s="149"/>
      <c r="E26" s="219" t="str">
        <f>'Budget-ADA'!$I$7</f>
        <v>2021-22</v>
      </c>
      <c r="F26" s="1528">
        <f>'Budget-ADA'!$J$76/F24</f>
        <v>0.91239754098360659</v>
      </c>
      <c r="G26" s="489">
        <f>G23/G24</f>
        <v>0.78700000000000003</v>
      </c>
      <c r="H26" s="489">
        <f>H23/H24</f>
        <v>0.78700000000000003</v>
      </c>
      <c r="I26" s="1514" t="s">
        <v>2</v>
      </c>
      <c r="J26" s="489">
        <f>J23/J24</f>
        <v>0.78700000000000003</v>
      </c>
      <c r="K26" s="1515" t="s">
        <v>2</v>
      </c>
    </row>
    <row r="27" spans="1:11" ht="15.75">
      <c r="A27" s="285"/>
      <c r="B27" s="148" t="s">
        <v>369</v>
      </c>
      <c r="C27" s="149"/>
      <c r="D27" s="149"/>
      <c r="E27" s="150" t="s">
        <v>359</v>
      </c>
      <c r="F27" s="1525">
        <v>283</v>
      </c>
      <c r="G27" s="1526"/>
      <c r="H27" s="1526"/>
      <c r="I27" s="1521">
        <f>H27-G27</f>
        <v>0</v>
      </c>
      <c r="J27" s="1526"/>
      <c r="K27" s="1532">
        <f>J27-H27</f>
        <v>0</v>
      </c>
    </row>
    <row r="28" spans="1:11" ht="16.5">
      <c r="A28" s="285"/>
      <c r="B28" s="148" t="s">
        <v>489</v>
      </c>
      <c r="C28" s="149"/>
      <c r="D28" s="149"/>
      <c r="E28" s="219" t="str">
        <f>E26</f>
        <v>2021-22</v>
      </c>
      <c r="F28" s="1408">
        <v>0.60089999999999999</v>
      </c>
      <c r="G28" s="1529">
        <v>0.59209999999999996</v>
      </c>
      <c r="H28" s="1529">
        <v>0.59319999999999995</v>
      </c>
      <c r="I28" s="1514"/>
      <c r="J28" s="1529">
        <v>0.59540000000000004</v>
      </c>
      <c r="K28" s="1515" t="s">
        <v>2</v>
      </c>
    </row>
    <row r="29" spans="1:11" ht="15.75">
      <c r="A29" s="284"/>
      <c r="B29" s="333"/>
      <c r="C29" s="333"/>
      <c r="D29" s="333"/>
      <c r="E29" s="333"/>
      <c r="F29" s="1218"/>
      <c r="G29" s="669"/>
      <c r="H29" s="670"/>
      <c r="I29" s="495"/>
      <c r="J29" s="671"/>
      <c r="K29" s="672"/>
    </row>
    <row r="30" spans="1:11" ht="15.75">
      <c r="A30" s="689" t="s">
        <v>205</v>
      </c>
      <c r="C30" s="155"/>
      <c r="D30" s="155"/>
      <c r="E30" s="155"/>
      <c r="F30" s="152"/>
      <c r="G30" s="1322"/>
      <c r="H30" s="1322"/>
      <c r="I30" s="553"/>
      <c r="J30" s="680"/>
      <c r="K30" s="554"/>
    </row>
    <row r="31" spans="1:11" ht="15.75">
      <c r="A31" s="68"/>
      <c r="B31" s="147" t="s">
        <v>233</v>
      </c>
      <c r="C31" s="141"/>
      <c r="D31" s="141"/>
      <c r="E31" s="141"/>
      <c r="F31" s="1518"/>
      <c r="G31" s="1530">
        <v>39</v>
      </c>
      <c r="H31" s="1530">
        <v>39</v>
      </c>
      <c r="I31" s="1521">
        <f>SUM(H31-G31)</f>
        <v>0</v>
      </c>
      <c r="J31" s="1530">
        <v>39</v>
      </c>
      <c r="K31" s="1532">
        <f>SUM(J31-H31)</f>
        <v>0</v>
      </c>
    </row>
    <row r="32" spans="1:11" ht="15.75">
      <c r="A32" s="68"/>
      <c r="B32" s="147" t="s">
        <v>498</v>
      </c>
      <c r="C32" s="141"/>
      <c r="D32" s="141"/>
      <c r="E32" s="141"/>
      <c r="F32" s="1533"/>
      <c r="G32" s="1530">
        <v>6</v>
      </c>
      <c r="H32" s="1530">
        <v>6</v>
      </c>
      <c r="I32" s="1521">
        <f>SUM(H32-G32)</f>
        <v>0</v>
      </c>
      <c r="J32" s="1530">
        <v>6</v>
      </c>
      <c r="K32" s="1532">
        <f>SUM(J32-H32)</f>
        <v>0</v>
      </c>
    </row>
    <row r="33" spans="1:11" ht="15.75">
      <c r="A33" s="68"/>
      <c r="B33" s="147" t="s">
        <v>385</v>
      </c>
      <c r="C33" s="141"/>
      <c r="D33" s="141"/>
      <c r="E33" s="141"/>
      <c r="F33" s="1533"/>
      <c r="G33" s="1534">
        <v>1</v>
      </c>
      <c r="H33" s="1534">
        <v>1</v>
      </c>
      <c r="I33" s="1521">
        <f>SUM(H33-G33)</f>
        <v>0</v>
      </c>
      <c r="J33" s="1534">
        <v>1</v>
      </c>
      <c r="K33" s="1532">
        <f>SUM(J33-H33)</f>
        <v>0</v>
      </c>
    </row>
    <row r="34" spans="1:11" ht="15.75">
      <c r="A34" s="285"/>
      <c r="B34" s="151" t="s">
        <v>204</v>
      </c>
      <c r="C34" s="141"/>
      <c r="D34" s="149"/>
      <c r="E34" s="149"/>
      <c r="F34" s="1533"/>
      <c r="G34" s="1521">
        <f>G24/G31</f>
        <v>25.641025641025642</v>
      </c>
      <c r="H34" s="1521">
        <f>H24/H31</f>
        <v>25.641025641025642</v>
      </c>
      <c r="I34" s="1521">
        <f>SUM(H34-G34)</f>
        <v>0</v>
      </c>
      <c r="J34" s="1521">
        <f>J24/J31</f>
        <v>25.641025641025642</v>
      </c>
      <c r="K34" s="1532">
        <f>SUM(J34-H34)</f>
        <v>0</v>
      </c>
    </row>
    <row r="35" spans="1:11" ht="15.75">
      <c r="A35" s="68"/>
      <c r="B35" s="147" t="s">
        <v>347</v>
      </c>
      <c r="C35" s="141"/>
      <c r="D35" s="141"/>
      <c r="E35" s="141"/>
      <c r="F35" s="1518"/>
      <c r="G35" s="1535">
        <v>12</v>
      </c>
      <c r="H35" s="1535">
        <v>0</v>
      </c>
      <c r="I35" s="1521">
        <f>SUM(H35-G35)</f>
        <v>-12</v>
      </c>
      <c r="J35" s="1535">
        <v>0</v>
      </c>
      <c r="K35" s="1532">
        <f>SUM(J35-H35)</f>
        <v>0</v>
      </c>
    </row>
    <row r="36" spans="1:11" ht="15.75">
      <c r="A36" s="68"/>
      <c r="B36" s="142" t="s">
        <v>486</v>
      </c>
      <c r="C36" s="141"/>
      <c r="D36" s="141"/>
      <c r="E36" s="141"/>
      <c r="F36" s="1518"/>
      <c r="G36" s="1536">
        <v>75085.256410256407</v>
      </c>
      <c r="H36" s="1536">
        <f>+G36*1.035</f>
        <v>77713.240384615376</v>
      </c>
      <c r="I36" s="634">
        <f t="shared" ref="I36:I42" si="0">IF(G36&lt;1," ",IF(H36&lt;1," ",(H36-G36)/G36))</f>
        <v>3.4999999999999934E-2</v>
      </c>
      <c r="J36" s="1536">
        <f>+H36*1.035</f>
        <v>80433.203798076909</v>
      </c>
      <c r="K36" s="488">
        <f t="shared" ref="K36:K42" si="1">IF(H36&lt;1," ",IF(J36&lt;1," ",(J36-H36)/H36))</f>
        <v>3.4999999999999941E-2</v>
      </c>
    </row>
    <row r="37" spans="1:11" ht="15.75">
      <c r="A37" s="68"/>
      <c r="B37" s="142" t="s">
        <v>487</v>
      </c>
      <c r="C37" s="141"/>
      <c r="D37" s="141"/>
      <c r="E37" s="141"/>
      <c r="F37" s="1518"/>
      <c r="G37" s="1536">
        <v>106905.5</v>
      </c>
      <c r="H37" s="1536">
        <f t="shared" ref="H37:H38" si="2">+G37*1.035</f>
        <v>110647.19249999999</v>
      </c>
      <c r="I37" s="634">
        <f t="shared" si="0"/>
        <v>3.4999999999999906E-2</v>
      </c>
      <c r="J37" s="1536">
        <f t="shared" ref="J37:J38" si="3">+H37*1.035</f>
        <v>114519.84423749999</v>
      </c>
      <c r="K37" s="488">
        <f t="shared" si="1"/>
        <v>3.4999999999999976E-2</v>
      </c>
    </row>
    <row r="38" spans="1:11" ht="15.75">
      <c r="A38" s="68"/>
      <c r="B38" s="142" t="s">
        <v>488</v>
      </c>
      <c r="C38" s="141"/>
      <c r="D38" s="141"/>
      <c r="E38" s="141"/>
      <c r="F38" s="1518"/>
      <c r="G38" s="1536">
        <v>64170</v>
      </c>
      <c r="H38" s="1536">
        <f t="shared" si="2"/>
        <v>66415.95</v>
      </c>
      <c r="I38" s="634">
        <f t="shared" si="0"/>
        <v>3.4999999999999955E-2</v>
      </c>
      <c r="J38" s="1536">
        <f t="shared" si="3"/>
        <v>68740.508249999984</v>
      </c>
      <c r="K38" s="488">
        <f t="shared" si="1"/>
        <v>3.4999999999999809E-2</v>
      </c>
    </row>
    <row r="39" spans="1:11" ht="15.75">
      <c r="A39" s="68"/>
      <c r="B39" s="147" t="s">
        <v>389</v>
      </c>
      <c r="C39" s="141"/>
      <c r="D39" s="141"/>
      <c r="E39" s="141"/>
      <c r="F39" s="1518"/>
      <c r="G39" s="1536"/>
      <c r="H39" s="1536"/>
      <c r="I39" s="489" t="str">
        <f t="shared" si="0"/>
        <v xml:space="preserve"> </v>
      </c>
      <c r="J39" s="1536"/>
      <c r="K39" s="488" t="str">
        <f t="shared" si="1"/>
        <v xml:space="preserve"> </v>
      </c>
    </row>
    <row r="40" spans="1:11" ht="15.75">
      <c r="A40" s="68"/>
      <c r="B40" s="147" t="s">
        <v>507</v>
      </c>
      <c r="C40" s="141"/>
      <c r="D40" s="141"/>
      <c r="E40" s="141"/>
      <c r="F40" s="1518"/>
      <c r="G40" s="1536">
        <f>192000-8000</f>
        <v>184000</v>
      </c>
      <c r="H40" s="1536">
        <f>192000-8000</f>
        <v>184000</v>
      </c>
      <c r="I40" s="489">
        <f t="shared" si="0"/>
        <v>0</v>
      </c>
      <c r="J40" s="1536">
        <f>192000-8000</f>
        <v>184000</v>
      </c>
      <c r="K40" s="488">
        <f t="shared" si="1"/>
        <v>0</v>
      </c>
    </row>
    <row r="41" spans="1:11" ht="15.75">
      <c r="A41" s="68"/>
      <c r="B41" s="147" t="s">
        <v>234</v>
      </c>
      <c r="C41" s="141"/>
      <c r="D41" s="141"/>
      <c r="E41" s="141"/>
      <c r="F41" s="1518"/>
      <c r="G41" s="1536">
        <v>9527.7491995226646</v>
      </c>
      <c r="H41" s="1536">
        <f t="shared" ref="H41:H42" si="4">+G41*1.035</f>
        <v>9861.2204215059573</v>
      </c>
      <c r="I41" s="489">
        <f t="shared" si="0"/>
        <v>3.4999999999999941E-2</v>
      </c>
      <c r="J41" s="1536">
        <f t="shared" ref="J41:J42" si="5">+H41*1.035</f>
        <v>10206.363136258666</v>
      </c>
      <c r="K41" s="488">
        <f t="shared" si="1"/>
        <v>3.4999999999999983E-2</v>
      </c>
    </row>
    <row r="42" spans="1:11" ht="15.75">
      <c r="A42" s="68"/>
      <c r="B42" s="142" t="s">
        <v>513</v>
      </c>
      <c r="C42" s="141"/>
      <c r="D42" s="141"/>
      <c r="E42" s="141"/>
      <c r="F42" s="1518"/>
      <c r="G42" s="1536">
        <v>11694.094616969031</v>
      </c>
      <c r="H42" s="1536">
        <f t="shared" si="4"/>
        <v>12103.387928562946</v>
      </c>
      <c r="I42" s="489">
        <f t="shared" si="0"/>
        <v>3.4999999999999983E-2</v>
      </c>
      <c r="J42" s="1536">
        <f t="shared" si="5"/>
        <v>12527.006506062649</v>
      </c>
      <c r="K42" s="488">
        <f t="shared" si="1"/>
        <v>3.4999999999999983E-2</v>
      </c>
    </row>
    <row r="43" spans="1:11" ht="15.75">
      <c r="A43" s="68"/>
      <c r="B43" s="142" t="s">
        <v>447</v>
      </c>
      <c r="C43" s="141"/>
      <c r="D43" s="141"/>
      <c r="E43" s="141"/>
      <c r="F43" s="1518"/>
      <c r="G43" s="1333">
        <v>0.14802944702827778</v>
      </c>
      <c r="H43" s="1333">
        <v>0.14802944702827778</v>
      </c>
      <c r="I43" s="489">
        <f>H43-G43</f>
        <v>0</v>
      </c>
      <c r="J43" s="1333">
        <v>0.14802944702827778</v>
      </c>
      <c r="K43" s="488">
        <f>J43-H43</f>
        <v>0</v>
      </c>
    </row>
    <row r="44" spans="1:11" ht="8.25" customHeight="1">
      <c r="A44" s="68"/>
      <c r="B44" s="1282"/>
      <c r="C44" s="153"/>
      <c r="D44" s="153"/>
      <c r="E44" s="153"/>
      <c r="F44" s="1283"/>
      <c r="G44" s="1284"/>
      <c r="H44" s="1284"/>
      <c r="I44" s="1285"/>
      <c r="J44" s="1284"/>
      <c r="K44" s="1546"/>
    </row>
    <row r="45" spans="1:11" ht="12" customHeight="1">
      <c r="A45" s="68"/>
      <c r="B45" s="1321" t="s">
        <v>508</v>
      </c>
      <c r="C45" s="1"/>
      <c r="D45" s="1"/>
      <c r="E45" s="1"/>
      <c r="G45" s="1284"/>
      <c r="H45" s="1284"/>
      <c r="I45" s="1379"/>
      <c r="J45" s="1284"/>
      <c r="K45" s="1594"/>
    </row>
    <row r="46" spans="1:11" ht="51" customHeight="1">
      <c r="A46" s="68"/>
      <c r="B46" s="1697"/>
      <c r="C46" s="1698"/>
      <c r="D46" s="1698"/>
      <c r="E46" s="1698"/>
      <c r="F46" s="1698"/>
      <c r="G46" s="1698"/>
      <c r="H46" s="1698"/>
      <c r="I46" s="1698"/>
      <c r="J46" s="1698"/>
      <c r="K46" s="1699"/>
    </row>
    <row r="47" spans="1:11" ht="15.75">
      <c r="A47" s="68"/>
      <c r="B47" s="1695" t="s">
        <v>392</v>
      </c>
      <c r="C47" s="1695"/>
      <c r="D47" s="1695"/>
      <c r="E47" s="1695"/>
      <c r="F47" s="1695"/>
      <c r="G47" s="1695"/>
      <c r="H47" s="1695"/>
      <c r="I47" s="1695"/>
      <c r="J47" s="1695"/>
      <c r="K47" s="1696"/>
    </row>
    <row r="48" spans="1:11" ht="84.75" customHeight="1">
      <c r="A48" s="68"/>
      <c r="B48" s="1697"/>
      <c r="C48" s="1698"/>
      <c r="D48" s="1698"/>
      <c r="E48" s="1698"/>
      <c r="F48" s="1698"/>
      <c r="G48" s="1698"/>
      <c r="H48" s="1698"/>
      <c r="I48" s="1698"/>
      <c r="J48" s="1698"/>
      <c r="K48" s="1699"/>
    </row>
    <row r="49" spans="1:11" ht="15.75">
      <c r="A49" s="284"/>
      <c r="B49" s="1217"/>
      <c r="C49" s="1217"/>
      <c r="D49" s="1217"/>
      <c r="E49" s="1217"/>
      <c r="F49" s="1218"/>
      <c r="G49" s="1219"/>
      <c r="H49" s="1220"/>
      <c r="I49" s="1053"/>
      <c r="J49" s="1221"/>
      <c r="K49" s="313"/>
    </row>
    <row r="50" spans="1:11" ht="15.75">
      <c r="A50" s="689" t="s">
        <v>384</v>
      </c>
      <c r="C50" s="155"/>
      <c r="D50" s="155"/>
      <c r="E50" s="155"/>
      <c r="F50" s="152"/>
      <c r="G50" s="1322"/>
      <c r="H50" s="1322"/>
      <c r="I50" s="553"/>
      <c r="J50" s="680"/>
      <c r="K50" s="554"/>
    </row>
    <row r="51" spans="1:11" ht="15.75">
      <c r="A51" s="68"/>
      <c r="B51" s="147" t="s">
        <v>463</v>
      </c>
      <c r="C51" s="141"/>
      <c r="D51" s="141"/>
      <c r="E51" s="141"/>
      <c r="F51" s="1518"/>
      <c r="G51" s="1530">
        <v>2</v>
      </c>
      <c r="H51" s="1530">
        <v>2</v>
      </c>
      <c r="I51" s="1521">
        <f>SUM(H51-G51)</f>
        <v>0</v>
      </c>
      <c r="J51" s="1531">
        <v>2</v>
      </c>
      <c r="K51" s="1532">
        <f>SUM(J51-H51)</f>
        <v>0</v>
      </c>
    </row>
    <row r="52" spans="1:11" ht="15.75">
      <c r="A52" s="68"/>
      <c r="B52" s="147" t="s">
        <v>462</v>
      </c>
      <c r="C52" s="141"/>
      <c r="D52" s="141"/>
      <c r="E52" s="141"/>
      <c r="F52" s="1518"/>
      <c r="G52" s="1530"/>
      <c r="H52" s="1530"/>
      <c r="I52" s="1521">
        <f>SUM(H52-G52)</f>
        <v>0</v>
      </c>
      <c r="J52" s="1531"/>
      <c r="K52" s="1532">
        <f>SUM(J52-H52)</f>
        <v>0</v>
      </c>
    </row>
    <row r="53" spans="1:11" ht="15.75">
      <c r="A53" s="68"/>
      <c r="B53" s="142" t="s">
        <v>494</v>
      </c>
      <c r="C53" s="141"/>
      <c r="D53" s="141"/>
      <c r="E53" s="141"/>
      <c r="F53" s="1518"/>
      <c r="G53" s="1536">
        <v>64325.25</v>
      </c>
      <c r="H53" s="1536">
        <f>+G53*1.035</f>
        <v>66576.633749999994</v>
      </c>
      <c r="I53" s="634">
        <f t="shared" ref="I53:I58" si="6">IF(G53&lt;1," ",IF(H53&lt;1," ",(H53-G53)/G53))</f>
        <v>3.4999999999999899E-2</v>
      </c>
      <c r="J53" s="1536">
        <f>+H53*1.035</f>
        <v>68906.815931249992</v>
      </c>
      <c r="K53" s="488">
        <f t="shared" ref="K53:K58" si="7">IF(H53&lt;1," ",IF(J53&lt;1," ",(J53-H53)/H53))</f>
        <v>3.4999999999999983E-2</v>
      </c>
    </row>
    <row r="54" spans="1:11" ht="15.75">
      <c r="A54" s="68"/>
      <c r="B54" s="142" t="s">
        <v>495</v>
      </c>
      <c r="C54" s="141"/>
      <c r="D54" s="141"/>
      <c r="E54" s="141"/>
      <c r="F54" s="1518"/>
      <c r="G54" s="1536"/>
      <c r="H54" s="1536"/>
      <c r="I54" s="634" t="str">
        <f t="shared" si="6"/>
        <v xml:space="preserve"> </v>
      </c>
      <c r="J54" s="1536"/>
      <c r="K54" s="488" t="str">
        <f t="shared" si="7"/>
        <v xml:space="preserve"> </v>
      </c>
    </row>
    <row r="55" spans="1:11" ht="15.75">
      <c r="A55" s="68"/>
      <c r="B55" s="147" t="s">
        <v>388</v>
      </c>
      <c r="C55" s="141"/>
      <c r="D55" s="141"/>
      <c r="E55" s="141"/>
      <c r="F55" s="1518"/>
      <c r="G55" s="1536"/>
      <c r="H55" s="1536"/>
      <c r="I55" s="489" t="str">
        <f t="shared" si="6"/>
        <v xml:space="preserve"> </v>
      </c>
      <c r="J55" s="1536"/>
      <c r="K55" s="488" t="str">
        <f t="shared" si="7"/>
        <v xml:space="preserve"> </v>
      </c>
    </row>
    <row r="56" spans="1:11" ht="15.75">
      <c r="A56" s="68"/>
      <c r="B56" s="147" t="s">
        <v>507</v>
      </c>
      <c r="C56" s="141"/>
      <c r="D56" s="141"/>
      <c r="E56" s="141"/>
      <c r="F56" s="1518"/>
      <c r="G56" s="1536">
        <v>8000</v>
      </c>
      <c r="H56" s="1536">
        <v>8000</v>
      </c>
      <c r="I56" s="489">
        <f t="shared" si="6"/>
        <v>0</v>
      </c>
      <c r="J56" s="1536">
        <v>8000</v>
      </c>
      <c r="K56" s="488">
        <f t="shared" si="7"/>
        <v>0</v>
      </c>
    </row>
    <row r="57" spans="1:11" ht="15.75">
      <c r="A57" s="68"/>
      <c r="B57" s="147" t="s">
        <v>387</v>
      </c>
      <c r="C57" s="141"/>
      <c r="D57" s="141"/>
      <c r="E57" s="141"/>
      <c r="F57" s="1518"/>
      <c r="G57" s="1536">
        <v>7758.0631930636428</v>
      </c>
      <c r="H57" s="1536">
        <f t="shared" ref="H57:H58" si="8">+G57*1.035</f>
        <v>8029.5954048208696</v>
      </c>
      <c r="I57" s="489">
        <f t="shared" si="6"/>
        <v>3.4999999999999913E-2</v>
      </c>
      <c r="J57" s="1536">
        <f t="shared" ref="J57:J58" si="9">+H57*1.035</f>
        <v>8310.6312439895992</v>
      </c>
      <c r="K57" s="488">
        <f t="shared" si="7"/>
        <v>3.4999999999999892E-2</v>
      </c>
    </row>
    <row r="58" spans="1:11" ht="15.75">
      <c r="A58" s="68"/>
      <c r="B58" s="142" t="s">
        <v>386</v>
      </c>
      <c r="C58" s="141"/>
      <c r="D58" s="141"/>
      <c r="E58" s="141"/>
      <c r="F58" s="1518"/>
      <c r="G58" s="1536">
        <v>9522.0311874557246</v>
      </c>
      <c r="H58" s="1536">
        <f t="shared" si="8"/>
        <v>9855.3022790166742</v>
      </c>
      <c r="I58" s="489">
        <f t="shared" si="6"/>
        <v>3.499999999999992E-2</v>
      </c>
      <c r="J58" s="1536">
        <f t="shared" si="9"/>
        <v>10200.237858782257</v>
      </c>
      <c r="K58" s="488">
        <f t="shared" si="7"/>
        <v>3.4999999999999899E-2</v>
      </c>
    </row>
    <row r="59" spans="1:11" ht="15.75">
      <c r="A59" s="68"/>
      <c r="B59" s="142" t="s">
        <v>448</v>
      </c>
      <c r="C59" s="141"/>
      <c r="D59" s="141"/>
      <c r="E59" s="141"/>
      <c r="F59" s="1518"/>
      <c r="G59" s="1333"/>
      <c r="H59" s="1333"/>
      <c r="I59" s="489">
        <f>H59-G59</f>
        <v>0</v>
      </c>
      <c r="J59" s="1333"/>
      <c r="K59" s="488">
        <f>J59-H59</f>
        <v>0</v>
      </c>
    </row>
    <row r="60" spans="1:11" ht="5.25" customHeight="1">
      <c r="A60" s="68"/>
      <c r="B60" s="1282"/>
      <c r="C60" s="153"/>
      <c r="D60" s="153"/>
      <c r="E60" s="153"/>
      <c r="F60" s="1283"/>
      <c r="G60" s="1284"/>
      <c r="H60" s="1284"/>
      <c r="I60" s="1285"/>
      <c r="J60" s="1284"/>
      <c r="K60" s="1546"/>
    </row>
    <row r="61" spans="1:11" ht="12" customHeight="1">
      <c r="A61" s="68"/>
      <c r="B61" s="1321" t="s">
        <v>509</v>
      </c>
      <c r="C61" s="1"/>
      <c r="D61" s="1"/>
      <c r="E61" s="1"/>
      <c r="G61" s="1284"/>
      <c r="H61" s="1284"/>
      <c r="I61" s="1379"/>
      <c r="J61" s="1284"/>
      <c r="K61" s="1594"/>
    </row>
    <row r="62" spans="1:11" ht="51" customHeight="1">
      <c r="A62" s="68"/>
      <c r="B62" s="1697"/>
      <c r="C62" s="1698"/>
      <c r="D62" s="1698"/>
      <c r="E62" s="1698"/>
      <c r="F62" s="1698"/>
      <c r="G62" s="1698"/>
      <c r="H62" s="1698"/>
      <c r="I62" s="1698"/>
      <c r="J62" s="1698"/>
      <c r="K62" s="1699"/>
    </row>
    <row r="63" spans="1:11" ht="15.75">
      <c r="A63" s="68"/>
      <c r="B63" s="1695" t="s">
        <v>392</v>
      </c>
      <c r="C63" s="1695"/>
      <c r="D63" s="1695"/>
      <c r="E63" s="1695"/>
      <c r="F63" s="1695"/>
      <c r="G63" s="1695"/>
      <c r="H63" s="1695"/>
      <c r="I63" s="1695"/>
      <c r="J63" s="1695"/>
      <c r="K63" s="1696"/>
    </row>
    <row r="64" spans="1:11" ht="82.5" customHeight="1">
      <c r="A64" s="68"/>
      <c r="B64" s="1697"/>
      <c r="C64" s="1698"/>
      <c r="D64" s="1698"/>
      <c r="E64" s="1698"/>
      <c r="F64" s="1698"/>
      <c r="G64" s="1698"/>
      <c r="H64" s="1698"/>
      <c r="I64" s="1698"/>
      <c r="J64" s="1698"/>
      <c r="K64" s="1699"/>
    </row>
    <row r="65" spans="1:13">
      <c r="A65" s="239"/>
      <c r="H65" s="1547"/>
      <c r="J65" s="1547"/>
      <c r="K65" s="472"/>
    </row>
    <row r="66" spans="1:13" ht="15.75">
      <c r="A66" s="689" t="s">
        <v>452</v>
      </c>
      <c r="K66" s="472"/>
      <c r="M66" s="1281"/>
    </row>
    <row r="67" spans="1:13" ht="15.75">
      <c r="A67" s="239"/>
      <c r="B67" s="1247" t="s">
        <v>497</v>
      </c>
      <c r="C67" s="1248"/>
      <c r="D67" s="146"/>
      <c r="E67" s="146"/>
      <c r="F67" s="1518"/>
      <c r="G67" s="1537">
        <v>1.5605041483138356E-2</v>
      </c>
      <c r="H67" s="1333">
        <v>1.5605041483138356E-2</v>
      </c>
      <c r="I67" s="489">
        <f>H67-G67</f>
        <v>0</v>
      </c>
      <c r="J67" s="1333">
        <v>1.5605041483138356E-2</v>
      </c>
      <c r="K67" s="488">
        <f>J67-H67</f>
        <v>0</v>
      </c>
      <c r="M67" s="1281"/>
    </row>
    <row r="68" spans="1:13" ht="15.75">
      <c r="A68" s="239"/>
      <c r="B68" s="1247" t="s">
        <v>496</v>
      </c>
      <c r="C68" s="146"/>
      <c r="D68" s="146"/>
      <c r="E68" s="146"/>
      <c r="F68" s="1518"/>
      <c r="G68" s="1537">
        <v>1.3122609729044778E-2</v>
      </c>
      <c r="H68" s="1333">
        <v>1.3122609729044778E-2</v>
      </c>
      <c r="I68" s="489">
        <f>H68-G68</f>
        <v>0</v>
      </c>
      <c r="J68" s="1333">
        <v>1.3122609729044778E-2</v>
      </c>
      <c r="K68" s="488">
        <f>J68-H68</f>
        <v>0</v>
      </c>
      <c r="M68" s="1281"/>
    </row>
    <row r="69" spans="1:13" ht="15.75">
      <c r="A69" s="239"/>
      <c r="B69" s="1247" t="s">
        <v>455</v>
      </c>
      <c r="C69" s="146"/>
      <c r="D69" s="146"/>
      <c r="E69" s="146"/>
      <c r="F69" s="1518"/>
      <c r="G69" s="1399">
        <v>1.2232472730360889E-2</v>
      </c>
      <c r="H69" s="1333">
        <v>1.2232472730360889E-2</v>
      </c>
      <c r="I69" s="489">
        <f>H69-G69</f>
        <v>0</v>
      </c>
      <c r="J69" s="1333">
        <v>1.2232472730360889E-2</v>
      </c>
      <c r="K69" s="488">
        <f>J69-H69</f>
        <v>0</v>
      </c>
      <c r="M69" s="1281"/>
    </row>
    <row r="70" spans="1:13" ht="15.75">
      <c r="A70" s="239"/>
      <c r="B70" s="1247" t="s">
        <v>456</v>
      </c>
      <c r="C70" s="146"/>
      <c r="D70" s="146"/>
      <c r="E70" s="146"/>
      <c r="F70" s="1518"/>
      <c r="G70" s="1561"/>
      <c r="H70" s="1561"/>
      <c r="I70" s="1538">
        <f>H70-G70</f>
        <v>0</v>
      </c>
      <c r="J70" s="1561"/>
      <c r="K70" s="1539">
        <f>J70-H70</f>
        <v>0</v>
      </c>
    </row>
    <row r="71" spans="1:13" ht="17.25" customHeight="1">
      <c r="A71" s="284"/>
      <c r="B71" s="333"/>
      <c r="C71" s="333"/>
      <c r="D71" s="333"/>
      <c r="E71" s="333"/>
      <c r="F71" s="668"/>
      <c r="G71" s="1219"/>
      <c r="H71" s="1220"/>
      <c r="I71" s="1053"/>
      <c r="J71" s="1221"/>
      <c r="K71" s="313"/>
    </row>
    <row r="72" spans="1:13" ht="15.75">
      <c r="A72" s="687" t="s">
        <v>339</v>
      </c>
      <c r="B72" s="166"/>
      <c r="C72" s="166"/>
      <c r="D72" s="166"/>
      <c r="E72" s="166"/>
      <c r="F72" s="665"/>
      <c r="G72" s="1219"/>
      <c r="H72" s="1220"/>
      <c r="I72" s="553"/>
      <c r="J72" s="1556"/>
      <c r="K72" s="554"/>
    </row>
    <row r="73" spans="1:13" ht="15.75">
      <c r="A73" s="68"/>
      <c r="B73" s="1557" t="s">
        <v>340</v>
      </c>
      <c r="C73" s="141"/>
      <c r="D73" s="141"/>
      <c r="E73" s="141"/>
      <c r="F73" s="1518"/>
      <c r="G73" s="1536">
        <v>18315.059999999998</v>
      </c>
      <c r="H73" s="1536">
        <v>18896.490476190476</v>
      </c>
      <c r="I73" s="489">
        <f>IF(G73&lt;1," ",IF(H73&lt;1," ",(H73-G73)/G73))</f>
        <v>3.1746031746031883E-2</v>
      </c>
      <c r="J73" s="1536">
        <v>18896.490476190476</v>
      </c>
      <c r="K73" s="488">
        <f>IF(H73&lt;1," ",IF(J73&lt;1," ",(J73-H73)/H73))</f>
        <v>0</v>
      </c>
    </row>
    <row r="74" spans="1:13" ht="15.75">
      <c r="A74" s="68"/>
      <c r="B74" s="147" t="s">
        <v>341</v>
      </c>
      <c r="C74" s="141"/>
      <c r="D74" s="141"/>
      <c r="E74" s="141"/>
      <c r="F74" s="1518"/>
      <c r="G74" s="1536"/>
      <c r="H74" s="1536"/>
      <c r="I74" s="489" t="str">
        <f>IF(G74&lt;1," ",IF(H74&lt;1," ",(H74-G74)/G74))</f>
        <v xml:space="preserve"> </v>
      </c>
      <c r="J74" s="1536"/>
      <c r="K74" s="488" t="str">
        <f>IF(H74&lt;1," ",IF(J74&lt;1," ",(J74-H74)/H74))</f>
        <v xml:space="preserve"> </v>
      </c>
    </row>
    <row r="75" spans="1:13" ht="15.75">
      <c r="A75" s="68"/>
      <c r="B75" s="147" t="s">
        <v>342</v>
      </c>
      <c r="C75" s="141"/>
      <c r="D75" s="141"/>
      <c r="E75" s="141"/>
      <c r="F75" s="1518"/>
      <c r="G75" s="1536"/>
      <c r="H75" s="1536"/>
      <c r="I75" s="489" t="str">
        <f>IF(G75&lt;1," ",IF(H75&lt;1," ",(H75-G75)/G75))</f>
        <v xml:space="preserve"> </v>
      </c>
      <c r="J75" s="1536"/>
      <c r="K75" s="488" t="str">
        <f>IF(H75&lt;1," ",IF(J75&lt;1," ",(J75-H75)/H75))</f>
        <v xml:space="preserve"> </v>
      </c>
    </row>
    <row r="76" spans="1:13" ht="15.75">
      <c r="A76" s="68"/>
      <c r="B76" s="147" t="s">
        <v>161</v>
      </c>
      <c r="C76" s="141"/>
      <c r="D76" s="141"/>
      <c r="E76" s="141"/>
      <c r="F76" s="1518"/>
      <c r="G76" s="1536"/>
      <c r="H76" s="1536"/>
      <c r="I76" s="489" t="str">
        <f>IF(G76&lt;1," ",IF(H76&lt;1," ",(H76-G76)/G76))</f>
        <v xml:space="preserve"> </v>
      </c>
      <c r="J76" s="1536"/>
      <c r="K76" s="488" t="str">
        <f>IF(H76&lt;1," ",IF(J76&lt;1," ",(J76-H76)/H76))</f>
        <v xml:space="preserve"> </v>
      </c>
    </row>
    <row r="77" spans="1:13" ht="5.25" customHeight="1">
      <c r="A77" s="68"/>
      <c r="B77" s="1282"/>
      <c r="C77" s="153"/>
      <c r="D77" s="153"/>
      <c r="E77" s="153"/>
      <c r="F77" s="1283"/>
      <c r="G77" s="1284"/>
      <c r="H77" s="1284"/>
      <c r="I77" s="1285"/>
      <c r="J77" s="1284"/>
      <c r="K77" s="1546"/>
    </row>
    <row r="78" spans="1:13" ht="15.75">
      <c r="A78" s="68"/>
      <c r="B78" s="1695" t="s">
        <v>464</v>
      </c>
      <c r="C78" s="1695"/>
      <c r="D78" s="1695"/>
      <c r="E78" s="1695"/>
      <c r="F78" s="1695"/>
      <c r="G78" s="1695"/>
      <c r="H78" s="1695"/>
      <c r="I78" s="1695"/>
      <c r="J78" s="1695"/>
      <c r="K78" s="1696"/>
    </row>
    <row r="79" spans="1:13" ht="82.5" customHeight="1">
      <c r="A79" s="68"/>
      <c r="B79" s="1697"/>
      <c r="C79" s="1698"/>
      <c r="D79" s="1698"/>
      <c r="E79" s="1698"/>
      <c r="F79" s="1698"/>
      <c r="G79" s="1698"/>
      <c r="H79" s="1698"/>
      <c r="I79" s="1698"/>
      <c r="J79" s="1698"/>
      <c r="K79" s="1699"/>
    </row>
    <row r="80" spans="1:13" ht="15.75">
      <c r="A80" s="1286"/>
      <c r="B80" s="1287"/>
      <c r="C80" s="1287"/>
      <c r="D80" s="1287"/>
      <c r="E80" s="1287"/>
      <c r="F80" s="668"/>
      <c r="G80" s="1288"/>
      <c r="H80" s="1289"/>
      <c r="I80" s="1290"/>
      <c r="J80" s="1291"/>
      <c r="K80" s="1292"/>
    </row>
    <row r="81" spans="1:11" ht="15.75">
      <c r="A81" s="306" t="s">
        <v>206</v>
      </c>
      <c r="C81" s="1"/>
      <c r="D81" s="1"/>
      <c r="E81" s="1"/>
      <c r="F81" s="152"/>
      <c r="G81" s="1558"/>
      <c r="H81" s="1558"/>
      <c r="I81" s="159"/>
      <c r="J81" s="1558"/>
      <c r="K81" s="1294"/>
    </row>
    <row r="82" spans="1:11" ht="15.75">
      <c r="A82" s="68"/>
      <c r="B82" s="693">
        <v>0.03</v>
      </c>
      <c r="C82" s="141" t="s">
        <v>41</v>
      </c>
      <c r="D82" s="141"/>
      <c r="E82" s="141"/>
      <c r="F82" s="1518"/>
      <c r="G82" s="978">
        <f>B82*('Budget-Summary MYP'!F13+'Budget-Summary MYP'!F14+'Budget-Summary MYP'!F15+'Budget-Summary MYP'!F16)</f>
        <v>253565.04180000001</v>
      </c>
      <c r="H82" s="978">
        <f>B82*('Budget-Summary MYP'!H13+'Budget-Summary MYP'!H14+'Budget-Summary MYP'!H15+'Budget-Summary MYP'!H16)</f>
        <v>262773.71999999997</v>
      </c>
      <c r="I82" s="272">
        <f>IF(G82&lt;1," ",IF(H82&lt;1," ",(H82-G82)/G82))</f>
        <v>3.6316828749853189E-2</v>
      </c>
      <c r="J82" s="978">
        <f>B82*('Budget-Summary MYP'!J13+'Budget-Summary MYP'!J14+'Budget-Summary MYP'!J15+'Budget-Summary MYP'!J16)</f>
        <v>272404.74</v>
      </c>
      <c r="K82" s="308">
        <f>IF(H82&lt;1," ",IF(J82&lt;1," ",(J82-H82)/H82))</f>
        <v>3.6651382033180559E-2</v>
      </c>
    </row>
    <row r="83" spans="1:11" ht="15.75">
      <c r="A83" s="68"/>
      <c r="B83" s="154"/>
      <c r="C83" s="141" t="s">
        <v>235</v>
      </c>
      <c r="D83" s="141"/>
      <c r="E83" s="141"/>
      <c r="F83" s="1518"/>
      <c r="G83" s="1540">
        <f>4501001.28555803+'Budget-Unrestricted MYP'!F43</f>
        <v>3556001.28555803</v>
      </c>
      <c r="H83" s="1540">
        <f>4465662.31435803+'Budget-Unrestricted MYP'!H43</f>
        <v>3490662.3143580304</v>
      </c>
      <c r="I83" s="272">
        <f>IF(G83&lt;1," ",IF(H83&lt;1," ",(H83-G83)/G83))</f>
        <v>-1.8374282221258018E-2</v>
      </c>
      <c r="J83" s="1540">
        <f>4519043.87115803+'Budget-Unrestricted MYP'!J43</f>
        <v>3534043.8711580299</v>
      </c>
      <c r="K83" s="308">
        <f>IF(H83&lt;1," ",IF(J83&lt;1," ",(J83-H83)/H83))</f>
        <v>1.2427887000572773E-2</v>
      </c>
    </row>
    <row r="84" spans="1:11" ht="15.75">
      <c r="A84" s="68"/>
      <c r="B84" s="147"/>
      <c r="C84" s="141" t="s">
        <v>249</v>
      </c>
      <c r="D84" s="141"/>
      <c r="E84" s="141"/>
      <c r="F84" s="1518"/>
      <c r="G84" s="1540"/>
      <c r="H84" s="1540"/>
      <c r="I84" s="1541" t="str">
        <f>IF(G84&lt;1," ",IF(H84&lt;1," ",(H84-G84)/G84))</f>
        <v xml:space="preserve"> </v>
      </c>
      <c r="J84" s="1540"/>
      <c r="K84" s="608" t="str">
        <f>IF(H84&lt;1," ",IF(J84&lt;1," ",(J84-H84)/H84))</f>
        <v xml:space="preserve"> </v>
      </c>
    </row>
    <row r="85" spans="1:11" ht="15.75">
      <c r="A85" s="284"/>
      <c r="B85" s="333"/>
      <c r="C85" s="333"/>
      <c r="D85" s="333"/>
      <c r="E85" s="333"/>
      <c r="F85" s="668"/>
      <c r="G85" s="669"/>
      <c r="H85" s="670"/>
      <c r="I85" s="495"/>
      <c r="J85" s="671"/>
      <c r="K85" s="672"/>
    </row>
    <row r="86" spans="1:11" ht="15.75">
      <c r="A86" s="687" t="s">
        <v>343</v>
      </c>
      <c r="C86" s="155"/>
      <c r="D86" s="155"/>
      <c r="E86" s="155"/>
      <c r="F86" s="152"/>
      <c r="G86" s="681"/>
      <c r="H86" s="681"/>
      <c r="I86" s="682"/>
      <c r="J86" s="681"/>
      <c r="K86" s="683"/>
    </row>
    <row r="87" spans="1:11" ht="15.75">
      <c r="A87" s="287"/>
      <c r="B87" s="1701" t="s">
        <v>534</v>
      </c>
      <c r="C87" s="1701"/>
      <c r="D87" s="1701"/>
      <c r="E87" s="1701"/>
      <c r="F87" s="1701"/>
      <c r="G87" s="1540">
        <v>504576</v>
      </c>
      <c r="H87" s="1540">
        <v>504576</v>
      </c>
      <c r="I87" s="1541">
        <f t="shared" ref="I87:I94" si="10">IF(G87&lt;1," ",IF(H87&lt;1," ",(H87-G87)/G87))</f>
        <v>0</v>
      </c>
      <c r="J87" s="1540">
        <v>504576</v>
      </c>
      <c r="K87" s="608">
        <f t="shared" ref="K87:K94" si="11">IF(H87&lt;1," ",IF(J87&lt;1," ",(J87-H87)/H87))</f>
        <v>0</v>
      </c>
    </row>
    <row r="88" spans="1:11" ht="15.75">
      <c r="A88" s="287"/>
      <c r="B88" s="1701"/>
      <c r="C88" s="1701"/>
      <c r="D88" s="1701"/>
      <c r="E88" s="1701"/>
      <c r="F88" s="1701"/>
      <c r="G88" s="1540"/>
      <c r="H88" s="1540"/>
      <c r="I88" s="489" t="str">
        <f t="shared" si="10"/>
        <v xml:space="preserve"> </v>
      </c>
      <c r="J88" s="1540"/>
      <c r="K88" s="488" t="str">
        <f t="shared" si="11"/>
        <v xml:space="preserve"> </v>
      </c>
    </row>
    <row r="89" spans="1:11" ht="15.75">
      <c r="A89" s="287"/>
      <c r="B89" s="1701"/>
      <c r="C89" s="1701"/>
      <c r="D89" s="1701"/>
      <c r="E89" s="1701"/>
      <c r="F89" s="1701"/>
      <c r="G89" s="1540"/>
      <c r="H89" s="1540"/>
      <c r="I89" s="489" t="str">
        <f t="shared" si="10"/>
        <v xml:space="preserve"> </v>
      </c>
      <c r="J89" s="1540"/>
      <c r="K89" s="488" t="str">
        <f t="shared" si="11"/>
        <v xml:space="preserve"> </v>
      </c>
    </row>
    <row r="90" spans="1:11" ht="15.75">
      <c r="A90" s="287"/>
      <c r="B90" s="1701"/>
      <c r="C90" s="1701"/>
      <c r="D90" s="1701"/>
      <c r="E90" s="1701"/>
      <c r="F90" s="1701"/>
      <c r="G90" s="1540"/>
      <c r="H90" s="1540"/>
      <c r="I90" s="489" t="str">
        <f t="shared" si="10"/>
        <v xml:space="preserve"> </v>
      </c>
      <c r="J90" s="1540"/>
      <c r="K90" s="488" t="str">
        <f t="shared" si="11"/>
        <v xml:space="preserve"> </v>
      </c>
    </row>
    <row r="91" spans="1:11" ht="15.75">
      <c r="A91" s="287"/>
      <c r="B91" s="1701"/>
      <c r="C91" s="1701"/>
      <c r="D91" s="1701"/>
      <c r="E91" s="1701"/>
      <c r="F91" s="1701"/>
      <c r="G91" s="1540"/>
      <c r="H91" s="1540"/>
      <c r="I91" s="489" t="str">
        <f t="shared" si="10"/>
        <v xml:space="preserve"> </v>
      </c>
      <c r="J91" s="1540"/>
      <c r="K91" s="488" t="str">
        <f t="shared" si="11"/>
        <v xml:space="preserve"> </v>
      </c>
    </row>
    <row r="92" spans="1:11" ht="15.75">
      <c r="A92" s="287"/>
      <c r="B92" s="1701"/>
      <c r="C92" s="1701"/>
      <c r="D92" s="1701"/>
      <c r="E92" s="1701"/>
      <c r="F92" s="1701"/>
      <c r="G92" s="1540"/>
      <c r="H92" s="1540"/>
      <c r="I92" s="489" t="str">
        <f t="shared" si="10"/>
        <v xml:space="preserve"> </v>
      </c>
      <c r="J92" s="1540"/>
      <c r="K92" s="488" t="str">
        <f t="shared" si="11"/>
        <v xml:space="preserve"> </v>
      </c>
    </row>
    <row r="93" spans="1:11" ht="15.75">
      <c r="A93" s="287"/>
      <c r="B93" s="1701"/>
      <c r="C93" s="1701"/>
      <c r="D93" s="1701"/>
      <c r="E93" s="1701"/>
      <c r="F93" s="1701"/>
      <c r="G93" s="1542"/>
      <c r="H93" s="1542"/>
      <c r="I93" s="489" t="str">
        <f t="shared" si="10"/>
        <v xml:space="preserve"> </v>
      </c>
      <c r="J93" s="1542"/>
      <c r="K93" s="488" t="str">
        <f t="shared" si="11"/>
        <v xml:space="preserve"> </v>
      </c>
    </row>
    <row r="94" spans="1:11" ht="16.5" thickBot="1">
      <c r="A94" s="288"/>
      <c r="B94" s="1702"/>
      <c r="C94" s="1702"/>
      <c r="D94" s="1702"/>
      <c r="E94" s="1702"/>
      <c r="F94" s="1702"/>
      <c r="G94" s="1543"/>
      <c r="H94" s="1543"/>
      <c r="I94" s="1544" t="str">
        <f t="shared" si="10"/>
        <v xml:space="preserve"> </v>
      </c>
      <c r="J94" s="1543"/>
      <c r="K94" s="1545" t="str">
        <f t="shared" si="11"/>
        <v xml:space="preserve"> </v>
      </c>
    </row>
  </sheetData>
  <sheetProtection password="D94D" sheet="1"/>
  <mergeCells count="20">
    <mergeCell ref="B93:F93"/>
    <mergeCell ref="B94:F94"/>
    <mergeCell ref="B87:F87"/>
    <mergeCell ref="B88:F88"/>
    <mergeCell ref="B89:F89"/>
    <mergeCell ref="B90:F90"/>
    <mergeCell ref="B91:F91"/>
    <mergeCell ref="B92:F92"/>
    <mergeCell ref="A1:F1"/>
    <mergeCell ref="A2:F2"/>
    <mergeCell ref="A3:F3"/>
    <mergeCell ref="B48:K48"/>
    <mergeCell ref="B47:K47"/>
    <mergeCell ref="B46:K46"/>
    <mergeCell ref="B63:K63"/>
    <mergeCell ref="B64:K64"/>
    <mergeCell ref="B78:K78"/>
    <mergeCell ref="B79:K79"/>
    <mergeCell ref="A4:K4"/>
    <mergeCell ref="B62:K62"/>
  </mergeCells>
  <conditionalFormatting sqref="G21:H21 J21">
    <cfRule type="cellIs" dxfId="368" priority="17" stopIfTrue="1" operator="equal">
      <formula>"Cell G11 can NOT be blank"</formula>
    </cfRule>
  </conditionalFormatting>
  <conditionalFormatting sqref="G21">
    <cfRule type="containsText" dxfId="367" priority="9" stopIfTrue="1" operator="containsText" text="Missing">
      <formula>NOT(ISERROR(SEARCH("Missing",G21)))</formula>
    </cfRule>
    <cfRule type="containsText" dxfId="366" priority="15" stopIfTrue="1" operator="containsText" text="Missing Data ADA Tab, cell G10">
      <formula>NOT(ISERROR(SEARCH("Missing Data ADA Tab, cell G10",G21)))</formula>
    </cfRule>
    <cfRule type="containsText" dxfId="365" priority="16" stopIfTrue="1" operator="containsText" text="Missing Data ADA Tab cell G10">
      <formula>NOT(ISERROR(SEARCH("Missing Data ADA Tab cell G10",G21)))</formula>
    </cfRule>
  </conditionalFormatting>
  <conditionalFormatting sqref="H21">
    <cfRule type="containsText" dxfId="364" priority="13" stopIfTrue="1" operator="containsText" text="Missing Data ADA Tab, cell G10">
      <formula>NOT(ISERROR(SEARCH("Missing Data ADA Tab, cell G10",H21)))</formula>
    </cfRule>
    <cfRule type="containsText" dxfId="363" priority="14" stopIfTrue="1" operator="containsText" text="Missing Data ADA Tab cell G10">
      <formula>NOT(ISERROR(SEARCH("Missing Data ADA Tab cell G10",H21)))</formula>
    </cfRule>
  </conditionalFormatting>
  <conditionalFormatting sqref="J21">
    <cfRule type="containsText" dxfId="362" priority="11" stopIfTrue="1" operator="containsText" text="Missing Data ADA Tab, cell G10">
      <formula>NOT(ISERROR(SEARCH("Missing Data ADA Tab, cell G10",J21)))</formula>
    </cfRule>
    <cfRule type="containsText" dxfId="361" priority="12" stopIfTrue="1" operator="containsText" text="Missing Data ADA Tab cell G10">
      <formula>NOT(ISERROR(SEARCH("Missing Data ADA Tab cell G10",J21)))</formula>
    </cfRule>
  </conditionalFormatting>
  <conditionalFormatting sqref="A1:A3">
    <cfRule type="containsText" dxfId="360" priority="10" stopIfTrue="1" operator="containsText" text="Enter">
      <formula>NOT(ISERROR(SEARCH("Enter",A1)))</formula>
    </cfRule>
  </conditionalFormatting>
  <conditionalFormatting sqref="H21">
    <cfRule type="containsText" dxfId="359" priority="6" stopIfTrue="1" operator="containsText" text="Missing">
      <formula>NOT(ISERROR(SEARCH("Missing",H21)))</formula>
    </cfRule>
    <cfRule type="containsText" dxfId="358" priority="7" stopIfTrue="1" operator="containsText" text="Missing Data ADA Tab, cell G10">
      <formula>NOT(ISERROR(SEARCH("Missing Data ADA Tab, cell G10",H21)))</formula>
    </cfRule>
    <cfRule type="containsText" dxfId="357" priority="8" stopIfTrue="1" operator="containsText" text="Missing Data ADA Tab cell G10">
      <formula>NOT(ISERROR(SEARCH("Missing Data ADA Tab cell G10",H21)))</formula>
    </cfRule>
  </conditionalFormatting>
  <conditionalFormatting sqref="J21">
    <cfRule type="containsText" dxfId="356" priority="4" stopIfTrue="1" operator="containsText" text="Missing Data ADA Tab, cell G10">
      <formula>NOT(ISERROR(SEARCH("Missing Data ADA Tab, cell G10",J21)))</formula>
    </cfRule>
    <cfRule type="containsText" dxfId="355" priority="5" stopIfTrue="1" operator="containsText" text="Missing Data ADA Tab cell G10">
      <formula>NOT(ISERROR(SEARCH("Missing Data ADA Tab cell G10",J21)))</formula>
    </cfRule>
  </conditionalFormatting>
  <conditionalFormatting sqref="J21">
    <cfRule type="containsText" dxfId="354" priority="1" stopIfTrue="1" operator="containsText" text="Missing">
      <formula>NOT(ISERROR(SEARCH("Missing",J21)))</formula>
    </cfRule>
    <cfRule type="containsText" dxfId="353" priority="2" stopIfTrue="1" operator="containsText" text="Missing Data ADA Tab, cell G10">
      <formula>NOT(ISERROR(SEARCH("Missing Data ADA Tab, cell G10",J21)))</formula>
    </cfRule>
    <cfRule type="containsText" dxfId="352" priority="3" stopIfTrue="1" operator="containsText" text="Missing Data ADA Tab cell G10">
      <formula>NOT(ISERROR(SEARCH("Missing Data ADA Tab cell G10",J21)))</formula>
    </cfRule>
  </conditionalFormatting>
  <pageMargins left="0.7" right="0.7" top="0.75" bottom="0.75" header="0.3" footer="0.3"/>
  <pageSetup scale="56" fitToHeight="0" orientation="portrait" r:id="rId1"/>
  <headerFooter>
    <oddFooter>Page &amp;P of &amp;N</oddFooter>
  </headerFooter>
  <rowBreaks count="1" manualBreakCount="1">
    <brk id="65"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tabColor theme="6" tint="-0.249977111117893"/>
    <pageSetUpPr autoPageBreaks="0"/>
  </sheetPr>
  <dimension ref="A1:L239"/>
  <sheetViews>
    <sheetView showGridLines="0" zoomScaleNormal="100" zoomScaleSheetLayoutView="100" workbookViewId="0">
      <pane xSplit="4" ySplit="12" topLeftCell="E38" activePane="bottomRight" state="frozen"/>
      <selection pane="topRight" activeCell="E1" sqref="E1"/>
      <selection pane="bottomLeft" activeCell="A13" sqref="A13"/>
      <selection pane="bottomRight" activeCell="H42" sqref="H42:H43"/>
    </sheetView>
  </sheetViews>
  <sheetFormatPr defaultRowHeight="12.75"/>
  <cols>
    <col min="1" max="1" width="5.42578125" customWidth="1"/>
    <col min="2" max="2" width="3" customWidth="1"/>
    <col min="3" max="3" width="85.28515625" customWidth="1"/>
    <col min="4" max="4" width="11" customWidth="1"/>
    <col min="5" max="6" width="14.5703125" customWidth="1"/>
    <col min="7" max="7" width="10.5703125" customWidth="1"/>
    <col min="8" max="8" width="14.5703125" customWidth="1"/>
    <col min="9" max="9" width="10.5703125" customWidth="1"/>
    <col min="10" max="10" width="14.5703125" customWidth="1"/>
    <col min="11" max="11" width="10.5703125" customWidth="1"/>
    <col min="12" max="12" width="75.42578125" style="1203" customWidth="1"/>
    <col min="13" max="35" width="9.28515625" customWidth="1"/>
  </cols>
  <sheetData>
    <row r="1" spans="1:11" ht="15.75">
      <c r="A1" s="1645" t="str">
        <f>IF('BUDGET-CERTIFICATION'!$H$1="","CHARTER NAME: Enter Charter Name on BUDGET-CERTIFICATION Worksheet",(CONCATENATE("CHARTER NAME: ",'BUDGET-CERTIFICATION'!$H$1)))</f>
        <v>CHARTER NAME: Elite Academic Academy - Virtual Prep Lucerne</v>
      </c>
      <c r="B1" s="1645"/>
      <c r="C1" s="1645"/>
      <c r="D1" s="1645"/>
      <c r="E1" s="12"/>
      <c r="F1" s="12"/>
      <c r="G1" s="158"/>
      <c r="H1" s="12"/>
      <c r="I1" s="157"/>
      <c r="J1" s="1"/>
      <c r="K1" s="159"/>
    </row>
    <row r="2" spans="1:11" ht="15.75">
      <c r="A2" s="1645" t="str">
        <f>IF('BUDGET-CERTIFICATION'!$H$2="","CDS #: Enter Charter CDS # on BUDGET-CERTIFICATION Worksheet",(_xlfn.CONCAT("CDS #: ",'BUDGET-CERTIFICATION'!$H$2)))</f>
        <v>CDS #: 36-75051-0138107</v>
      </c>
      <c r="B2" s="1645"/>
      <c r="C2" s="1645"/>
      <c r="D2" s="1645"/>
      <c r="E2" s="12"/>
      <c r="F2" s="82"/>
      <c r="G2" s="158"/>
      <c r="H2" s="82"/>
      <c r="I2" s="158"/>
      <c r="J2" s="1"/>
      <c r="K2" s="159"/>
    </row>
    <row r="3" spans="1:11" ht="15.75">
      <c r="A3" s="1645" t="str">
        <f>IF('BUDGET-CERTIFICATION'!$H$5="","CHARTER #: Enter Charter # on BUDGET-CERTIFICATION Worksheet",(_xlfn.CONCAT("CHARTER #: ",'BUDGET-CERTIFICATION'!$H$5)))</f>
        <v>CHARTER #: 1975</v>
      </c>
      <c r="B3" s="1645"/>
      <c r="C3" s="1645"/>
      <c r="D3" s="1645"/>
      <c r="E3" s="12"/>
      <c r="F3" s="12"/>
      <c r="G3" s="157"/>
      <c r="H3" s="12"/>
      <c r="I3" s="157"/>
      <c r="J3" s="1"/>
      <c r="K3" s="159"/>
    </row>
    <row r="4" spans="1:11" ht="15.75">
      <c r="A4" s="2"/>
      <c r="B4" s="53"/>
      <c r="C4" s="53"/>
      <c r="D4" s="160" t="str">
        <f>'Budget-ADA'!I4</f>
        <v>Fiscal Year 2022-23 Budget</v>
      </c>
      <c r="E4" s="53"/>
      <c r="F4" s="53"/>
      <c r="G4" s="53"/>
      <c r="H4" s="53"/>
      <c r="I4" s="53"/>
      <c r="J4" s="53"/>
      <c r="K4" s="53"/>
    </row>
    <row r="5" spans="1:11" ht="15.75">
      <c r="A5" s="12"/>
      <c r="B5" s="12"/>
      <c r="C5" s="53"/>
      <c r="D5" s="160" t="s">
        <v>207</v>
      </c>
      <c r="E5" s="53"/>
      <c r="F5" s="53"/>
      <c r="G5" s="161"/>
      <c r="H5" s="53"/>
      <c r="I5" s="161"/>
      <c r="J5" s="1"/>
      <c r="K5" s="162"/>
    </row>
    <row r="6" spans="1:11" ht="16.5" thickBot="1">
      <c r="A6" s="1580" t="str">
        <f>Instructions!H1</f>
        <v>Form Orignated 5/16/2022</v>
      </c>
      <c r="B6" s="12"/>
      <c r="C6" s="12"/>
      <c r="D6" s="12"/>
      <c r="E6" s="12"/>
      <c r="F6" s="12"/>
      <c r="G6" s="157"/>
      <c r="H6" s="12"/>
      <c r="I6" s="157"/>
      <c r="J6" s="1"/>
      <c r="K6" s="159"/>
    </row>
    <row r="7" spans="1:11" ht="15.75">
      <c r="A7" s="242"/>
      <c r="B7" s="237"/>
      <c r="C7" s="237"/>
      <c r="D7" s="299"/>
      <c r="E7" s="300"/>
      <c r="F7" s="300"/>
      <c r="G7" s="301"/>
      <c r="H7" s="300" t="s">
        <v>2</v>
      </c>
      <c r="I7" s="301"/>
      <c r="J7" s="300" t="s">
        <v>2</v>
      </c>
      <c r="K7" s="302"/>
    </row>
    <row r="8" spans="1:11" ht="15.75">
      <c r="A8" s="1703" t="s">
        <v>21</v>
      </c>
      <c r="B8" s="1704"/>
      <c r="C8" s="1704"/>
      <c r="D8" s="54"/>
      <c r="E8" s="14" t="s">
        <v>93</v>
      </c>
      <c r="F8" s="14" t="s">
        <v>17</v>
      </c>
      <c r="G8" s="163" t="s">
        <v>18</v>
      </c>
      <c r="H8" s="14" t="s">
        <v>19</v>
      </c>
      <c r="I8" s="163" t="s">
        <v>18</v>
      </c>
      <c r="J8" s="14" t="s">
        <v>19</v>
      </c>
      <c r="K8" s="303" t="s">
        <v>18</v>
      </c>
    </row>
    <row r="9" spans="1:11" ht="15.75">
      <c r="A9" s="68"/>
      <c r="B9" s="1"/>
      <c r="C9" s="1"/>
      <c r="D9" s="54"/>
      <c r="E9" s="14" t="s">
        <v>20</v>
      </c>
      <c r="F9" s="14" t="s">
        <v>16</v>
      </c>
      <c r="G9" s="163" t="s">
        <v>22</v>
      </c>
      <c r="H9" s="14" t="s">
        <v>16</v>
      </c>
      <c r="I9" s="163" t="s">
        <v>22</v>
      </c>
      <c r="J9" s="14" t="s">
        <v>16</v>
      </c>
      <c r="K9" s="303" t="s">
        <v>22</v>
      </c>
    </row>
    <row r="10" spans="1:11" ht="16.5" thickBot="1">
      <c r="A10" s="304"/>
      <c r="B10" s="164"/>
      <c r="C10" s="164"/>
      <c r="D10" s="55"/>
      <c r="E10" s="15" t="str">
        <f>'Budget-ADA'!I7</f>
        <v>2021-22</v>
      </c>
      <c r="F10" s="208" t="str">
        <f>'Budget-Assumptions'!G6</f>
        <v>2022-23</v>
      </c>
      <c r="G10" s="165"/>
      <c r="H10" s="15" t="str">
        <f>'Budget-Assumptions'!H6</f>
        <v>2023-24</v>
      </c>
      <c r="I10" s="165"/>
      <c r="J10" s="15" t="str">
        <f>'Budget-Assumptions'!J6</f>
        <v>2024-25</v>
      </c>
      <c r="K10" s="305"/>
    </row>
    <row r="11" spans="1:11" ht="16.5" thickTop="1">
      <c r="A11" s="306" t="s">
        <v>1</v>
      </c>
      <c r="B11" s="1"/>
      <c r="C11" s="1"/>
      <c r="D11" s="337"/>
      <c r="E11" s="13"/>
      <c r="F11" s="1721"/>
      <c r="G11" s="1721"/>
      <c r="H11" s="1721"/>
      <c r="I11" s="1721"/>
      <c r="J11" s="1721"/>
      <c r="K11" s="1722"/>
    </row>
    <row r="12" spans="1:11" ht="15.75">
      <c r="A12" s="306"/>
      <c r="B12" s="278" t="s">
        <v>306</v>
      </c>
      <c r="C12" s="147"/>
      <c r="D12" s="141"/>
      <c r="E12" s="338"/>
      <c r="F12" s="1723"/>
      <c r="G12" s="1724"/>
      <c r="H12" s="1724"/>
      <c r="I12" s="1724"/>
      <c r="J12" s="1724"/>
      <c r="K12" s="1725"/>
    </row>
    <row r="13" spans="1:11" ht="15.75">
      <c r="A13" s="306"/>
      <c r="B13" s="147"/>
      <c r="C13" s="280" t="s">
        <v>155</v>
      </c>
      <c r="D13" s="346">
        <v>8011</v>
      </c>
      <c r="E13" s="694">
        <v>4278045</v>
      </c>
      <c r="F13" s="699">
        <f>'Budget-Assumptions'!G11-'Budget-Unrestricted MYP'!F14-'Budget-Unrestricted MYP'!F16</f>
        <v>8090636.0600000005</v>
      </c>
      <c r="G13" s="270">
        <f>IF(E13&lt;1," ",IF(F13&lt;1," ",(F13-E13)/E13))</f>
        <v>0.89119938196068549</v>
      </c>
      <c r="H13" s="698">
        <f>'Budget-Assumptions'!H11-'Budget-Unrestricted MYP'!H14-'Budget-Unrestricted MYP'!H16</f>
        <v>8398465.5099999998</v>
      </c>
      <c r="I13" s="270">
        <f>IF(F13&lt;1," ",IF(H13&lt;1," ",(H13-F13)/F13))</f>
        <v>3.8047620448768429E-2</v>
      </c>
      <c r="J13" s="698">
        <f>'Budget-Assumptions'!J11-'Budget-Unrestricted MYP'!J14-'Budget-Unrestricted MYP'!J16</f>
        <v>8719664.7799999993</v>
      </c>
      <c r="K13" s="307">
        <f>IF(H13&lt;1," ",IF(J13&lt;1," ",(J13-H13)/H13))</f>
        <v>3.8244994828823146E-2</v>
      </c>
    </row>
    <row r="14" spans="1:11" ht="15.75">
      <c r="A14" s="306"/>
      <c r="B14" s="147"/>
      <c r="C14" s="280" t="s">
        <v>156</v>
      </c>
      <c r="D14" s="346">
        <v>8012</v>
      </c>
      <c r="E14" s="694">
        <v>79202</v>
      </c>
      <c r="F14" s="695">
        <v>157400</v>
      </c>
      <c r="G14" s="270">
        <f>IF(E14&lt;1," ",IF(F14&lt;1," ",(F14-E14)/E14))</f>
        <v>0.98732355243554459</v>
      </c>
      <c r="H14" s="695">
        <v>157400</v>
      </c>
      <c r="I14" s="270">
        <f>IF(F14&lt;1," ",IF(H14&lt;1," ",(H14-F14)/F14))</f>
        <v>0</v>
      </c>
      <c r="J14" s="695">
        <v>157400</v>
      </c>
      <c r="K14" s="307">
        <f>IF(H14&lt;1," ",IF(J14&lt;1," ",(J14-H14)/H14))</f>
        <v>0</v>
      </c>
    </row>
    <row r="15" spans="1:11" ht="15.75">
      <c r="A15" s="68"/>
      <c r="B15" s="147"/>
      <c r="C15" s="280" t="s">
        <v>304</v>
      </c>
      <c r="D15" s="346">
        <v>8019</v>
      </c>
      <c r="E15" s="694">
        <v>-1398.94</v>
      </c>
      <c r="F15" s="271"/>
      <c r="G15" s="271"/>
      <c r="H15" s="271"/>
      <c r="I15" s="271"/>
      <c r="J15" s="271"/>
      <c r="K15" s="271"/>
    </row>
    <row r="16" spans="1:11" ht="15.75">
      <c r="A16" s="68"/>
      <c r="B16" s="147"/>
      <c r="C16" s="280" t="s">
        <v>305</v>
      </c>
      <c r="D16" s="346">
        <v>8096</v>
      </c>
      <c r="E16" s="694">
        <v>105786</v>
      </c>
      <c r="F16" s="695">
        <v>204132</v>
      </c>
      <c r="G16" s="270">
        <f>IF(E16&lt;1," ",IF(F16&lt;1," ",(F16-E16)/E16))</f>
        <v>0.92966933242584082</v>
      </c>
      <c r="H16" s="695">
        <v>203258.49</v>
      </c>
      <c r="I16" s="272">
        <f>IF(F16&lt;1," ",IF(H16&lt;1," ",(H16-F16)/F16))</f>
        <v>-4.2791429075304671E-3</v>
      </c>
      <c r="J16" s="695">
        <v>203093.22</v>
      </c>
      <c r="K16" s="308">
        <f>IF(H16&lt;1," ",IF(J16&lt;1," ",(J16-H16)/H16))</f>
        <v>-8.1310256708091023E-4</v>
      </c>
    </row>
    <row r="17" spans="1:11" ht="15.75">
      <c r="A17" s="68"/>
      <c r="B17" s="278" t="s">
        <v>307</v>
      </c>
      <c r="C17" s="278"/>
      <c r="D17" s="346" t="s">
        <v>99</v>
      </c>
      <c r="E17" s="696">
        <f>E84</f>
        <v>3623</v>
      </c>
      <c r="F17" s="697">
        <f>F84</f>
        <v>0</v>
      </c>
      <c r="G17" s="270" t="str">
        <f>IF(E17&lt;1," ",IF(F17&lt;1," ",(F17-E17)/E17))</f>
        <v xml:space="preserve"> </v>
      </c>
      <c r="H17" s="696">
        <f>H84</f>
        <v>0</v>
      </c>
      <c r="I17" s="272" t="str">
        <f>IF(F17&lt;1," ",IF(H17&lt;1," ",(H17-F17)/F17))</f>
        <v xml:space="preserve"> </v>
      </c>
      <c r="J17" s="696">
        <f>J84</f>
        <v>0</v>
      </c>
      <c r="K17" s="308" t="str">
        <f>IF(H17&lt;1," ",IF(J17&lt;1," ",(J17-H17)/H17))</f>
        <v xml:space="preserve"> </v>
      </c>
    </row>
    <row r="18" spans="1:11" ht="15.75">
      <c r="A18" s="68"/>
      <c r="B18" s="147" t="s">
        <v>308</v>
      </c>
      <c r="C18" s="141"/>
      <c r="D18" s="141"/>
      <c r="E18" s="339"/>
      <c r="F18" s="340"/>
      <c r="G18" s="341"/>
      <c r="H18" s="339"/>
      <c r="I18" s="341"/>
      <c r="J18" s="339"/>
      <c r="K18" s="342"/>
    </row>
    <row r="19" spans="1:11" ht="15.75">
      <c r="A19" s="68"/>
      <c r="B19" s="147"/>
      <c r="C19" s="280" t="s">
        <v>309</v>
      </c>
      <c r="D19" s="346">
        <v>8560</v>
      </c>
      <c r="E19" s="700">
        <v>69488</v>
      </c>
      <c r="F19" s="697">
        <f>F87</f>
        <v>133984.37325999999</v>
      </c>
      <c r="G19" s="270">
        <f>IF(E19&lt;1," ",IF(F19&lt;1," ",(F19-E19)/E19))</f>
        <v>0.92816562946120185</v>
      </c>
      <c r="H19" s="756">
        <f>H87</f>
        <v>133984.37325999999</v>
      </c>
      <c r="I19" s="272">
        <f>IF(F19&lt;1," ",IF(H19&lt;1," ",(H19-F19)/F19))</f>
        <v>0</v>
      </c>
      <c r="J19" s="696">
        <f>J87</f>
        <v>133984.37325999999</v>
      </c>
      <c r="K19" s="308">
        <f>IF(H19&lt;1," ",IF(J19&lt;1," ",(J19-H19)/H19))</f>
        <v>0</v>
      </c>
    </row>
    <row r="20" spans="1:11" ht="15.75">
      <c r="A20" s="68"/>
      <c r="B20" s="467"/>
      <c r="C20" s="468" t="s">
        <v>310</v>
      </c>
      <c r="D20" s="469">
        <v>8560</v>
      </c>
      <c r="E20" s="275"/>
      <c r="F20" s="273"/>
      <c r="G20" s="274"/>
      <c r="H20" s="275"/>
      <c r="I20" s="274"/>
      <c r="J20" s="271"/>
      <c r="K20" s="309"/>
    </row>
    <row r="21" spans="1:11" ht="15.75">
      <c r="A21" s="68"/>
      <c r="B21" s="147"/>
      <c r="C21" s="280" t="s">
        <v>311</v>
      </c>
      <c r="D21" s="346" t="s">
        <v>100</v>
      </c>
      <c r="E21" s="696">
        <f>E108</f>
        <v>14575</v>
      </c>
      <c r="F21" s="697">
        <f>F108</f>
        <v>0</v>
      </c>
      <c r="G21" s="270" t="str">
        <f>IF(E21&lt;1," ",IF(F21&lt;1," ",(F21-E21)/E21))</f>
        <v xml:space="preserve"> </v>
      </c>
      <c r="H21" s="696">
        <f>H108</f>
        <v>0</v>
      </c>
      <c r="I21" s="272" t="str">
        <f>IF(F21&lt;1," ",IF(H21&lt;1," ",(H21-F21)/F21))</f>
        <v xml:space="preserve"> </v>
      </c>
      <c r="J21" s="696">
        <f>J108</f>
        <v>0</v>
      </c>
      <c r="K21" s="308" t="str">
        <f>IF(H21&lt;1," ",IF(J21&lt;1," ",(J21-H21)/H21))</f>
        <v xml:space="preserve"> </v>
      </c>
    </row>
    <row r="22" spans="1:11" ht="15.75">
      <c r="A22" s="68"/>
      <c r="B22" s="147" t="s">
        <v>312</v>
      </c>
      <c r="C22" s="141"/>
      <c r="D22" s="141"/>
      <c r="E22" s="339"/>
      <c r="F22" s="340"/>
      <c r="G22" s="341"/>
      <c r="H22" s="339"/>
      <c r="I22" s="341"/>
      <c r="J22" s="339"/>
      <c r="K22" s="342"/>
    </row>
    <row r="23" spans="1:11" ht="15.75">
      <c r="A23" s="68"/>
      <c r="B23" s="147"/>
      <c r="C23" s="280" t="s">
        <v>239</v>
      </c>
      <c r="D23" s="346">
        <v>8660</v>
      </c>
      <c r="E23" s="700"/>
      <c r="F23" s="695"/>
      <c r="G23" s="270" t="str">
        <f>IF(E23&lt;1," ",IF(F23&lt;1," ",(F23-E23)/E23))</f>
        <v xml:space="preserve"> </v>
      </c>
      <c r="H23" s="700"/>
      <c r="I23" s="272" t="str">
        <f>IF(F23&lt;1," ",IF(H23&lt;1," ",(H23-F23)/F23))</f>
        <v xml:space="preserve"> </v>
      </c>
      <c r="J23" s="700"/>
      <c r="K23" s="308" t="str">
        <f>IF(H23&lt;1," ",IF(J23&lt;1," ",(J23-H23)/H23))</f>
        <v xml:space="preserve"> </v>
      </c>
    </row>
    <row r="24" spans="1:11" ht="15.75">
      <c r="A24" s="68"/>
      <c r="B24" s="467"/>
      <c r="C24" s="468" t="s">
        <v>313</v>
      </c>
      <c r="D24" s="469">
        <v>8792</v>
      </c>
      <c r="E24" s="701"/>
      <c r="F24" s="701"/>
      <c r="G24" s="274"/>
      <c r="H24" s="701"/>
      <c r="I24" s="274"/>
      <c r="J24" s="701"/>
      <c r="K24" s="309"/>
    </row>
    <row r="25" spans="1:11" ht="16.5" thickBot="1">
      <c r="A25" s="68"/>
      <c r="B25" s="899"/>
      <c r="C25" s="932" t="s">
        <v>314</v>
      </c>
      <c r="D25" s="933" t="s">
        <v>101</v>
      </c>
      <c r="E25" s="703">
        <f>E117</f>
        <v>0</v>
      </c>
      <c r="F25" s="702">
        <f>F117</f>
        <v>0</v>
      </c>
      <c r="G25" s="297" t="str">
        <f>IF(E25&lt;1," ",IF(F25&lt;1," ",(F25-E25)/E25))</f>
        <v xml:space="preserve"> </v>
      </c>
      <c r="H25" s="703">
        <f>H117</f>
        <v>0</v>
      </c>
      <c r="I25" s="298" t="str">
        <f>IF(F25&lt;1," ",IF(H25&lt;1," ",(H25-F25)/F25))</f>
        <v xml:space="preserve"> </v>
      </c>
      <c r="J25" s="703">
        <f>J117</f>
        <v>0</v>
      </c>
      <c r="K25" s="926" t="str">
        <f>IF(H25&lt;1," ",IF(J25&lt;1," ",(J25-H25)/H25))</f>
        <v xml:space="preserve"> </v>
      </c>
    </row>
    <row r="26" spans="1:11" ht="17.25" thickTop="1" thickBot="1">
      <c r="A26" s="68"/>
      <c r="B26" s="1737" t="s">
        <v>315</v>
      </c>
      <c r="C26" s="1738"/>
      <c r="D26" s="1739"/>
      <c r="E26" s="900">
        <f>SUM(E13:E25)</f>
        <v>4549320.0599999996</v>
      </c>
      <c r="F26" s="900">
        <f>SUM(F13:F25)</f>
        <v>8586152.4332600012</v>
      </c>
      <c r="G26" s="901">
        <f>IF(E26&lt;1," ",IF(F26&lt;1," ",(F26-E26)/E26))</f>
        <v>0.8873485092319493</v>
      </c>
      <c r="H26" s="900">
        <f>SUM(H13:H25)</f>
        <v>8893108.3732600007</v>
      </c>
      <c r="I26" s="901">
        <f>IF(F26&lt;1," ",IF(H26&lt;1," ",(H26-F26)/F26))</f>
        <v>3.5750115361445317E-2</v>
      </c>
      <c r="J26" s="900">
        <f>SUM(J13:J25)</f>
        <v>9214142.3732600007</v>
      </c>
      <c r="K26" s="902">
        <f>IF(H26&lt;1," ",IF(J26&lt;1," ",(J26-H26)/H26))</f>
        <v>3.6099189004071094E-2</v>
      </c>
    </row>
    <row r="27" spans="1:11" ht="16.5" thickTop="1">
      <c r="A27" s="68"/>
      <c r="B27" s="1"/>
      <c r="C27" s="1"/>
      <c r="D27" s="1"/>
      <c r="E27" s="269"/>
      <c r="F27" s="1730"/>
      <c r="G27" s="1730"/>
      <c r="H27" s="1730"/>
      <c r="I27" s="1730"/>
      <c r="J27" s="1730"/>
      <c r="K27" s="1731"/>
    </row>
    <row r="28" spans="1:11" ht="15.75">
      <c r="A28" s="1746" t="s">
        <v>3</v>
      </c>
      <c r="B28" s="1747"/>
      <c r="C28" s="1747"/>
      <c r="D28" s="155"/>
      <c r="E28" s="269"/>
      <c r="F28" s="1730"/>
      <c r="G28" s="1730"/>
      <c r="H28" s="1730"/>
      <c r="I28" s="1730"/>
      <c r="J28" s="1730"/>
      <c r="K28" s="1731"/>
    </row>
    <row r="29" spans="1:11" ht="15.75">
      <c r="A29" s="68"/>
      <c r="B29" s="278" t="s">
        <v>4</v>
      </c>
      <c r="C29" s="278"/>
      <c r="D29" s="279" t="s">
        <v>102</v>
      </c>
      <c r="E29" s="694">
        <f>1447406.8552+40000</f>
        <v>1487406.8552000001</v>
      </c>
      <c r="F29" s="704">
        <v>3153669</v>
      </c>
      <c r="G29" s="272">
        <f t="shared" ref="G29:G37" si="0">IF(E29&lt;1," ",IF(F29&lt;1," ",(F29-E29)/E29))</f>
        <v>1.1202463797815094</v>
      </c>
      <c r="H29" s="705">
        <v>3260968.4649999999</v>
      </c>
      <c r="I29" s="272">
        <f t="shared" ref="I29:I37" si="1">IF(F29&lt;1," ",IF(H29&lt;1," ",(H29-F29)/F29))</f>
        <v>3.4023692721081335E-2</v>
      </c>
      <c r="J29" s="705">
        <v>3372023.4112749989</v>
      </c>
      <c r="K29" s="308">
        <f t="shared" ref="K29:K37" si="2">IF(H29&lt;1," ",IF(J29&lt;1," ",(J29-H29)/H29))</f>
        <v>3.4055817303035182E-2</v>
      </c>
    </row>
    <row r="30" spans="1:11" ht="15.75">
      <c r="A30" s="68"/>
      <c r="B30" s="278" t="s">
        <v>23</v>
      </c>
      <c r="C30" s="278"/>
      <c r="D30" s="279" t="s">
        <v>103</v>
      </c>
      <c r="E30" s="694"/>
      <c r="F30" s="704">
        <v>136650.5</v>
      </c>
      <c r="G30" s="272" t="str">
        <f t="shared" si="0"/>
        <v xml:space="preserve"> </v>
      </c>
      <c r="H30" s="705">
        <v>141153.26749999999</v>
      </c>
      <c r="I30" s="272">
        <f t="shared" si="1"/>
        <v>3.2950977127782097E-2</v>
      </c>
      <c r="J30" s="705">
        <v>145813.63186249998</v>
      </c>
      <c r="K30" s="308">
        <f t="shared" si="2"/>
        <v>3.3016340641919585E-2</v>
      </c>
    </row>
    <row r="31" spans="1:11" ht="15.75">
      <c r="A31" s="68"/>
      <c r="B31" s="278" t="s">
        <v>24</v>
      </c>
      <c r="C31" s="278"/>
      <c r="D31" s="279" t="s">
        <v>104</v>
      </c>
      <c r="E31" s="694">
        <v>393407.94265864859</v>
      </c>
      <c r="F31" s="704">
        <f>(SUM(F29:F30)-(39*4000))*0.309</f>
        <v>968504.72549999994</v>
      </c>
      <c r="G31" s="272">
        <f t="shared" si="0"/>
        <v>1.4618331774260851</v>
      </c>
      <c r="H31" s="704">
        <f>(SUM(H29:H30)-(39*4000))*0.309</f>
        <v>1003051.6153424999</v>
      </c>
      <c r="I31" s="272">
        <f t="shared" si="1"/>
        <v>3.5670336894499728E-2</v>
      </c>
      <c r="J31" s="704">
        <f>(SUM(J29:J30)-(39*4000))*0.309</f>
        <v>1038807.6463294872</v>
      </c>
      <c r="K31" s="308">
        <f t="shared" si="2"/>
        <v>3.5647249294123419E-2</v>
      </c>
    </row>
    <row r="32" spans="1:11" ht="15.75">
      <c r="A32" s="68"/>
      <c r="B32" s="278" t="s">
        <v>25</v>
      </c>
      <c r="C32" s="278"/>
      <c r="D32" s="279" t="s">
        <v>105</v>
      </c>
      <c r="E32" s="694">
        <f>334128.51-'Budget-Restricted MYP'!E32</f>
        <v>332606.91000000003</v>
      </c>
      <c r="F32" s="704">
        <v>522371.33</v>
      </c>
      <c r="G32" s="272">
        <f t="shared" si="0"/>
        <v>0.57053661332532135</v>
      </c>
      <c r="H32" s="704">
        <v>522371.33</v>
      </c>
      <c r="I32" s="272">
        <f t="shared" si="1"/>
        <v>0</v>
      </c>
      <c r="J32" s="704">
        <v>522371.33</v>
      </c>
      <c r="K32" s="308">
        <f t="shared" si="2"/>
        <v>0</v>
      </c>
    </row>
    <row r="33" spans="1:12" ht="15.75">
      <c r="A33" s="68"/>
      <c r="B33" s="278" t="s">
        <v>26</v>
      </c>
      <c r="C33" s="278"/>
      <c r="D33" s="279" t="s">
        <v>106</v>
      </c>
      <c r="E33" s="694">
        <f>2440878.21-'Budget-Restricted MYP'!E33</f>
        <v>2318499.09</v>
      </c>
      <c r="F33" s="704">
        <f>4782493.3687866-'Budget-Restricted MYP'!F33+1061</f>
        <v>4541682.3687866004</v>
      </c>
      <c r="G33" s="272">
        <f t="shared" si="0"/>
        <v>0.95888900210290817</v>
      </c>
      <c r="H33" s="705">
        <f>4756373.2904866-'Budget-Restricted MYP'!H33+1061</f>
        <v>4515562.2904866003</v>
      </c>
      <c r="I33" s="272">
        <f t="shared" si="1"/>
        <v>-5.7511900170549926E-3</v>
      </c>
      <c r="J33" s="705">
        <f>4819406.4691866-'Budget-Restricted MYP'!J33+1061</f>
        <v>4578595.4691866003</v>
      </c>
      <c r="K33" s="308">
        <f t="shared" si="2"/>
        <v>1.3959098478787135E-2</v>
      </c>
    </row>
    <row r="34" spans="1:12" ht="15.75">
      <c r="A34" s="68"/>
      <c r="B34" s="278" t="s">
        <v>5</v>
      </c>
      <c r="C34" s="278"/>
      <c r="D34" s="279" t="s">
        <v>107</v>
      </c>
      <c r="E34" s="694">
        <v>14362.290000000005</v>
      </c>
      <c r="F34" s="704">
        <v>14362.290000000005</v>
      </c>
      <c r="G34" s="272">
        <f t="shared" si="0"/>
        <v>0</v>
      </c>
      <c r="H34" s="705">
        <v>14362.290000000005</v>
      </c>
      <c r="I34" s="272">
        <f t="shared" si="1"/>
        <v>0</v>
      </c>
      <c r="J34" s="705">
        <v>14362.290000000005</v>
      </c>
      <c r="K34" s="308">
        <f t="shared" si="2"/>
        <v>0</v>
      </c>
    </row>
    <row r="35" spans="1:12" ht="15.75">
      <c r="A35" s="68"/>
      <c r="B35" s="278" t="s">
        <v>27</v>
      </c>
      <c r="C35" s="278"/>
      <c r="D35" s="279" t="s">
        <v>108</v>
      </c>
      <c r="E35" s="694">
        <v>2499</v>
      </c>
      <c r="F35" s="704">
        <v>2499</v>
      </c>
      <c r="G35" s="272">
        <f t="shared" si="0"/>
        <v>0</v>
      </c>
      <c r="H35" s="705">
        <v>2499</v>
      </c>
      <c r="I35" s="272">
        <f t="shared" si="1"/>
        <v>0</v>
      </c>
      <c r="J35" s="705">
        <v>2499</v>
      </c>
      <c r="K35" s="308">
        <f t="shared" si="2"/>
        <v>0</v>
      </c>
    </row>
    <row r="36" spans="1:12" ht="16.5" thickBot="1">
      <c r="A36" s="68"/>
      <c r="B36" s="922" t="s">
        <v>149</v>
      </c>
      <c r="C36" s="922"/>
      <c r="D36" s="629" t="s">
        <v>114</v>
      </c>
      <c r="E36" s="923"/>
      <c r="F36" s="924"/>
      <c r="G36" s="298" t="str">
        <f t="shared" si="0"/>
        <v xml:space="preserve"> </v>
      </c>
      <c r="H36" s="925"/>
      <c r="I36" s="298" t="str">
        <f t="shared" si="1"/>
        <v xml:space="preserve"> </v>
      </c>
      <c r="J36" s="925"/>
      <c r="K36" s="926" t="str">
        <f t="shared" si="2"/>
        <v xml:space="preserve"> </v>
      </c>
    </row>
    <row r="37" spans="1:12" ht="17.25" thickTop="1" thickBot="1">
      <c r="A37" s="68"/>
      <c r="B37" s="1737" t="s">
        <v>28</v>
      </c>
      <c r="C37" s="1738"/>
      <c r="D37" s="1739"/>
      <c r="E37" s="900">
        <f>SUM(E29:E36)</f>
        <v>4548782.087858648</v>
      </c>
      <c r="F37" s="900">
        <f>SUM(F29:F36)</f>
        <v>9339739.2142865993</v>
      </c>
      <c r="G37" s="901">
        <f t="shared" si="0"/>
        <v>1.0532395339877245</v>
      </c>
      <c r="H37" s="900">
        <f>SUM(H29:H36)</f>
        <v>9459968.258329099</v>
      </c>
      <c r="I37" s="901">
        <f t="shared" si="1"/>
        <v>1.2872848083230259E-2</v>
      </c>
      <c r="J37" s="900">
        <f>SUM(J29:J36)</f>
        <v>9674472.7786535863</v>
      </c>
      <c r="K37" s="902">
        <f t="shared" si="2"/>
        <v>2.2674972522833271E-2</v>
      </c>
    </row>
    <row r="38" spans="1:12" ht="17.25" thickTop="1" thickBot="1">
      <c r="A38" s="68"/>
      <c r="B38" s="1"/>
      <c r="C38" s="927"/>
      <c r="D38" s="556"/>
      <c r="E38" s="277"/>
      <c r="F38" s="1755"/>
      <c r="G38" s="1755"/>
      <c r="H38" s="1755"/>
      <c r="I38" s="1755"/>
      <c r="J38" s="1755"/>
      <c r="K38" s="1756"/>
    </row>
    <row r="39" spans="1:12" ht="17.25" thickTop="1" thickBot="1">
      <c r="A39" s="1734" t="s">
        <v>208</v>
      </c>
      <c r="B39" s="1735"/>
      <c r="C39" s="1735"/>
      <c r="D39" s="1736"/>
      <c r="E39" s="917">
        <f>SUM(E26-E37)</f>
        <v>537.97214135155082</v>
      </c>
      <c r="F39" s="917">
        <f>(F26-F37)</f>
        <v>-753586.78102659807</v>
      </c>
      <c r="G39" s="918" t="str">
        <f>IF(E39&lt;1," ",IF(F39&lt;1," ",(F39-E39)/E39))</f>
        <v xml:space="preserve"> </v>
      </c>
      <c r="H39" s="917">
        <f>SUM(H26-H37)</f>
        <v>-566859.88506909832</v>
      </c>
      <c r="I39" s="918" t="str">
        <f>IF(F39&lt;1," ",IF(H39&lt;1," ",(H39-F39)/F39))</f>
        <v xml:space="preserve"> </v>
      </c>
      <c r="J39" s="917">
        <f>SUM(J26-J37)</f>
        <v>-460330.40539358556</v>
      </c>
      <c r="K39" s="919" t="str">
        <f>IF(H39&lt;1," ",IF(J39&lt;1," ",(J39-H39)/H39))</f>
        <v xml:space="preserve"> </v>
      </c>
    </row>
    <row r="40" spans="1:12" ht="16.5" thickTop="1">
      <c r="A40" s="68"/>
      <c r="B40" s="1"/>
      <c r="C40" s="343"/>
      <c r="D40" s="344"/>
      <c r="E40" s="84"/>
      <c r="F40" s="1726"/>
      <c r="G40" s="1726"/>
      <c r="H40" s="1726"/>
      <c r="I40" s="1726"/>
      <c r="J40" s="1726"/>
      <c r="K40" s="1727"/>
    </row>
    <row r="41" spans="1:12" ht="15.75">
      <c r="A41" s="306" t="s">
        <v>29</v>
      </c>
      <c r="B41" s="1"/>
      <c r="C41" s="155"/>
      <c r="D41" s="345"/>
      <c r="E41" s="83"/>
      <c r="F41" s="1728"/>
      <c r="G41" s="1728"/>
      <c r="H41" s="1728"/>
      <c r="I41" s="1728"/>
      <c r="J41" s="1728"/>
      <c r="K41" s="1729"/>
    </row>
    <row r="42" spans="1:12" ht="15.75">
      <c r="A42" s="68"/>
      <c r="B42" s="147" t="s">
        <v>127</v>
      </c>
      <c r="C42" s="141"/>
      <c r="D42" s="310">
        <v>8900</v>
      </c>
      <c r="E42" s="706">
        <v>-62213</v>
      </c>
      <c r="F42" s="707"/>
      <c r="G42" s="31" t="str">
        <f>IF(E42&lt;1," ",IF(F42&lt;1," ",(F42-E42)/E42))</f>
        <v xml:space="preserve"> </v>
      </c>
      <c r="H42" s="707">
        <v>-407355</v>
      </c>
      <c r="I42" s="31" t="str">
        <f>IF(F42&lt;1," ",IF(H42&lt;1," ",(H42-F42)/F42))</f>
        <v xml:space="preserve"> </v>
      </c>
      <c r="J42" s="707">
        <v>-515298</v>
      </c>
      <c r="K42" s="311" t="str">
        <f>IF(H42&lt;1," ",IF(J42&lt;1," ",(J42-H42)/H42))</f>
        <v xml:space="preserve"> </v>
      </c>
      <c r="L42" s="1223"/>
    </row>
    <row r="43" spans="1:12" ht="16.5" thickBot="1">
      <c r="A43" s="68"/>
      <c r="B43" s="899" t="s">
        <v>30</v>
      </c>
      <c r="C43" s="153"/>
      <c r="D43" s="928">
        <v>7600</v>
      </c>
      <c r="E43" s="708">
        <v>-224488.86752776563</v>
      </c>
      <c r="F43" s="709">
        <v>-945000</v>
      </c>
      <c r="G43" s="96" t="str">
        <f>IF(E43&lt;1," ",IF(F43&lt;1," ",(F43-E43)/E43))</f>
        <v xml:space="preserve"> </v>
      </c>
      <c r="H43" s="709">
        <v>-975000</v>
      </c>
      <c r="I43" s="96" t="str">
        <f>IF(F43&lt;1," ",IF(H43&lt;1," ",(H43-F43)/F43))</f>
        <v xml:space="preserve"> </v>
      </c>
      <c r="J43" s="709">
        <v>-985000</v>
      </c>
      <c r="K43" s="312" t="str">
        <f>IF(H43&lt;1," ",IF(J43&lt;1," ",(J43-H43)/H43))</f>
        <v xml:space="preserve"> </v>
      </c>
    </row>
    <row r="44" spans="1:12" ht="17.25" thickTop="1" thickBot="1">
      <c r="A44" s="68"/>
      <c r="B44" s="1737" t="s">
        <v>31</v>
      </c>
      <c r="C44" s="1738"/>
      <c r="D44" s="1739"/>
      <c r="E44" s="900">
        <f>E42-E43</f>
        <v>162275.86752776563</v>
      </c>
      <c r="F44" s="900">
        <f>F42-F43</f>
        <v>945000</v>
      </c>
      <c r="G44" s="901">
        <f>IF(E44&lt;1," ",IF(F44&lt;1," ",(F44-E44)/E44))</f>
        <v>4.8234167186831343</v>
      </c>
      <c r="H44" s="900">
        <f>H42-H43</f>
        <v>567645</v>
      </c>
      <c r="I44" s="901">
        <f>IF(F44&lt;1," ",IF(H44&lt;1," ",(H44-F44)/F44))</f>
        <v>-0.39931746031746029</v>
      </c>
      <c r="J44" s="900">
        <f>J42-J43</f>
        <v>469702</v>
      </c>
      <c r="K44" s="902">
        <f>IF(H44&lt;1," ",IF(J44&lt;1," ",(J44-H44)/H44))</f>
        <v>-0.17254269834139294</v>
      </c>
    </row>
    <row r="45" spans="1:12" ht="17.25" thickTop="1" thickBot="1">
      <c r="A45" s="68"/>
      <c r="B45" s="1"/>
      <c r="C45" s="1"/>
      <c r="D45" s="556"/>
      <c r="E45" s="269"/>
      <c r="F45" s="269"/>
      <c r="G45" s="52"/>
      <c r="H45" s="269"/>
      <c r="I45" s="52"/>
      <c r="J45" s="269"/>
      <c r="K45" s="313"/>
    </row>
    <row r="46" spans="1:12" ht="17.25" thickTop="1" thickBot="1">
      <c r="A46" s="915" t="s">
        <v>32</v>
      </c>
      <c r="B46" s="916"/>
      <c r="C46" s="920"/>
      <c r="D46" s="921"/>
      <c r="E46" s="917">
        <f>E39+E44</f>
        <v>162813.83966911718</v>
      </c>
      <c r="F46" s="917">
        <f>F39+F44</f>
        <v>191413.21897340193</v>
      </c>
      <c r="G46" s="918">
        <f>IF(E46&lt;1," ",IF(F46&lt;1," ",(F46-E46)/E46))</f>
        <v>0.17565693040841376</v>
      </c>
      <c r="H46" s="917">
        <f>H39+H44</f>
        <v>785.11493090167642</v>
      </c>
      <c r="I46" s="918">
        <f>IF(F46&lt;1," ",IF(H46&lt;1," ",(H46-F46)/F46))</f>
        <v>-0.9958983243941435</v>
      </c>
      <c r="J46" s="917">
        <f>J39+J44</f>
        <v>9371.5946064144373</v>
      </c>
      <c r="K46" s="919">
        <f>IF(H46&lt;1," ",IF(J46&lt;1," ",(J46-H46)/H46))</f>
        <v>10.936589456592674</v>
      </c>
    </row>
    <row r="47" spans="1:12" ht="16.5" thickTop="1">
      <c r="A47" s="306"/>
      <c r="B47" s="1"/>
      <c r="C47" s="343"/>
      <c r="D47" s="344"/>
      <c r="E47" s="269"/>
      <c r="F47" s="1730"/>
      <c r="G47" s="1730"/>
      <c r="H47" s="1730"/>
      <c r="I47" s="1730"/>
      <c r="J47" s="1730"/>
      <c r="K47" s="1731"/>
    </row>
    <row r="48" spans="1:12" ht="15.75">
      <c r="A48" s="306" t="s">
        <v>6</v>
      </c>
      <c r="B48" s="1"/>
      <c r="C48" s="155"/>
      <c r="D48" s="345"/>
      <c r="E48" s="269"/>
      <c r="F48" s="1730"/>
      <c r="G48" s="1730"/>
      <c r="H48" s="1730"/>
      <c r="I48" s="1730"/>
      <c r="J48" s="1730"/>
      <c r="K48" s="1731"/>
    </row>
    <row r="49" spans="1:11" ht="15.75">
      <c r="A49" s="68"/>
      <c r="B49" s="293" t="s">
        <v>162</v>
      </c>
      <c r="C49" s="294"/>
      <c r="D49" s="295">
        <v>9791</v>
      </c>
      <c r="E49" s="760">
        <v>30877</v>
      </c>
      <c r="F49" s="713">
        <f>E55</f>
        <v>193690.83966911718</v>
      </c>
      <c r="G49" s="276">
        <f>IF(E49&lt;1," ",IF(F49&lt;1," ",(F49-E49)/E49))</f>
        <v>5.272981172688965</v>
      </c>
      <c r="H49" s="714">
        <f>F55</f>
        <v>385104.05864251911</v>
      </c>
      <c r="I49" s="276">
        <f>IF(F49&lt;1," ",IF(H49&lt;1," ",(H49-F49)/F49))</f>
        <v>0.98824094779285321</v>
      </c>
      <c r="J49" s="714">
        <f>H55</f>
        <v>385889.17357342079</v>
      </c>
      <c r="K49" s="314">
        <f>IF(H49&lt;1," ",IF(J49&lt;1," ",(J49-H49)/H49))</f>
        <v>2.0387085341795263E-3</v>
      </c>
    </row>
    <row r="50" spans="1:11" ht="15.75">
      <c r="A50" s="68"/>
      <c r="B50" s="315" t="s">
        <v>136</v>
      </c>
      <c r="C50" s="316"/>
      <c r="D50" s="317">
        <v>9792</v>
      </c>
      <c r="E50" s="889"/>
      <c r="F50" s="889"/>
      <c r="G50" s="496" t="str">
        <f>IF(E50&lt;1," ",IF(F50&lt;1," ",(F50-E50)/E50))</f>
        <v xml:space="preserve"> </v>
      </c>
      <c r="H50" s="889"/>
      <c r="I50" s="319"/>
      <c r="J50" s="889"/>
      <c r="K50" s="320"/>
    </row>
    <row r="51" spans="1:11" ht="15.75">
      <c r="A51" s="68"/>
      <c r="B51" s="1740" t="s">
        <v>236</v>
      </c>
      <c r="C51" s="1741"/>
      <c r="D51" s="1742"/>
      <c r="E51" s="889"/>
      <c r="F51" s="889"/>
      <c r="G51" s="496"/>
      <c r="H51" s="889"/>
      <c r="I51" s="319"/>
      <c r="J51" s="889"/>
      <c r="K51" s="320"/>
    </row>
    <row r="52" spans="1:11" ht="15.75">
      <c r="A52" s="68"/>
      <c r="B52" s="315" t="s">
        <v>302</v>
      </c>
      <c r="C52" s="316"/>
      <c r="D52" s="317">
        <v>9793</v>
      </c>
      <c r="E52" s="889"/>
      <c r="F52" s="889"/>
      <c r="G52" s="496" t="str">
        <f>IF(E52&lt;1," ",IF(F52&lt;1," ",(F52-E52)/E52))</f>
        <v xml:space="preserve"> </v>
      </c>
      <c r="H52" s="889"/>
      <c r="I52" s="319"/>
      <c r="J52" s="889"/>
      <c r="K52" s="320"/>
    </row>
    <row r="53" spans="1:11" ht="15.75">
      <c r="A53" s="68"/>
      <c r="B53" s="315" t="s">
        <v>301</v>
      </c>
      <c r="C53" s="316"/>
      <c r="D53" s="317">
        <v>9795</v>
      </c>
      <c r="E53" s="998"/>
      <c r="F53" s="890"/>
      <c r="G53" s="321"/>
      <c r="H53" s="890"/>
      <c r="I53" s="322"/>
      <c r="J53" s="890"/>
      <c r="K53" s="323"/>
    </row>
    <row r="54" spans="1:11" ht="16.5" thickBot="1">
      <c r="A54" s="68"/>
      <c r="B54" s="1743" t="s">
        <v>284</v>
      </c>
      <c r="C54" s="1744"/>
      <c r="D54" s="1745"/>
      <c r="E54" s="712">
        <f>E49+E53</f>
        <v>30877</v>
      </c>
      <c r="F54" s="890"/>
      <c r="G54" s="321"/>
      <c r="H54" s="890"/>
      <c r="I54" s="322"/>
      <c r="J54" s="890"/>
      <c r="K54" s="323"/>
    </row>
    <row r="55" spans="1:11" ht="17.25" thickTop="1" thickBot="1">
      <c r="A55" s="68"/>
      <c r="B55" s="912" t="s">
        <v>33</v>
      </c>
      <c r="C55" s="913"/>
      <c r="D55" s="914">
        <v>9790</v>
      </c>
      <c r="E55" s="900">
        <f>E54+E46</f>
        <v>193690.83966911718</v>
      </c>
      <c r="F55" s="900">
        <f>F49+F46</f>
        <v>385104.05864251911</v>
      </c>
      <c r="G55" s="901">
        <f>IF(E55&lt;1," ",IF(F55&lt;1," ",(F55-E55)/E55))</f>
        <v>0.98824094779285321</v>
      </c>
      <c r="H55" s="900">
        <f>H49+H46</f>
        <v>385889.17357342079</v>
      </c>
      <c r="I55" s="901">
        <f>IF(F55&lt;1," ",IF(H55&lt;1," ",(H55-F55)/F55))</f>
        <v>2.0387085341795263E-3</v>
      </c>
      <c r="J55" s="900">
        <f>J49+J46</f>
        <v>395260.76817983523</v>
      </c>
      <c r="K55" s="902">
        <f>IF(H55&lt;1," ",IF(J55&lt;1," ",(J55-H55)/H55))</f>
        <v>2.4285715299113882E-2</v>
      </c>
    </row>
    <row r="56" spans="1:11" ht="16.5" thickTop="1">
      <c r="A56" s="68"/>
      <c r="B56" s="1"/>
      <c r="C56" s="1"/>
      <c r="D56" s="168"/>
      <c r="E56" s="169"/>
      <c r="F56" s="296"/>
      <c r="G56" s="52"/>
      <c r="H56" s="169"/>
      <c r="I56" s="52"/>
      <c r="J56" s="169"/>
      <c r="K56" s="313"/>
    </row>
    <row r="57" spans="1:11" ht="15.75">
      <c r="A57" s="324" t="s">
        <v>142</v>
      </c>
      <c r="C57" s="99"/>
      <c r="D57" s="557" t="s">
        <v>2</v>
      </c>
      <c r="E57" s="457"/>
      <c r="F57" s="1751"/>
      <c r="G57" s="1751"/>
      <c r="H57" s="1751"/>
      <c r="I57" s="1751"/>
      <c r="J57" s="1751"/>
      <c r="K57" s="1752"/>
    </row>
    <row r="58" spans="1:11" ht="15.75">
      <c r="A58" s="68"/>
      <c r="B58" s="348" t="s">
        <v>7</v>
      </c>
      <c r="C58" s="354" t="s">
        <v>143</v>
      </c>
      <c r="D58" s="355"/>
      <c r="E58" s="357"/>
      <c r="F58" s="1753"/>
      <c r="G58" s="1753"/>
      <c r="H58" s="1753"/>
      <c r="I58" s="1753"/>
      <c r="J58" s="1753"/>
      <c r="K58" s="1754"/>
    </row>
    <row r="59" spans="1:11" ht="15.75">
      <c r="A59" s="68"/>
      <c r="B59" s="351"/>
      <c r="C59" s="349" t="s">
        <v>34</v>
      </c>
      <c r="D59" s="289">
        <v>9711</v>
      </c>
      <c r="E59" s="896"/>
      <c r="F59" s="758"/>
      <c r="G59" s="31" t="str">
        <f>IF(E59&lt;1," ",IF(F59&lt;1," ",(F59-E59)/E59))</f>
        <v xml:space="preserve"> </v>
      </c>
      <c r="H59" s="758"/>
      <c r="I59" s="31" t="str">
        <f>IF(F59&lt;1," ",IF(H59&lt;1," ",(H59-F59)/F59))</f>
        <v xml:space="preserve"> </v>
      </c>
      <c r="J59" s="758"/>
      <c r="K59" s="311" t="str">
        <f>IF(H59&lt;1," ",IF(J59&lt;1," ",(J59-H59)/H59))</f>
        <v xml:space="preserve"> </v>
      </c>
    </row>
    <row r="60" spans="1:11" ht="15.75">
      <c r="A60" s="68"/>
      <c r="B60" s="348"/>
      <c r="C60" s="349" t="s">
        <v>10</v>
      </c>
      <c r="D60" s="289">
        <v>9712</v>
      </c>
      <c r="E60" s="896"/>
      <c r="F60" s="758"/>
      <c r="G60" s="31" t="str">
        <f>IF(E60&lt;1," ",IF(F60&lt;1," ",(F60-E60)/E60))</f>
        <v xml:space="preserve"> </v>
      </c>
      <c r="H60" s="758"/>
      <c r="I60" s="31" t="str">
        <f>IF(F60&lt;1," ",IF(H60&lt;1," ",(H60-F60)/F60))</f>
        <v xml:space="preserve"> </v>
      </c>
      <c r="J60" s="758"/>
      <c r="K60" s="311" t="str">
        <f>IF(H60&lt;1," ",IF(J60&lt;1," ",(J60-H60)/H60))</f>
        <v xml:space="preserve"> </v>
      </c>
    </row>
    <row r="61" spans="1:11" ht="15.75">
      <c r="A61" s="68"/>
      <c r="B61" s="348"/>
      <c r="C61" s="349" t="s">
        <v>11</v>
      </c>
      <c r="D61" s="289">
        <v>9713</v>
      </c>
      <c r="E61" s="896"/>
      <c r="F61" s="758"/>
      <c r="G61" s="31" t="str">
        <f>IF(E61&lt;1," ",IF(F61&lt;1," ",(F61-E61)/E61))</f>
        <v xml:space="preserve"> </v>
      </c>
      <c r="H61" s="758"/>
      <c r="I61" s="31" t="str">
        <f>IF(F61&lt;1," ",IF(H61&lt;1," ",(H61-F61)/F61))</f>
        <v xml:space="preserve"> </v>
      </c>
      <c r="J61" s="758"/>
      <c r="K61" s="311" t="str">
        <f>IF(H61&lt;1," ",IF(J61&lt;1," ",(J61-H61)/H61))</f>
        <v xml:space="preserve"> </v>
      </c>
    </row>
    <row r="62" spans="1:11" ht="15.75">
      <c r="A62" s="68"/>
      <c r="B62" s="348"/>
      <c r="C62" s="349" t="s">
        <v>144</v>
      </c>
      <c r="D62" s="289">
        <v>9719</v>
      </c>
      <c r="E62" s="897"/>
      <c r="F62" s="898"/>
      <c r="G62" s="51" t="str">
        <f>IF(E62&lt;1," ",IF(F62&lt;1," ",(F62-E62)/E62))</f>
        <v xml:space="preserve"> </v>
      </c>
      <c r="H62" s="898"/>
      <c r="I62" s="51" t="str">
        <f>IF(F62&lt;1," ",IF(H62&lt;1," ",(H62-F62)/F62))</f>
        <v xml:space="preserve"> </v>
      </c>
      <c r="J62" s="898"/>
      <c r="K62" s="325" t="str">
        <f>IF(H62&lt;1," ",IF(J62&lt;1," ",(J62-H62)/H62))</f>
        <v xml:space="preserve"> </v>
      </c>
    </row>
    <row r="63" spans="1:11" ht="15.75">
      <c r="A63" s="326"/>
      <c r="B63" s="477" t="s">
        <v>8</v>
      </c>
      <c r="C63" s="478" t="s">
        <v>145</v>
      </c>
      <c r="D63" s="479">
        <v>9740</v>
      </c>
      <c r="E63" s="460"/>
      <c r="F63" s="328"/>
      <c r="G63" s="496"/>
      <c r="H63" s="329"/>
      <c r="I63" s="496"/>
      <c r="J63" s="329"/>
      <c r="K63" s="509"/>
    </row>
    <row r="64" spans="1:11" ht="15.75">
      <c r="A64" s="68"/>
      <c r="B64" s="348" t="s">
        <v>9</v>
      </c>
      <c r="C64" s="354" t="s">
        <v>349</v>
      </c>
      <c r="D64" s="988"/>
      <c r="E64" s="461"/>
      <c r="F64" s="330"/>
      <c r="G64" s="30"/>
      <c r="H64" s="30"/>
      <c r="I64" s="30"/>
      <c r="J64" s="30"/>
      <c r="K64" s="331"/>
    </row>
    <row r="65" spans="1:11" ht="15.75">
      <c r="A65" s="68"/>
      <c r="B65" s="348"/>
      <c r="C65" s="349" t="s">
        <v>146</v>
      </c>
      <c r="D65" s="289">
        <v>9750</v>
      </c>
      <c r="E65" s="896"/>
      <c r="F65" s="758"/>
      <c r="G65" s="31"/>
      <c r="H65" s="758"/>
      <c r="I65" s="31"/>
      <c r="J65" s="758"/>
      <c r="K65" s="311"/>
    </row>
    <row r="66" spans="1:11" ht="15.75">
      <c r="A66" s="68"/>
      <c r="B66" s="348"/>
      <c r="C66" s="349" t="s">
        <v>147</v>
      </c>
      <c r="D66" s="290">
        <v>9760</v>
      </c>
      <c r="E66" s="896"/>
      <c r="F66" s="758"/>
      <c r="G66" s="31" t="str">
        <f>IF(E66&lt;1," ",IF(F66&lt;1," ",(F66-E66)/E66))</f>
        <v xml:space="preserve"> </v>
      </c>
      <c r="H66" s="758"/>
      <c r="I66" s="31" t="str">
        <f>IF(F66&lt;1," ",IF(H66&lt;1," ",(H66-F66)/F66))</f>
        <v xml:space="preserve"> </v>
      </c>
      <c r="J66" s="758"/>
      <c r="K66" s="311" t="str">
        <f>IF(H66&lt;1," ",IF(J66&lt;1," ",(J66-H66)/H66))</f>
        <v xml:space="preserve"> </v>
      </c>
    </row>
    <row r="67" spans="1:11" ht="15.75">
      <c r="A67" s="68"/>
      <c r="B67" s="348" t="s">
        <v>38</v>
      </c>
      <c r="C67" s="350" t="s">
        <v>148</v>
      </c>
      <c r="D67" s="289">
        <v>9780</v>
      </c>
      <c r="E67" s="896"/>
      <c r="F67" s="758"/>
      <c r="G67" s="31" t="str">
        <f>IF(E67&lt;1," ",IF(F67&lt;1," ",(F67-E67)/E67))</f>
        <v xml:space="preserve"> </v>
      </c>
      <c r="H67" s="758"/>
      <c r="I67" s="31" t="str">
        <f>IF(F67&lt;1," ",IF(H67&lt;1," ",(H67-F67)/F67))</f>
        <v xml:space="preserve"> </v>
      </c>
      <c r="J67" s="758"/>
      <c r="K67" s="311" t="str">
        <f>IF(H67&lt;1," ",IF(J67&lt;1," ",(J67-H67)/H67))</f>
        <v xml:space="preserve"> </v>
      </c>
    </row>
    <row r="68" spans="1:11" ht="15.75">
      <c r="A68" s="68"/>
      <c r="B68" s="348" t="s">
        <v>40</v>
      </c>
      <c r="C68" s="1732" t="s">
        <v>352</v>
      </c>
      <c r="D68" s="1733"/>
      <c r="E68" s="461"/>
      <c r="F68" s="330"/>
      <c r="G68" s="30"/>
      <c r="H68" s="30"/>
      <c r="I68" s="30"/>
      <c r="J68" s="30"/>
      <c r="K68" s="331"/>
    </row>
    <row r="69" spans="1:11" ht="15.75">
      <c r="A69" s="68"/>
      <c r="B69" s="348"/>
      <c r="C69" s="349" t="s">
        <v>350</v>
      </c>
      <c r="D69" s="290">
        <v>9789</v>
      </c>
      <c r="E69" s="896"/>
      <c r="F69" s="758"/>
      <c r="G69" s="31" t="str">
        <f>IF(E69&lt;1," ",IF(F69&lt;1," ",(F69-E69)/E69))</f>
        <v xml:space="preserve"> </v>
      </c>
      <c r="H69" s="758"/>
      <c r="I69" s="31" t="str">
        <f>IF(F69&lt;1," ",IF(H69&lt;1," ",(H69-F69)/F69))</f>
        <v xml:space="preserve"> </v>
      </c>
      <c r="J69" s="758"/>
      <c r="K69" s="311" t="str">
        <f>IF(H69&lt;1," ",IF(J69&lt;1," ",(J69-H69)/H69))</f>
        <v xml:space="preserve"> </v>
      </c>
    </row>
    <row r="70" spans="1:11" ht="16.5" thickBot="1">
      <c r="A70" s="68"/>
      <c r="B70" s="899"/>
      <c r="C70" s="905" t="s">
        <v>351</v>
      </c>
      <c r="D70" s="629">
        <v>9790</v>
      </c>
      <c r="E70" s="906">
        <f>E55-E65-E66-E67-E69-E59-E60-E61-E62-E63</f>
        <v>193690.83966911718</v>
      </c>
      <c r="F70" s="907">
        <f>F55-F65-F66-F67-F69-F59-F60-F61-F62-F63</f>
        <v>385104.05864251911</v>
      </c>
      <c r="G70" s="96">
        <f>IF(E70&lt;1," ",IF(F70&lt;1," ",(F70-E70)/E70))</f>
        <v>0.98824094779285321</v>
      </c>
      <c r="H70" s="907">
        <f>H55-H65-H66-H67-H69-H59-H60-H61-H62-H63</f>
        <v>385889.17357342079</v>
      </c>
      <c r="I70" s="96">
        <f>IF(F70&lt;1," ",IF(H70&lt;1," ",(H70-F70)/F70))</f>
        <v>2.0387085341795263E-3</v>
      </c>
      <c r="J70" s="907">
        <f>J55-J65-J66-J67-J69-J59-J60-J61-J62-J63</f>
        <v>395260.76817983523</v>
      </c>
      <c r="K70" s="312">
        <f>IF(H70&lt;1," ",IF(J70&lt;1," ",(J70-H70)/H70))</f>
        <v>2.4285715299113882E-2</v>
      </c>
    </row>
    <row r="71" spans="1:11" ht="17.25" thickTop="1" thickBot="1">
      <c r="A71" s="68"/>
      <c r="B71" s="1709"/>
      <c r="C71" s="1710"/>
      <c r="D71" s="1710"/>
      <c r="E71" s="1000"/>
      <c r="F71" s="1000"/>
      <c r="G71" s="1000"/>
      <c r="H71" s="1000"/>
      <c r="I71" s="1000"/>
      <c r="J71" s="1000"/>
      <c r="K71" s="1001"/>
    </row>
    <row r="72" spans="1:11" ht="16.5" thickTop="1">
      <c r="A72" s="332"/>
      <c r="B72" s="225"/>
      <c r="C72" s="225"/>
      <c r="D72" s="225"/>
      <c r="E72" s="225"/>
      <c r="F72" s="1705"/>
      <c r="G72" s="1705"/>
      <c r="H72" s="1705"/>
      <c r="I72" s="1705"/>
      <c r="J72" s="1705"/>
      <c r="K72" s="1706"/>
    </row>
    <row r="73" spans="1:11" ht="15.75">
      <c r="A73" s="332" t="s">
        <v>316</v>
      </c>
      <c r="B73" s="225"/>
      <c r="C73" s="225"/>
      <c r="D73" s="225"/>
      <c r="E73" s="225"/>
      <c r="F73" s="1705"/>
      <c r="G73" s="1705"/>
      <c r="H73" s="1705"/>
      <c r="I73" s="1705"/>
      <c r="J73" s="1705"/>
      <c r="K73" s="1706"/>
    </row>
    <row r="74" spans="1:11" ht="16.5">
      <c r="A74" s="284"/>
      <c r="B74" s="166"/>
      <c r="C74" s="1749" t="s">
        <v>324</v>
      </c>
      <c r="D74" s="1749"/>
      <c r="E74" s="1749"/>
      <c r="F74" s="1749"/>
      <c r="G74" s="1749"/>
      <c r="H74" s="1749"/>
      <c r="I74" s="1749"/>
      <c r="J74" s="1749"/>
      <c r="K74" s="1750"/>
    </row>
    <row r="75" spans="1:11" ht="15.75">
      <c r="A75" s="284"/>
      <c r="B75" s="291">
        <v>1</v>
      </c>
      <c r="C75" s="1719" t="s">
        <v>244</v>
      </c>
      <c r="D75" s="1719"/>
      <c r="E75" s="715"/>
      <c r="F75" s="716"/>
      <c r="G75" s="31" t="str">
        <f t="shared" ref="G75:G84" si="3">IF(E75&lt;1," ",IF(F75&lt;1," ",(F75-E75)/E75))</f>
        <v xml:space="preserve"> </v>
      </c>
      <c r="H75" s="720"/>
      <c r="I75" s="31" t="str">
        <f t="shared" ref="I75:I84" si="4">IF(F75&lt;1," ",IF(H75&lt;1," ",(H75-F75)/F75))</f>
        <v xml:space="preserve"> </v>
      </c>
      <c r="J75" s="723"/>
      <c r="K75" s="311" t="str">
        <f t="shared" ref="K75:K84" si="5">IF(H75&lt;1," ",IF(J75&lt;1," ",(J75-H75)/H75))</f>
        <v xml:space="preserve"> </v>
      </c>
    </row>
    <row r="76" spans="1:11" ht="15.75">
      <c r="A76" s="284"/>
      <c r="B76" s="291">
        <v>2</v>
      </c>
      <c r="C76" s="1717" t="s">
        <v>532</v>
      </c>
      <c r="D76" s="1717"/>
      <c r="E76" s="710">
        <v>3623</v>
      </c>
      <c r="F76" s="716"/>
      <c r="G76" s="31" t="str">
        <f t="shared" si="3"/>
        <v xml:space="preserve"> </v>
      </c>
      <c r="H76" s="720"/>
      <c r="I76" s="31" t="str">
        <f t="shared" si="4"/>
        <v xml:space="preserve"> </v>
      </c>
      <c r="J76" s="723"/>
      <c r="K76" s="311" t="str">
        <f t="shared" si="5"/>
        <v xml:space="preserve"> </v>
      </c>
    </row>
    <row r="77" spans="1:11" ht="15.75">
      <c r="A77" s="284"/>
      <c r="B77" s="291">
        <v>3</v>
      </c>
      <c r="C77" s="1717"/>
      <c r="D77" s="1717"/>
      <c r="E77" s="710"/>
      <c r="F77" s="716"/>
      <c r="G77" s="31" t="str">
        <f t="shared" si="3"/>
        <v xml:space="preserve"> </v>
      </c>
      <c r="H77" s="720"/>
      <c r="I77" s="31" t="str">
        <f t="shared" si="4"/>
        <v xml:space="preserve"> </v>
      </c>
      <c r="J77" s="723"/>
      <c r="K77" s="311" t="str">
        <f t="shared" si="5"/>
        <v xml:space="preserve"> </v>
      </c>
    </row>
    <row r="78" spans="1:11" ht="15.75">
      <c r="A78" s="284"/>
      <c r="B78" s="291">
        <v>4</v>
      </c>
      <c r="C78" s="1717"/>
      <c r="D78" s="1717"/>
      <c r="E78" s="710"/>
      <c r="F78" s="716"/>
      <c r="G78" s="31" t="str">
        <f t="shared" si="3"/>
        <v xml:space="preserve"> </v>
      </c>
      <c r="H78" s="720"/>
      <c r="I78" s="31" t="str">
        <f t="shared" si="4"/>
        <v xml:space="preserve"> </v>
      </c>
      <c r="J78" s="723"/>
      <c r="K78" s="311" t="str">
        <f t="shared" si="5"/>
        <v xml:space="preserve"> </v>
      </c>
    </row>
    <row r="79" spans="1:11" ht="15.75">
      <c r="A79" s="284"/>
      <c r="B79" s="291">
        <v>5</v>
      </c>
      <c r="C79" s="1717"/>
      <c r="D79" s="1717"/>
      <c r="E79" s="710"/>
      <c r="F79" s="716"/>
      <c r="G79" s="31" t="str">
        <f t="shared" si="3"/>
        <v xml:space="preserve"> </v>
      </c>
      <c r="H79" s="720"/>
      <c r="I79" s="31" t="str">
        <f t="shared" si="4"/>
        <v xml:space="preserve"> </v>
      </c>
      <c r="J79" s="723"/>
      <c r="K79" s="311" t="str">
        <f t="shared" si="5"/>
        <v xml:space="preserve"> </v>
      </c>
    </row>
    <row r="80" spans="1:11" ht="15.75">
      <c r="A80" s="68"/>
      <c r="B80" s="292">
        <v>6</v>
      </c>
      <c r="C80" s="1720"/>
      <c r="D80" s="1720"/>
      <c r="E80" s="710"/>
      <c r="F80" s="716"/>
      <c r="G80" s="31" t="str">
        <f t="shared" si="3"/>
        <v xml:space="preserve"> </v>
      </c>
      <c r="H80" s="720"/>
      <c r="I80" s="31" t="str">
        <f t="shared" si="4"/>
        <v xml:space="preserve"> </v>
      </c>
      <c r="J80" s="723"/>
      <c r="K80" s="311" t="str">
        <f t="shared" si="5"/>
        <v xml:space="preserve"> </v>
      </c>
    </row>
    <row r="81" spans="1:11" ht="15.75">
      <c r="A81" s="68"/>
      <c r="B81" s="292">
        <v>7</v>
      </c>
      <c r="C81" s="1720"/>
      <c r="D81" s="1720"/>
      <c r="E81" s="710"/>
      <c r="F81" s="716"/>
      <c r="G81" s="31" t="str">
        <f t="shared" si="3"/>
        <v xml:space="preserve"> </v>
      </c>
      <c r="H81" s="720"/>
      <c r="I81" s="31" t="str">
        <f t="shared" si="4"/>
        <v xml:space="preserve"> </v>
      </c>
      <c r="J81" s="723"/>
      <c r="K81" s="311" t="str">
        <f t="shared" si="5"/>
        <v xml:space="preserve"> </v>
      </c>
    </row>
    <row r="82" spans="1:11" ht="15.75">
      <c r="A82" s="68"/>
      <c r="B82" s="292">
        <v>8</v>
      </c>
      <c r="C82" s="1720"/>
      <c r="D82" s="1720"/>
      <c r="E82" s="717"/>
      <c r="F82" s="718"/>
      <c r="G82" s="31" t="str">
        <f t="shared" si="3"/>
        <v xml:space="preserve"> </v>
      </c>
      <c r="H82" s="721"/>
      <c r="I82" s="31" t="str">
        <f t="shared" si="4"/>
        <v xml:space="preserve"> </v>
      </c>
      <c r="J82" s="724"/>
      <c r="K82" s="311" t="str">
        <f t="shared" si="5"/>
        <v xml:space="preserve"> </v>
      </c>
    </row>
    <row r="83" spans="1:11" ht="16.5" thickBot="1">
      <c r="A83" s="68"/>
      <c r="B83" s="292">
        <v>9</v>
      </c>
      <c r="C83" s="1717"/>
      <c r="D83" s="1717"/>
      <c r="E83" s="711"/>
      <c r="F83" s="719"/>
      <c r="G83" s="96" t="str">
        <f t="shared" si="3"/>
        <v xml:space="preserve"> </v>
      </c>
      <c r="H83" s="722"/>
      <c r="I83" s="96" t="str">
        <f t="shared" si="4"/>
        <v xml:space="preserve"> </v>
      </c>
      <c r="J83" s="725"/>
      <c r="K83" s="312" t="str">
        <f t="shared" si="5"/>
        <v xml:space="preserve"> </v>
      </c>
    </row>
    <row r="84" spans="1:11" ht="17.25" thickTop="1" thickBot="1">
      <c r="A84" s="68"/>
      <c r="B84" s="292" t="s">
        <v>2</v>
      </c>
      <c r="C84" s="1748" t="s">
        <v>321</v>
      </c>
      <c r="D84" s="1748"/>
      <c r="E84" s="904">
        <f>SUM(E75:E83)</f>
        <v>3623</v>
      </c>
      <c r="F84" s="900">
        <f>SUM(F75:F83)</f>
        <v>0</v>
      </c>
      <c r="G84" s="901" t="str">
        <f t="shared" si="3"/>
        <v xml:space="preserve"> </v>
      </c>
      <c r="H84" s="900">
        <f>SUM(H75:H83)</f>
        <v>0</v>
      </c>
      <c r="I84" s="901" t="str">
        <f t="shared" si="4"/>
        <v xml:space="preserve"> </v>
      </c>
      <c r="J84" s="900">
        <f>SUM(J75:J83)</f>
        <v>0</v>
      </c>
      <c r="K84" s="902" t="str">
        <f t="shared" si="5"/>
        <v xml:space="preserve"> </v>
      </c>
    </row>
    <row r="85" spans="1:11" ht="15" customHeight="1" thickTop="1">
      <c r="A85" s="68"/>
      <c r="B85" s="153"/>
      <c r="C85" s="153"/>
      <c r="D85" s="153"/>
      <c r="E85" s="153"/>
      <c r="F85" s="1715"/>
      <c r="G85" s="1715"/>
      <c r="H85" s="1715"/>
      <c r="I85" s="1715"/>
      <c r="J85" s="1715"/>
      <c r="K85" s="1716"/>
    </row>
    <row r="86" spans="1:11" ht="15.75">
      <c r="A86" s="68"/>
      <c r="B86" s="147" t="s">
        <v>128</v>
      </c>
      <c r="C86" s="153"/>
      <c r="D86" s="153"/>
      <c r="E86" s="940"/>
      <c r="F86" s="956">
        <f>'Budget-Assumptions'!G16</f>
        <v>163</v>
      </c>
      <c r="G86" s="470" t="str">
        <f>IF(E86&lt;1," ",IF(F86&lt;1," ",(F86-E86)/E86))</f>
        <v xml:space="preserve"> </v>
      </c>
      <c r="H86" s="956">
        <f>'Budget-Assumptions'!H16</f>
        <v>163</v>
      </c>
      <c r="I86" s="470"/>
      <c r="J86" s="956">
        <f>'Budget-Assumptions'!J16</f>
        <v>163</v>
      </c>
      <c r="K86" s="690"/>
    </row>
    <row r="87" spans="1:11" ht="15.75">
      <c r="A87" s="68"/>
      <c r="B87" s="352" t="s">
        <v>137</v>
      </c>
      <c r="C87" s="167"/>
      <c r="D87" s="167"/>
      <c r="E87" s="941"/>
      <c r="F87" s="956">
        <f>(1.04446*'Budget-ADA'!L76)*F86</f>
        <v>133984.37325999999</v>
      </c>
      <c r="G87" s="272">
        <f>IF(E19&lt;1," ",IF(F87&lt;1," ",(F87-E19)/E19))</f>
        <v>0.92816562946120185</v>
      </c>
      <c r="H87" s="956">
        <f>(1.04446*'Budget-ADA'!O76)*H86</f>
        <v>133984.37325999999</v>
      </c>
      <c r="I87" s="272">
        <f>IF(F87&lt;1," ",IF(H87&lt;1," ",(H87-F87)/F87))</f>
        <v>0</v>
      </c>
      <c r="J87" s="956">
        <f>(1.04446*'Budget-ADA'!R76)*J86</f>
        <v>133984.37325999999</v>
      </c>
      <c r="K87" s="308">
        <f>IF(H87&lt;1," ",IF(J87&lt;1," ",(J87-H87)/H87))</f>
        <v>0</v>
      </c>
    </row>
    <row r="88" spans="1:11" ht="10.5" customHeight="1">
      <c r="A88" s="284"/>
      <c r="B88" s="333"/>
      <c r="C88" s="333"/>
      <c r="D88" s="333"/>
      <c r="E88" s="25"/>
      <c r="F88" s="1711"/>
      <c r="G88" s="1711"/>
      <c r="H88" s="1711"/>
      <c r="I88" s="1711"/>
      <c r="J88" s="1711"/>
      <c r="K88" s="1712"/>
    </row>
    <row r="89" spans="1:11" ht="15.75">
      <c r="A89" s="284"/>
      <c r="B89" s="166"/>
      <c r="C89" s="166" t="s">
        <v>317</v>
      </c>
      <c r="D89" s="166"/>
      <c r="E89" s="166"/>
      <c r="F89" s="1713"/>
      <c r="G89" s="1713"/>
      <c r="H89" s="1713"/>
      <c r="I89" s="1713"/>
      <c r="J89" s="1713"/>
      <c r="K89" s="1714"/>
    </row>
    <row r="90" spans="1:11" ht="15.75">
      <c r="A90" s="284"/>
      <c r="B90" s="291">
        <v>1</v>
      </c>
      <c r="C90" s="1717" t="s">
        <v>348</v>
      </c>
      <c r="D90" s="1718"/>
      <c r="E90" s="1237">
        <v>2979</v>
      </c>
      <c r="F90" s="1238"/>
      <c r="G90" s="96" t="str">
        <f t="shared" ref="G90:G108" si="6">IF(E90&lt;1," ",IF(F90&lt;1," ",(F90-E90)/E90))</f>
        <v xml:space="preserve"> </v>
      </c>
      <c r="H90" s="1235"/>
      <c r="I90" s="96" t="str">
        <f t="shared" ref="I90:I108" si="7">IF(F90&lt;1," ",IF(H90&lt;1," ",(H90-F90)/F90))</f>
        <v xml:space="preserve"> </v>
      </c>
      <c r="J90" s="1236"/>
      <c r="K90" s="312" t="str">
        <f t="shared" ref="K90:K108" si="8">IF(H90&lt;1," ",IF(J90&lt;1," ",(J90-H90)/H90))</f>
        <v xml:space="preserve"> </v>
      </c>
    </row>
    <row r="91" spans="1:11" ht="15.75">
      <c r="A91" s="284"/>
      <c r="B91" s="291">
        <v>2</v>
      </c>
      <c r="C91" s="1717" t="s">
        <v>311</v>
      </c>
      <c r="D91" s="1718"/>
      <c r="E91" s="727">
        <v>11596</v>
      </c>
      <c r="F91" s="728"/>
      <c r="G91" s="96" t="str">
        <f t="shared" si="6"/>
        <v xml:space="preserve"> </v>
      </c>
      <c r="H91" s="721"/>
      <c r="I91" s="96" t="str">
        <f t="shared" si="7"/>
        <v xml:space="preserve"> </v>
      </c>
      <c r="J91" s="724"/>
      <c r="K91" s="312" t="str">
        <f t="shared" si="8"/>
        <v xml:space="preserve"> </v>
      </c>
    </row>
    <row r="92" spans="1:11" ht="15.75">
      <c r="A92" s="284"/>
      <c r="B92" s="291">
        <v>3</v>
      </c>
      <c r="C92" s="1717"/>
      <c r="D92" s="1718"/>
      <c r="E92" s="710"/>
      <c r="F92" s="718"/>
      <c r="G92" s="96" t="str">
        <f t="shared" si="6"/>
        <v xml:space="preserve"> </v>
      </c>
      <c r="H92" s="721"/>
      <c r="I92" s="96" t="str">
        <f t="shared" si="7"/>
        <v xml:space="preserve"> </v>
      </c>
      <c r="J92" s="724"/>
      <c r="K92" s="312" t="str">
        <f t="shared" si="8"/>
        <v xml:space="preserve"> </v>
      </c>
    </row>
    <row r="93" spans="1:11" ht="15.75">
      <c r="A93" s="284"/>
      <c r="B93" s="291">
        <v>4</v>
      </c>
      <c r="C93" s="1717"/>
      <c r="D93" s="1718"/>
      <c r="E93" s="710"/>
      <c r="F93" s="726"/>
      <c r="G93" s="96" t="str">
        <f t="shared" si="6"/>
        <v xml:space="preserve"> </v>
      </c>
      <c r="H93" s="720"/>
      <c r="I93" s="96" t="str">
        <f t="shared" si="7"/>
        <v xml:space="preserve"> </v>
      </c>
      <c r="J93" s="723"/>
      <c r="K93" s="312" t="str">
        <f t="shared" si="8"/>
        <v xml:space="preserve"> </v>
      </c>
    </row>
    <row r="94" spans="1:11" ht="15.75">
      <c r="A94" s="68"/>
      <c r="B94" s="291">
        <v>5</v>
      </c>
      <c r="C94" s="1717"/>
      <c r="D94" s="1718"/>
      <c r="E94" s="710"/>
      <c r="F94" s="729"/>
      <c r="G94" s="96" t="str">
        <f t="shared" si="6"/>
        <v xml:space="preserve"> </v>
      </c>
      <c r="H94" s="738"/>
      <c r="I94" s="96" t="str">
        <f t="shared" si="7"/>
        <v xml:space="preserve"> </v>
      </c>
      <c r="J94" s="744"/>
      <c r="K94" s="312" t="str">
        <f t="shared" si="8"/>
        <v xml:space="preserve"> </v>
      </c>
    </row>
    <row r="95" spans="1:11" ht="15.75">
      <c r="A95" s="285"/>
      <c r="B95" s="292">
        <v>6</v>
      </c>
      <c r="C95" s="1720"/>
      <c r="D95" s="1757"/>
      <c r="E95" s="710"/>
      <c r="F95" s="730"/>
      <c r="G95" s="31" t="str">
        <f t="shared" si="6"/>
        <v xml:space="preserve"> </v>
      </c>
      <c r="H95" s="739"/>
      <c r="I95" s="31" t="str">
        <f t="shared" si="7"/>
        <v xml:space="preserve"> </v>
      </c>
      <c r="J95" s="745"/>
      <c r="K95" s="311" t="str">
        <f t="shared" si="8"/>
        <v xml:space="preserve"> </v>
      </c>
    </row>
    <row r="96" spans="1:11" ht="15.75">
      <c r="A96" s="285"/>
      <c r="B96" s="292">
        <v>7</v>
      </c>
      <c r="C96" s="1720"/>
      <c r="D96" s="1757"/>
      <c r="E96" s="710"/>
      <c r="F96" s="718"/>
      <c r="G96" s="31" t="str">
        <f t="shared" si="6"/>
        <v xml:space="preserve"> </v>
      </c>
      <c r="H96" s="721"/>
      <c r="I96" s="31" t="str">
        <f t="shared" si="7"/>
        <v xml:space="preserve"> </v>
      </c>
      <c r="J96" s="724"/>
      <c r="K96" s="311" t="str">
        <f t="shared" si="8"/>
        <v xml:space="preserve"> </v>
      </c>
    </row>
    <row r="97" spans="1:11" ht="15.75">
      <c r="A97" s="285"/>
      <c r="B97" s="292">
        <v>8</v>
      </c>
      <c r="C97" s="1720"/>
      <c r="D97" s="1757"/>
      <c r="E97" s="717"/>
      <c r="F97" s="718"/>
      <c r="G97" s="31" t="str">
        <f t="shared" si="6"/>
        <v xml:space="preserve"> </v>
      </c>
      <c r="H97" s="721"/>
      <c r="I97" s="31" t="str">
        <f t="shared" si="7"/>
        <v xml:space="preserve"> </v>
      </c>
      <c r="J97" s="724"/>
      <c r="K97" s="311" t="str">
        <f t="shared" si="8"/>
        <v xml:space="preserve"> </v>
      </c>
    </row>
    <row r="98" spans="1:11" ht="15.75">
      <c r="A98" s="285"/>
      <c r="B98" s="292">
        <v>9</v>
      </c>
      <c r="C98" s="1717"/>
      <c r="D98" s="1718"/>
      <c r="E98" s="711"/>
      <c r="F98" s="718"/>
      <c r="G98" s="31" t="str">
        <f t="shared" si="6"/>
        <v xml:space="preserve"> </v>
      </c>
      <c r="H98" s="721"/>
      <c r="I98" s="31" t="str">
        <f t="shared" si="7"/>
        <v xml:space="preserve"> </v>
      </c>
      <c r="J98" s="724"/>
      <c r="K98" s="311" t="str">
        <f t="shared" si="8"/>
        <v xml:space="preserve"> </v>
      </c>
    </row>
    <row r="99" spans="1:11" ht="15.75">
      <c r="A99" s="285"/>
      <c r="B99" s="147">
        <v>10</v>
      </c>
      <c r="C99" s="1720"/>
      <c r="D99" s="1757"/>
      <c r="E99" s="715"/>
      <c r="F99" s="718"/>
      <c r="G99" s="31" t="str">
        <f t="shared" si="6"/>
        <v xml:space="preserve"> </v>
      </c>
      <c r="H99" s="721"/>
      <c r="I99" s="31" t="str">
        <f t="shared" si="7"/>
        <v xml:space="preserve"> </v>
      </c>
      <c r="J99" s="724"/>
      <c r="K99" s="311" t="str">
        <f t="shared" si="8"/>
        <v xml:space="preserve"> </v>
      </c>
    </row>
    <row r="100" spans="1:11" ht="15.75">
      <c r="A100" s="68"/>
      <c r="B100" s="147">
        <v>11</v>
      </c>
      <c r="C100" s="1720"/>
      <c r="D100" s="1757"/>
      <c r="E100" s="710"/>
      <c r="F100" s="731"/>
      <c r="G100" s="31" t="str">
        <f t="shared" si="6"/>
        <v xml:space="preserve"> </v>
      </c>
      <c r="H100" s="731"/>
      <c r="I100" s="31" t="str">
        <f t="shared" si="7"/>
        <v xml:space="preserve"> </v>
      </c>
      <c r="J100" s="731"/>
      <c r="K100" s="311" t="str">
        <f t="shared" si="8"/>
        <v xml:space="preserve"> </v>
      </c>
    </row>
    <row r="101" spans="1:11" ht="15.75">
      <c r="A101" s="68"/>
      <c r="B101" s="147">
        <v>12</v>
      </c>
      <c r="C101" s="1720"/>
      <c r="D101" s="1757"/>
      <c r="E101" s="710"/>
      <c r="F101" s="732"/>
      <c r="G101" s="31" t="str">
        <f t="shared" si="6"/>
        <v xml:space="preserve"> </v>
      </c>
      <c r="H101" s="732"/>
      <c r="I101" s="31" t="str">
        <f t="shared" si="7"/>
        <v xml:space="preserve"> </v>
      </c>
      <c r="J101" s="732"/>
      <c r="K101" s="311" t="str">
        <f t="shared" si="8"/>
        <v xml:space="preserve"> </v>
      </c>
    </row>
    <row r="102" spans="1:11" ht="15.75">
      <c r="A102" s="68"/>
      <c r="B102" s="147">
        <v>13</v>
      </c>
      <c r="C102" s="1720"/>
      <c r="D102" s="1757"/>
      <c r="E102" s="710"/>
      <c r="F102" s="733"/>
      <c r="G102" s="31" t="str">
        <f t="shared" si="6"/>
        <v xml:space="preserve"> </v>
      </c>
      <c r="H102" s="740"/>
      <c r="I102" s="31" t="str">
        <f t="shared" si="7"/>
        <v xml:space="preserve"> </v>
      </c>
      <c r="J102" s="746"/>
      <c r="K102" s="311" t="str">
        <f t="shared" si="8"/>
        <v xml:space="preserve"> </v>
      </c>
    </row>
    <row r="103" spans="1:11" ht="15.75">
      <c r="A103" s="68"/>
      <c r="B103" s="147">
        <v>14</v>
      </c>
      <c r="C103" s="1720"/>
      <c r="D103" s="1757"/>
      <c r="E103" s="710"/>
      <c r="F103" s="734"/>
      <c r="G103" s="31" t="str">
        <f t="shared" si="6"/>
        <v xml:space="preserve"> </v>
      </c>
      <c r="H103" s="741"/>
      <c r="I103" s="31" t="str">
        <f t="shared" si="7"/>
        <v xml:space="preserve"> </v>
      </c>
      <c r="J103" s="747"/>
      <c r="K103" s="311" t="str">
        <f t="shared" si="8"/>
        <v xml:space="preserve"> </v>
      </c>
    </row>
    <row r="104" spans="1:11" ht="15.75">
      <c r="A104" s="68"/>
      <c r="B104" s="147">
        <v>15</v>
      </c>
      <c r="C104" s="1720"/>
      <c r="D104" s="1757"/>
      <c r="E104" s="710"/>
      <c r="F104" s="733"/>
      <c r="G104" s="31" t="str">
        <f t="shared" si="6"/>
        <v xml:space="preserve"> </v>
      </c>
      <c r="H104" s="740"/>
      <c r="I104" s="31" t="str">
        <f t="shared" si="7"/>
        <v xml:space="preserve"> </v>
      </c>
      <c r="J104" s="746"/>
      <c r="K104" s="311" t="str">
        <f t="shared" si="8"/>
        <v xml:space="preserve"> </v>
      </c>
    </row>
    <row r="105" spans="1:11" ht="15.75">
      <c r="A105" s="68"/>
      <c r="B105" s="147">
        <v>16</v>
      </c>
      <c r="C105" s="1720"/>
      <c r="D105" s="1757"/>
      <c r="E105" s="710"/>
      <c r="F105" s="735"/>
      <c r="G105" s="31" t="str">
        <f t="shared" si="6"/>
        <v xml:space="preserve"> </v>
      </c>
      <c r="H105" s="742"/>
      <c r="I105" s="31" t="str">
        <f t="shared" si="7"/>
        <v xml:space="preserve"> </v>
      </c>
      <c r="J105" s="748"/>
      <c r="K105" s="311" t="str">
        <f t="shared" si="8"/>
        <v xml:space="preserve"> </v>
      </c>
    </row>
    <row r="106" spans="1:11" ht="15.75">
      <c r="A106" s="68"/>
      <c r="B106" s="147">
        <v>17</v>
      </c>
      <c r="C106" s="1720"/>
      <c r="D106" s="1757"/>
      <c r="E106" s="717"/>
      <c r="F106" s="736"/>
      <c r="G106" s="31" t="str">
        <f t="shared" si="6"/>
        <v xml:space="preserve"> </v>
      </c>
      <c r="H106" s="743"/>
      <c r="I106" s="31" t="str">
        <f t="shared" si="7"/>
        <v xml:space="preserve"> </v>
      </c>
      <c r="J106" s="749"/>
      <c r="K106" s="311" t="str">
        <f t="shared" si="8"/>
        <v xml:space="preserve"> </v>
      </c>
    </row>
    <row r="107" spans="1:11" ht="16.5" thickBot="1">
      <c r="A107" s="68"/>
      <c r="B107" s="899">
        <v>18</v>
      </c>
      <c r="C107" s="1758"/>
      <c r="D107" s="1759"/>
      <c r="E107" s="711"/>
      <c r="F107" s="737"/>
      <c r="G107" s="334" t="str">
        <f t="shared" si="6"/>
        <v xml:space="preserve"> </v>
      </c>
      <c r="H107" s="737"/>
      <c r="I107" s="334" t="str">
        <f t="shared" si="7"/>
        <v xml:space="preserve"> </v>
      </c>
      <c r="J107" s="737"/>
      <c r="K107" s="335" t="str">
        <f t="shared" si="8"/>
        <v xml:space="preserve"> </v>
      </c>
    </row>
    <row r="108" spans="1:11" ht="17.25" thickTop="1" thickBot="1">
      <c r="A108" s="68"/>
      <c r="B108" s="903"/>
      <c r="C108" s="1707" t="s">
        <v>320</v>
      </c>
      <c r="D108" s="1708"/>
      <c r="E108" s="900">
        <f>SUM(E90:E107)</f>
        <v>14575</v>
      </c>
      <c r="F108" s="900">
        <f>SUM(F90:F107)</f>
        <v>0</v>
      </c>
      <c r="G108" s="901" t="str">
        <f t="shared" si="6"/>
        <v xml:space="preserve"> </v>
      </c>
      <c r="H108" s="900">
        <f>SUM(H90:H107)</f>
        <v>0</v>
      </c>
      <c r="I108" s="901" t="str">
        <f t="shared" si="7"/>
        <v xml:space="preserve"> </v>
      </c>
      <c r="J108" s="900">
        <f>SUM(J90:J107)</f>
        <v>0</v>
      </c>
      <c r="K108" s="902" t="str">
        <f t="shared" si="8"/>
        <v xml:space="preserve"> </v>
      </c>
    </row>
    <row r="109" spans="1:11" ht="13.5" customHeight="1" thickTop="1">
      <c r="A109" s="68"/>
      <c r="B109" s="1"/>
      <c r="C109" s="1"/>
      <c r="D109" s="1"/>
      <c r="E109" s="1"/>
      <c r="F109" s="1715"/>
      <c r="G109" s="1715"/>
      <c r="H109" s="1715"/>
      <c r="I109" s="1715"/>
      <c r="J109" s="1715"/>
      <c r="K109" s="1716"/>
    </row>
    <row r="110" spans="1:11" ht="15.75">
      <c r="A110" s="68"/>
      <c r="B110" s="166"/>
      <c r="C110" s="166" t="s">
        <v>329</v>
      </c>
      <c r="D110" s="166"/>
      <c r="E110" s="166"/>
      <c r="F110" s="1711"/>
      <c r="G110" s="1711"/>
      <c r="H110" s="1711"/>
      <c r="I110" s="1711"/>
      <c r="J110" s="1711"/>
      <c r="K110" s="1712"/>
    </row>
    <row r="111" spans="1:11" ht="15.75">
      <c r="A111" s="68"/>
      <c r="B111" s="291">
        <v>1</v>
      </c>
      <c r="C111" s="1717" t="s">
        <v>245</v>
      </c>
      <c r="D111" s="1718"/>
      <c r="E111" s="1239"/>
      <c r="F111" s="734"/>
      <c r="G111" s="31" t="str">
        <f t="shared" ref="G111:G117" si="9">IF(E111&lt;1," ",IF(F111&lt;1," ",(F111-E111)/E111))</f>
        <v xml:space="preserve"> </v>
      </c>
      <c r="H111" s="1239"/>
      <c r="I111" s="31" t="str">
        <f t="shared" ref="I111:I117" si="10">IF(F111&lt;1," ",IF(H111&lt;1," ",(H111-F111)/F111))</f>
        <v xml:space="preserve"> </v>
      </c>
      <c r="J111" s="1239"/>
      <c r="K111" s="311" t="str">
        <f t="shared" ref="K111:K117" si="11">IF(H111&lt;1," ",IF(J111&lt;1," ",(J111-H111)/H111))</f>
        <v xml:space="preserve"> </v>
      </c>
    </row>
    <row r="112" spans="1:11" ht="15.75">
      <c r="A112" s="68"/>
      <c r="B112" s="291">
        <v>2</v>
      </c>
      <c r="C112" s="1717"/>
      <c r="D112" s="1718"/>
      <c r="E112" s="1240"/>
      <c r="F112" s="752"/>
      <c r="G112" s="80" t="str">
        <f t="shared" si="9"/>
        <v xml:space="preserve"> </v>
      </c>
      <c r="H112" s="1240"/>
      <c r="I112" s="80" t="str">
        <f t="shared" si="10"/>
        <v xml:space="preserve"> </v>
      </c>
      <c r="J112" s="1240"/>
      <c r="K112" s="336" t="str">
        <f t="shared" si="11"/>
        <v xml:space="preserve"> </v>
      </c>
    </row>
    <row r="113" spans="1:11" ht="15.75">
      <c r="A113" s="68"/>
      <c r="B113" s="291">
        <v>3</v>
      </c>
      <c r="C113" s="1717"/>
      <c r="D113" s="1718"/>
      <c r="E113" s="753"/>
      <c r="F113" s="737"/>
      <c r="G113" s="334" t="str">
        <f t="shared" si="9"/>
        <v xml:space="preserve"> </v>
      </c>
      <c r="H113" s="753"/>
      <c r="I113" s="334" t="str">
        <f t="shared" si="10"/>
        <v xml:space="preserve"> </v>
      </c>
      <c r="J113" s="753"/>
      <c r="K113" s="335" t="str">
        <f t="shared" si="11"/>
        <v xml:space="preserve"> </v>
      </c>
    </row>
    <row r="114" spans="1:11" ht="15.75">
      <c r="A114" s="68"/>
      <c r="B114" s="291">
        <v>4</v>
      </c>
      <c r="C114" s="1717"/>
      <c r="D114" s="1718"/>
      <c r="E114" s="753"/>
      <c r="F114" s="734"/>
      <c r="G114" s="31" t="str">
        <f t="shared" si="9"/>
        <v xml:space="preserve"> </v>
      </c>
      <c r="H114" s="753"/>
      <c r="I114" s="31" t="str">
        <f t="shared" si="10"/>
        <v xml:space="preserve"> </v>
      </c>
      <c r="J114" s="753"/>
      <c r="K114" s="311" t="str">
        <f t="shared" si="11"/>
        <v xml:space="preserve"> </v>
      </c>
    </row>
    <row r="115" spans="1:11" ht="15.75">
      <c r="A115" s="68"/>
      <c r="B115" s="291">
        <v>5</v>
      </c>
      <c r="C115" s="1717"/>
      <c r="D115" s="1718"/>
      <c r="E115" s="753"/>
      <c r="F115" s="734"/>
      <c r="G115" s="31" t="str">
        <f t="shared" si="9"/>
        <v xml:space="preserve"> </v>
      </c>
      <c r="H115" s="753"/>
      <c r="I115" s="31" t="str">
        <f t="shared" si="10"/>
        <v xml:space="preserve"> </v>
      </c>
      <c r="J115" s="753"/>
      <c r="K115" s="311" t="str">
        <f t="shared" si="11"/>
        <v xml:space="preserve"> </v>
      </c>
    </row>
    <row r="116" spans="1:11" ht="16.5" thickBot="1">
      <c r="A116" s="68"/>
      <c r="B116" s="292">
        <v>6</v>
      </c>
      <c r="C116" s="1720"/>
      <c r="D116" s="1757"/>
      <c r="E116" s="753"/>
      <c r="F116" s="737"/>
      <c r="G116" s="96" t="str">
        <f t="shared" si="9"/>
        <v xml:space="preserve"> </v>
      </c>
      <c r="H116" s="753"/>
      <c r="I116" s="96" t="str">
        <f t="shared" si="10"/>
        <v xml:space="preserve"> </v>
      </c>
      <c r="J116" s="753"/>
      <c r="K116" s="312" t="str">
        <f t="shared" si="11"/>
        <v xml:space="preserve"> </v>
      </c>
    </row>
    <row r="117" spans="1:11" ht="17.25" thickTop="1" thickBot="1">
      <c r="A117" s="240"/>
      <c r="B117" s="903"/>
      <c r="C117" s="1707" t="s">
        <v>319</v>
      </c>
      <c r="D117" s="1708"/>
      <c r="E117" s="900">
        <f>SUM(E111:E116)</f>
        <v>0</v>
      </c>
      <c r="F117" s="900">
        <f>SUM(F111:F116)</f>
        <v>0</v>
      </c>
      <c r="G117" s="901" t="str">
        <f t="shared" si="9"/>
        <v xml:space="preserve"> </v>
      </c>
      <c r="H117" s="900">
        <f>SUM(H111:H116)</f>
        <v>0</v>
      </c>
      <c r="I117" s="901" t="str">
        <f t="shared" si="10"/>
        <v xml:space="preserve"> </v>
      </c>
      <c r="J117" s="900">
        <f>SUM(J111:J116)</f>
        <v>0</v>
      </c>
      <c r="K117" s="902" t="str">
        <f t="shared" si="11"/>
        <v xml:space="preserve"> </v>
      </c>
    </row>
    <row r="118" spans="1:11" ht="15.75">
      <c r="A118" s="2"/>
      <c r="B118" s="3"/>
      <c r="C118" s="3"/>
      <c r="D118" s="46"/>
      <c r="F118" s="4"/>
      <c r="G118" s="47"/>
      <c r="H118" s="4"/>
      <c r="I118" s="47"/>
      <c r="J118" s="4"/>
      <c r="K118" s="47"/>
    </row>
    <row r="119" spans="1:11" ht="15.75">
      <c r="A119" s="2"/>
      <c r="B119" s="2"/>
      <c r="C119" s="2"/>
      <c r="D119" s="2"/>
      <c r="E119" s="2"/>
      <c r="F119" s="2"/>
      <c r="G119" s="32"/>
      <c r="H119" s="2"/>
      <c r="I119" s="32"/>
      <c r="J119" s="2"/>
      <c r="K119" s="32"/>
    </row>
    <row r="120" spans="1:11" ht="15.75">
      <c r="A120" s="2"/>
      <c r="B120" s="2"/>
      <c r="C120" s="2"/>
      <c r="D120" s="2"/>
      <c r="E120" s="2"/>
      <c r="F120" s="2"/>
      <c r="G120" s="32"/>
      <c r="H120" s="2"/>
      <c r="I120" s="32"/>
      <c r="J120" s="2"/>
      <c r="K120" s="32"/>
    </row>
    <row r="121" spans="1:11" ht="15.75">
      <c r="A121" s="2"/>
      <c r="B121" s="2"/>
      <c r="C121" s="2"/>
      <c r="D121" s="2"/>
      <c r="E121" s="2"/>
      <c r="F121" s="2"/>
      <c r="G121" s="32"/>
      <c r="H121" s="2"/>
      <c r="I121" s="32"/>
      <c r="J121" s="2"/>
      <c r="K121" s="32"/>
    </row>
    <row r="122" spans="1:11" ht="15.75">
      <c r="A122" s="2"/>
      <c r="B122" s="2"/>
      <c r="C122" s="2"/>
      <c r="D122" s="2"/>
      <c r="E122" s="2"/>
      <c r="F122" s="2"/>
      <c r="G122" s="32"/>
      <c r="H122" s="2"/>
      <c r="I122" s="32"/>
      <c r="J122" s="2"/>
      <c r="K122" s="32"/>
    </row>
    <row r="123" spans="1:11" ht="15.75">
      <c r="A123" s="2"/>
      <c r="B123" s="2"/>
      <c r="C123" s="2"/>
      <c r="D123" s="2"/>
      <c r="E123" s="2"/>
      <c r="F123" s="2"/>
      <c r="G123" s="32"/>
      <c r="H123" s="2"/>
      <c r="I123" s="32"/>
      <c r="J123" s="2"/>
      <c r="K123" s="32"/>
    </row>
    <row r="124" spans="1:11" ht="15.75">
      <c r="A124" s="2"/>
      <c r="B124" s="2"/>
      <c r="C124" s="2"/>
      <c r="D124" s="2"/>
      <c r="E124" s="2"/>
      <c r="F124" s="2"/>
      <c r="G124" s="32"/>
      <c r="H124" s="2"/>
      <c r="I124" s="32"/>
      <c r="J124" s="2"/>
      <c r="K124" s="32"/>
    </row>
    <row r="125" spans="1:11" ht="15.75">
      <c r="A125" s="2"/>
      <c r="B125" s="2"/>
      <c r="C125" s="2"/>
      <c r="D125" s="2"/>
      <c r="E125" s="2"/>
      <c r="F125" s="2"/>
      <c r="G125" s="32"/>
      <c r="H125" s="2"/>
      <c r="I125" s="32"/>
      <c r="J125" s="2"/>
      <c r="K125" s="32"/>
    </row>
    <row r="126" spans="1:11" ht="15.75">
      <c r="A126" s="2"/>
      <c r="B126" s="2"/>
      <c r="C126" s="2"/>
      <c r="D126" s="2"/>
      <c r="E126" s="2"/>
      <c r="F126" s="2"/>
      <c r="G126" s="32"/>
      <c r="H126" s="2"/>
      <c r="I126" s="32"/>
      <c r="J126" s="2"/>
      <c r="K126" s="32"/>
    </row>
    <row r="127" spans="1:11" ht="15.75">
      <c r="A127" s="2"/>
      <c r="B127" s="2"/>
      <c r="C127" s="2"/>
      <c r="D127" s="2"/>
      <c r="E127" s="2"/>
      <c r="F127" s="2"/>
      <c r="G127" s="32"/>
      <c r="H127" s="2"/>
      <c r="I127" s="32"/>
      <c r="J127" s="2"/>
      <c r="K127" s="32"/>
    </row>
    <row r="128" spans="1:11" ht="15.75">
      <c r="A128" s="2"/>
      <c r="B128" s="2"/>
      <c r="C128" s="2"/>
      <c r="D128" s="2"/>
      <c r="E128" s="2"/>
      <c r="F128" s="2"/>
      <c r="G128" s="32"/>
      <c r="H128" s="2"/>
      <c r="I128" s="32"/>
      <c r="J128" s="2"/>
      <c r="K128" s="32"/>
    </row>
    <row r="129" spans="1:11" ht="15.75">
      <c r="A129" s="2"/>
      <c r="B129" s="2"/>
      <c r="C129" s="2"/>
      <c r="D129" s="2"/>
      <c r="E129" s="2"/>
      <c r="F129" s="2"/>
      <c r="G129" s="32"/>
      <c r="H129" s="2"/>
      <c r="I129" s="32"/>
      <c r="J129" s="2"/>
      <c r="K129" s="32"/>
    </row>
    <row r="130" spans="1:11" ht="15.75">
      <c r="A130" s="2"/>
      <c r="B130" s="2"/>
      <c r="C130" s="2"/>
      <c r="D130" s="2"/>
      <c r="E130" s="2"/>
      <c r="F130" s="2"/>
      <c r="G130" s="32"/>
      <c r="H130" s="2"/>
      <c r="I130" s="32"/>
      <c r="J130" s="2"/>
      <c r="K130" s="32"/>
    </row>
    <row r="131" spans="1:11" ht="15.75">
      <c r="A131" s="2"/>
      <c r="B131" s="2"/>
      <c r="C131" s="2"/>
      <c r="D131" s="2"/>
      <c r="E131" s="2"/>
      <c r="F131" s="2"/>
      <c r="G131" s="32"/>
      <c r="H131" s="2"/>
      <c r="I131" s="32"/>
      <c r="J131" s="2"/>
      <c r="K131" s="32"/>
    </row>
    <row r="132" spans="1:11" ht="15.75">
      <c r="A132" s="2"/>
      <c r="B132" s="2"/>
      <c r="C132" s="2"/>
      <c r="D132" s="2"/>
      <c r="E132" s="2"/>
      <c r="F132" s="2"/>
      <c r="G132" s="32"/>
      <c r="H132" s="2"/>
      <c r="I132" s="32"/>
      <c r="J132" s="2"/>
      <c r="K132" s="32"/>
    </row>
    <row r="133" spans="1:11" ht="15.75">
      <c r="A133" s="2"/>
      <c r="B133" s="2"/>
      <c r="C133" s="2"/>
      <c r="D133" s="2"/>
      <c r="E133" s="2"/>
      <c r="F133" s="2"/>
      <c r="G133" s="32"/>
      <c r="H133" s="2"/>
      <c r="I133" s="32"/>
      <c r="J133" s="2"/>
      <c r="K133" s="32"/>
    </row>
    <row r="134" spans="1:11" ht="15.75">
      <c r="A134" s="2"/>
      <c r="B134" s="2"/>
      <c r="C134" s="2"/>
      <c r="D134" s="2"/>
      <c r="E134" s="2"/>
      <c r="F134" s="2"/>
      <c r="G134" s="32"/>
      <c r="H134" s="2"/>
      <c r="I134" s="32"/>
      <c r="J134" s="2"/>
      <c r="K134" s="32"/>
    </row>
    <row r="135" spans="1:11" ht="15.75">
      <c r="A135" s="2"/>
      <c r="B135" s="2"/>
      <c r="C135" s="2"/>
      <c r="D135" s="2"/>
      <c r="E135" s="2"/>
      <c r="F135" s="2"/>
      <c r="G135" s="32"/>
      <c r="H135" s="2"/>
      <c r="I135" s="32"/>
      <c r="J135" s="2"/>
      <c r="K135" s="32"/>
    </row>
    <row r="136" spans="1:11" ht="15.75">
      <c r="A136" s="2"/>
      <c r="B136" s="2"/>
      <c r="C136" s="2"/>
      <c r="D136" s="2"/>
      <c r="E136" s="2"/>
      <c r="F136" s="2"/>
      <c r="G136" s="32"/>
      <c r="H136" s="2"/>
      <c r="I136" s="32"/>
      <c r="J136" s="2"/>
      <c r="K136" s="32"/>
    </row>
    <row r="137" spans="1:11" ht="15.75">
      <c r="A137" s="2"/>
      <c r="B137" s="2"/>
      <c r="C137" s="2"/>
      <c r="D137" s="2"/>
      <c r="E137" s="2"/>
      <c r="F137" s="2"/>
      <c r="G137" s="32"/>
      <c r="H137" s="2"/>
      <c r="I137" s="32"/>
      <c r="J137" s="2"/>
      <c r="K137" s="32"/>
    </row>
    <row r="138" spans="1:11" ht="15.75">
      <c r="A138" s="2"/>
      <c r="B138" s="2"/>
      <c r="C138" s="2"/>
      <c r="D138" s="2"/>
      <c r="E138" s="2"/>
      <c r="F138" s="2"/>
      <c r="G138" s="32"/>
      <c r="H138" s="2"/>
      <c r="I138" s="32"/>
      <c r="J138" s="2"/>
      <c r="K138" s="32"/>
    </row>
    <row r="139" spans="1:11" ht="15.75">
      <c r="A139" s="2"/>
      <c r="B139" s="2"/>
      <c r="C139" s="2"/>
      <c r="D139" s="2"/>
      <c r="E139" s="2"/>
      <c r="F139" s="2"/>
      <c r="G139" s="32"/>
      <c r="H139" s="2"/>
      <c r="I139" s="32"/>
      <c r="J139" s="2"/>
      <c r="K139" s="32"/>
    </row>
    <row r="140" spans="1:11" ht="15.75">
      <c r="A140" s="2"/>
      <c r="B140" s="2"/>
      <c r="C140" s="2"/>
      <c r="D140" s="2"/>
      <c r="E140" s="2"/>
      <c r="F140" s="2"/>
      <c r="G140" s="32"/>
      <c r="H140" s="2"/>
      <c r="I140" s="32"/>
      <c r="J140" s="2"/>
      <c r="K140" s="32"/>
    </row>
    <row r="141" spans="1:11" ht="15.75">
      <c r="A141" s="2"/>
      <c r="B141" s="2"/>
      <c r="C141" s="2"/>
      <c r="D141" s="2"/>
      <c r="E141" s="2"/>
      <c r="F141" s="2"/>
      <c r="G141" s="32"/>
      <c r="H141" s="2"/>
      <c r="I141" s="32"/>
      <c r="J141" s="2"/>
      <c r="K141" s="32"/>
    </row>
    <row r="142" spans="1:11" ht="15.75">
      <c r="A142" s="2"/>
      <c r="B142" s="2"/>
      <c r="C142" s="2"/>
      <c r="D142" s="2"/>
      <c r="E142" s="2"/>
      <c r="F142" s="2"/>
      <c r="G142" s="32"/>
      <c r="H142" s="2"/>
      <c r="I142" s="32"/>
      <c r="J142" s="2"/>
      <c r="K142" s="32"/>
    </row>
    <row r="143" spans="1:11" ht="15.75">
      <c r="A143" s="2"/>
      <c r="B143" s="2"/>
      <c r="C143" s="2"/>
      <c r="D143" s="2"/>
      <c r="E143" s="2"/>
      <c r="F143" s="2"/>
      <c r="G143" s="32"/>
      <c r="H143" s="2"/>
      <c r="I143" s="32"/>
      <c r="J143" s="2"/>
      <c r="K143" s="32"/>
    </row>
    <row r="144" spans="1:11" ht="15.75">
      <c r="A144" s="2"/>
      <c r="B144" s="2"/>
      <c r="C144" s="2"/>
      <c r="D144" s="2"/>
      <c r="E144" s="2"/>
      <c r="F144" s="2"/>
      <c r="G144" s="32"/>
      <c r="H144" s="2"/>
      <c r="I144" s="32"/>
      <c r="J144" s="2"/>
      <c r="K144" s="32"/>
    </row>
    <row r="145" spans="1:11" ht="15.75">
      <c r="A145" s="2"/>
      <c r="B145" s="2"/>
      <c r="C145" s="2"/>
      <c r="D145" s="2"/>
      <c r="E145" s="2"/>
      <c r="F145" s="2"/>
      <c r="G145" s="32"/>
      <c r="H145" s="2"/>
      <c r="I145" s="32"/>
      <c r="J145" s="2"/>
      <c r="K145" s="32"/>
    </row>
    <row r="146" spans="1:11" ht="15.75">
      <c r="A146" s="2"/>
      <c r="B146" s="2"/>
      <c r="C146" s="2"/>
      <c r="D146" s="2"/>
      <c r="E146" s="2"/>
      <c r="F146" s="2"/>
      <c r="G146" s="32"/>
      <c r="H146" s="2"/>
      <c r="I146" s="32"/>
      <c r="J146" s="2"/>
      <c r="K146" s="32"/>
    </row>
    <row r="147" spans="1:11" ht="15.75">
      <c r="A147" s="2"/>
      <c r="B147" s="2"/>
      <c r="C147" s="2"/>
      <c r="D147" s="2"/>
      <c r="E147" s="2"/>
      <c r="F147" s="2"/>
      <c r="G147" s="32"/>
      <c r="H147" s="2"/>
      <c r="I147" s="32"/>
      <c r="J147" s="2"/>
      <c r="K147" s="32"/>
    </row>
    <row r="148" spans="1:11" ht="15.75">
      <c r="A148" s="2"/>
      <c r="B148" s="2"/>
      <c r="C148" s="2"/>
      <c r="D148" s="2"/>
      <c r="E148" s="2"/>
      <c r="F148" s="2"/>
      <c r="G148" s="32"/>
      <c r="H148" s="2"/>
      <c r="I148" s="32"/>
      <c r="J148" s="2"/>
      <c r="K148" s="32"/>
    </row>
    <row r="149" spans="1:11" ht="15.75">
      <c r="A149" s="2"/>
      <c r="B149" s="2"/>
      <c r="C149" s="2"/>
      <c r="D149" s="2"/>
      <c r="E149" s="2"/>
      <c r="F149" s="2"/>
      <c r="G149" s="32"/>
      <c r="H149" s="2"/>
      <c r="I149" s="32"/>
      <c r="J149" s="2"/>
      <c r="K149" s="32"/>
    </row>
    <row r="150" spans="1:11" ht="15.75">
      <c r="A150" s="2"/>
      <c r="B150" s="2"/>
      <c r="C150" s="2"/>
      <c r="D150" s="2"/>
      <c r="E150" s="2"/>
      <c r="F150" s="2"/>
      <c r="G150" s="32"/>
      <c r="H150" s="2"/>
      <c r="I150" s="32"/>
      <c r="J150" s="2"/>
      <c r="K150" s="32"/>
    </row>
    <row r="151" spans="1:11" ht="15.75">
      <c r="A151" s="2"/>
      <c r="B151" s="2"/>
      <c r="C151" s="2"/>
      <c r="D151" s="2"/>
      <c r="E151" s="2"/>
      <c r="F151" s="2"/>
      <c r="G151" s="32"/>
      <c r="H151" s="2"/>
      <c r="I151" s="32"/>
      <c r="J151" s="2"/>
      <c r="K151" s="32"/>
    </row>
    <row r="152" spans="1:11" ht="15.75">
      <c r="A152" s="2"/>
      <c r="B152" s="2"/>
      <c r="C152" s="2"/>
      <c r="D152" s="2"/>
      <c r="E152" s="2"/>
      <c r="F152" s="2"/>
      <c r="G152" s="32"/>
      <c r="H152" s="2"/>
      <c r="I152" s="32"/>
      <c r="J152" s="2"/>
      <c r="K152" s="32"/>
    </row>
    <row r="153" spans="1:11" ht="15.75">
      <c r="A153" s="2"/>
      <c r="B153" s="2"/>
      <c r="C153" s="2"/>
      <c r="D153" s="2"/>
      <c r="E153" s="2"/>
      <c r="F153" s="2"/>
      <c r="G153" s="32"/>
      <c r="H153" s="2"/>
      <c r="I153" s="32"/>
      <c r="J153" s="2"/>
      <c r="K153" s="32"/>
    </row>
    <row r="154" spans="1:11" ht="15.75">
      <c r="A154" s="2"/>
      <c r="B154" s="2"/>
      <c r="C154" s="2"/>
      <c r="D154" s="2"/>
      <c r="E154" s="2"/>
      <c r="F154" s="2"/>
      <c r="G154" s="32"/>
      <c r="H154" s="2"/>
      <c r="I154" s="32"/>
      <c r="J154" s="2"/>
      <c r="K154" s="32"/>
    </row>
    <row r="155" spans="1:11" ht="15.75">
      <c r="A155" s="2"/>
      <c r="B155" s="2"/>
      <c r="C155" s="2"/>
      <c r="D155" s="2"/>
      <c r="E155" s="2"/>
      <c r="F155" s="2"/>
      <c r="G155" s="32"/>
      <c r="H155" s="2"/>
      <c r="I155" s="32"/>
      <c r="J155" s="2"/>
      <c r="K155" s="32"/>
    </row>
    <row r="156" spans="1:11" ht="15.75">
      <c r="A156" s="2"/>
      <c r="B156" s="2"/>
      <c r="C156" s="2"/>
      <c r="D156" s="2"/>
      <c r="E156" s="2"/>
      <c r="F156" s="2"/>
      <c r="G156" s="32"/>
      <c r="H156" s="2"/>
      <c r="I156" s="32"/>
      <c r="J156" s="2"/>
      <c r="K156" s="32"/>
    </row>
    <row r="157" spans="1:11" ht="15.75">
      <c r="A157" s="2"/>
      <c r="B157" s="2"/>
      <c r="C157" s="2"/>
      <c r="D157" s="2"/>
      <c r="E157" s="2"/>
      <c r="F157" s="2"/>
      <c r="G157" s="32"/>
      <c r="H157" s="2"/>
      <c r="I157" s="32"/>
      <c r="J157" s="2"/>
      <c r="K157" s="32"/>
    </row>
    <row r="158" spans="1:11" ht="15.75">
      <c r="A158" s="2"/>
      <c r="B158" s="2"/>
      <c r="C158" s="2"/>
      <c r="D158" s="2"/>
      <c r="E158" s="2"/>
      <c r="F158" s="2"/>
      <c r="G158" s="32"/>
      <c r="H158" s="2"/>
      <c r="I158" s="32"/>
      <c r="J158" s="2"/>
      <c r="K158" s="32"/>
    </row>
    <row r="159" spans="1:11" ht="15.75">
      <c r="A159" s="2"/>
      <c r="B159" s="2"/>
      <c r="C159" s="2"/>
      <c r="D159" s="2"/>
      <c r="E159" s="2"/>
      <c r="F159" s="2"/>
      <c r="G159" s="32"/>
      <c r="H159" s="2"/>
      <c r="I159" s="32"/>
      <c r="J159" s="2"/>
      <c r="K159" s="32"/>
    </row>
    <row r="160" spans="1:11" ht="15.75">
      <c r="A160" s="2"/>
      <c r="B160" s="2"/>
      <c r="C160" s="2"/>
      <c r="D160" s="2"/>
      <c r="E160" s="2"/>
      <c r="F160" s="2"/>
      <c r="G160" s="32"/>
      <c r="H160" s="2"/>
      <c r="I160" s="32"/>
      <c r="J160" s="2"/>
      <c r="K160" s="32"/>
    </row>
    <row r="161" spans="1:11" ht="15.75">
      <c r="A161" s="2"/>
      <c r="B161" s="2"/>
      <c r="C161" s="2"/>
      <c r="D161" s="2"/>
      <c r="E161" s="2"/>
      <c r="F161" s="2"/>
      <c r="G161" s="32"/>
      <c r="H161" s="2"/>
      <c r="I161" s="32"/>
      <c r="J161" s="2"/>
      <c r="K161" s="32"/>
    </row>
    <row r="162" spans="1:11" ht="15.75">
      <c r="A162" s="2"/>
      <c r="B162" s="2"/>
      <c r="C162" s="2"/>
      <c r="D162" s="2"/>
      <c r="E162" s="2"/>
      <c r="F162" s="2"/>
      <c r="G162" s="32"/>
      <c r="H162" s="2"/>
      <c r="I162" s="32"/>
      <c r="J162" s="2"/>
      <c r="K162" s="32"/>
    </row>
    <row r="163" spans="1:11" ht="15.75">
      <c r="A163" s="2"/>
      <c r="B163" s="2"/>
      <c r="C163" s="2"/>
      <c r="D163" s="2"/>
      <c r="E163" s="2"/>
      <c r="F163" s="2"/>
      <c r="G163" s="32"/>
      <c r="H163" s="2"/>
      <c r="I163" s="32"/>
      <c r="J163" s="2"/>
      <c r="K163" s="32"/>
    </row>
    <row r="164" spans="1:11" ht="15.75">
      <c r="A164" s="2"/>
      <c r="B164" s="2"/>
      <c r="C164" s="2"/>
      <c r="D164" s="2"/>
      <c r="E164" s="2"/>
      <c r="F164" s="2"/>
      <c r="G164" s="32"/>
      <c r="H164" s="2"/>
      <c r="I164" s="32"/>
      <c r="J164" s="2"/>
      <c r="K164" s="32"/>
    </row>
    <row r="165" spans="1:11" ht="15.75">
      <c r="A165" s="2"/>
      <c r="B165" s="2"/>
      <c r="C165" s="2"/>
      <c r="D165" s="2"/>
      <c r="E165" s="2"/>
      <c r="F165" s="2"/>
      <c r="G165" s="32"/>
      <c r="H165" s="2"/>
      <c r="I165" s="32"/>
      <c r="J165" s="2"/>
      <c r="K165" s="32"/>
    </row>
    <row r="166" spans="1:11" ht="15.75">
      <c r="A166" s="2"/>
      <c r="B166" s="2"/>
      <c r="C166" s="2"/>
      <c r="D166" s="2"/>
      <c r="E166" s="2"/>
      <c r="F166" s="2"/>
      <c r="G166" s="32"/>
      <c r="H166" s="2"/>
      <c r="I166" s="32"/>
      <c r="J166" s="2"/>
      <c r="K166" s="32"/>
    </row>
    <row r="167" spans="1:11" ht="15.75">
      <c r="A167" s="2"/>
      <c r="B167" s="2"/>
      <c r="C167" s="2"/>
      <c r="D167" s="2"/>
      <c r="E167" s="2"/>
      <c r="F167" s="2"/>
      <c r="G167" s="32"/>
      <c r="H167" s="2"/>
      <c r="I167" s="32"/>
      <c r="J167" s="2"/>
      <c r="K167" s="32"/>
    </row>
    <row r="168" spans="1:11" ht="15.75">
      <c r="A168" s="2"/>
      <c r="B168" s="2"/>
      <c r="C168" s="2"/>
      <c r="D168" s="2"/>
      <c r="E168" s="2"/>
      <c r="F168" s="2"/>
      <c r="G168" s="32"/>
      <c r="H168" s="2"/>
      <c r="I168" s="32"/>
      <c r="J168" s="2"/>
      <c r="K168" s="32"/>
    </row>
    <row r="169" spans="1:11" ht="15.75">
      <c r="A169" s="2"/>
      <c r="B169" s="2"/>
      <c r="C169" s="2"/>
      <c r="D169" s="2"/>
      <c r="E169" s="2"/>
      <c r="F169" s="2"/>
      <c r="G169" s="32"/>
      <c r="H169" s="2"/>
      <c r="I169" s="32"/>
      <c r="J169" s="2"/>
      <c r="K169" s="32"/>
    </row>
    <row r="170" spans="1:11" ht="15.75">
      <c r="A170" s="2"/>
      <c r="B170" s="2"/>
      <c r="C170" s="2"/>
      <c r="D170" s="2"/>
      <c r="E170" s="2"/>
      <c r="F170" s="2"/>
      <c r="G170" s="32"/>
      <c r="H170" s="2"/>
      <c r="I170" s="32"/>
      <c r="J170" s="2"/>
      <c r="K170" s="32"/>
    </row>
    <row r="171" spans="1:11" ht="15.75">
      <c r="A171" s="2"/>
      <c r="B171" s="2"/>
      <c r="C171" s="2"/>
      <c r="D171" s="2"/>
      <c r="E171" s="2"/>
      <c r="F171" s="2"/>
      <c r="G171" s="32"/>
      <c r="H171" s="2"/>
      <c r="I171" s="32"/>
      <c r="J171" s="2"/>
      <c r="K171" s="32"/>
    </row>
    <row r="172" spans="1:11" ht="15.75">
      <c r="A172" s="2"/>
      <c r="B172" s="2"/>
      <c r="C172" s="2"/>
      <c r="D172" s="2"/>
      <c r="E172" s="2"/>
      <c r="F172" s="2"/>
      <c r="G172" s="32"/>
      <c r="H172" s="2"/>
      <c r="I172" s="32"/>
      <c r="J172" s="2"/>
      <c r="K172" s="32"/>
    </row>
    <row r="173" spans="1:11" ht="15.75">
      <c r="A173" s="2"/>
      <c r="B173" s="2"/>
      <c r="C173" s="2"/>
      <c r="D173" s="2"/>
      <c r="E173" s="2"/>
      <c r="F173" s="2"/>
      <c r="G173" s="32"/>
      <c r="H173" s="2"/>
      <c r="I173" s="32"/>
      <c r="J173" s="2"/>
      <c r="K173" s="32"/>
    </row>
    <row r="174" spans="1:11" ht="15.75">
      <c r="A174" s="2"/>
      <c r="B174" s="2"/>
      <c r="C174" s="2"/>
      <c r="D174" s="2"/>
      <c r="E174" s="2"/>
      <c r="F174" s="2"/>
      <c r="G174" s="32"/>
      <c r="H174" s="2"/>
      <c r="I174" s="32"/>
      <c r="J174" s="2"/>
      <c r="K174" s="32"/>
    </row>
    <row r="175" spans="1:11" ht="15.75">
      <c r="A175" s="2"/>
      <c r="B175" s="2"/>
      <c r="C175" s="2"/>
      <c r="D175" s="2"/>
      <c r="E175" s="2"/>
      <c r="F175" s="2"/>
      <c r="G175" s="32"/>
      <c r="H175" s="2"/>
      <c r="I175" s="32"/>
      <c r="J175" s="2"/>
      <c r="K175" s="32"/>
    </row>
    <row r="176" spans="1:11" ht="15.75">
      <c r="A176" s="2"/>
      <c r="B176" s="2"/>
      <c r="C176" s="2"/>
      <c r="D176" s="2"/>
      <c r="E176" s="2"/>
      <c r="F176" s="2"/>
      <c r="G176" s="32"/>
      <c r="H176" s="2"/>
      <c r="I176" s="32"/>
      <c r="J176" s="2"/>
      <c r="K176" s="32"/>
    </row>
    <row r="177" spans="1:11" ht="15.75">
      <c r="A177" s="2"/>
      <c r="B177" s="2"/>
      <c r="C177" s="2"/>
      <c r="D177" s="2"/>
      <c r="E177" s="2"/>
      <c r="F177" s="2"/>
      <c r="G177" s="32"/>
      <c r="H177" s="2"/>
      <c r="I177" s="32"/>
      <c r="J177" s="2"/>
      <c r="K177" s="32"/>
    </row>
    <row r="178" spans="1:11" ht="15.75">
      <c r="A178" s="2"/>
      <c r="B178" s="2"/>
      <c r="C178" s="2"/>
      <c r="D178" s="2"/>
      <c r="E178" s="2"/>
      <c r="F178" s="2"/>
      <c r="G178" s="32"/>
      <c r="H178" s="2"/>
      <c r="I178" s="32"/>
      <c r="J178" s="2"/>
      <c r="K178" s="32"/>
    </row>
    <row r="179" spans="1:11" ht="15.75">
      <c r="A179" s="2"/>
      <c r="B179" s="2"/>
      <c r="C179" s="2"/>
      <c r="D179" s="2"/>
      <c r="E179" s="2"/>
      <c r="F179" s="2"/>
      <c r="G179" s="32"/>
      <c r="H179" s="2"/>
      <c r="I179" s="32"/>
      <c r="J179" s="2"/>
      <c r="K179" s="32"/>
    </row>
    <row r="180" spans="1:11" ht="15.75">
      <c r="A180" s="2"/>
      <c r="B180" s="2"/>
      <c r="C180" s="2"/>
      <c r="D180" s="2"/>
      <c r="E180" s="2"/>
      <c r="F180" s="2"/>
      <c r="G180" s="32"/>
      <c r="H180" s="2"/>
      <c r="I180" s="32"/>
      <c r="J180" s="2"/>
      <c r="K180" s="32"/>
    </row>
    <row r="181" spans="1:11" ht="15.75">
      <c r="A181" s="2"/>
      <c r="B181" s="2"/>
      <c r="C181" s="2"/>
      <c r="D181" s="2"/>
      <c r="E181" s="2"/>
      <c r="F181" s="2"/>
      <c r="G181" s="32"/>
      <c r="H181" s="2"/>
      <c r="I181" s="32"/>
      <c r="J181" s="2"/>
      <c r="K181" s="32"/>
    </row>
    <row r="182" spans="1:11" ht="15.75">
      <c r="A182" s="2"/>
      <c r="B182" s="2"/>
      <c r="C182" s="2"/>
      <c r="D182" s="2"/>
      <c r="E182" s="2"/>
      <c r="F182" s="2"/>
      <c r="G182" s="32"/>
      <c r="H182" s="2"/>
      <c r="I182" s="32"/>
      <c r="J182" s="2"/>
      <c r="K182" s="32"/>
    </row>
    <row r="183" spans="1:11" ht="15.75">
      <c r="A183" s="2"/>
      <c r="B183" s="2"/>
      <c r="C183" s="2"/>
      <c r="D183" s="2"/>
      <c r="E183" s="2"/>
      <c r="F183" s="2"/>
      <c r="G183" s="32"/>
      <c r="H183" s="2"/>
      <c r="I183" s="32"/>
      <c r="J183" s="2"/>
      <c r="K183" s="32"/>
    </row>
    <row r="184" spans="1:11" ht="15.75">
      <c r="A184" s="2"/>
      <c r="B184" s="2"/>
      <c r="C184" s="2"/>
      <c r="D184" s="2"/>
      <c r="E184" s="2"/>
      <c r="F184" s="2"/>
      <c r="G184" s="32"/>
      <c r="H184" s="2"/>
      <c r="I184" s="32"/>
      <c r="J184" s="2"/>
      <c r="K184" s="32"/>
    </row>
    <row r="185" spans="1:11" ht="15.75">
      <c r="A185" s="2"/>
      <c r="B185" s="2"/>
      <c r="C185" s="2"/>
      <c r="D185" s="2"/>
      <c r="E185" s="2"/>
      <c r="F185" s="2"/>
      <c r="G185" s="32"/>
      <c r="H185" s="2"/>
      <c r="I185" s="32"/>
      <c r="J185" s="2"/>
      <c r="K185" s="32"/>
    </row>
    <row r="186" spans="1:11" ht="15.75">
      <c r="A186" s="2"/>
      <c r="B186" s="2"/>
      <c r="C186" s="2"/>
      <c r="D186" s="2"/>
      <c r="E186" s="2"/>
      <c r="F186" s="2"/>
      <c r="G186" s="32"/>
      <c r="H186" s="2"/>
      <c r="I186" s="32"/>
      <c r="J186" s="2"/>
      <c r="K186" s="32"/>
    </row>
    <row r="187" spans="1:11" ht="15.75">
      <c r="A187" s="2"/>
      <c r="B187" s="2"/>
      <c r="C187" s="2"/>
      <c r="D187" s="2"/>
      <c r="E187" s="2"/>
      <c r="F187" s="2"/>
      <c r="G187" s="32"/>
      <c r="H187" s="2"/>
      <c r="I187" s="32"/>
      <c r="J187" s="2"/>
      <c r="K187" s="32"/>
    </row>
    <row r="188" spans="1:11" ht="15.75">
      <c r="A188" s="2"/>
      <c r="B188" s="2"/>
      <c r="C188" s="2"/>
      <c r="D188" s="2"/>
      <c r="E188" s="2"/>
      <c r="F188" s="2"/>
      <c r="G188" s="32"/>
      <c r="H188" s="2"/>
      <c r="I188" s="32"/>
      <c r="J188" s="2"/>
      <c r="K188" s="32"/>
    </row>
    <row r="189" spans="1:11" ht="15.75">
      <c r="A189" s="2"/>
      <c r="B189" s="2"/>
      <c r="C189" s="2"/>
      <c r="D189" s="2"/>
      <c r="E189" s="2"/>
      <c r="F189" s="2"/>
      <c r="G189" s="32"/>
      <c r="H189" s="2"/>
      <c r="I189" s="32"/>
      <c r="J189" s="2"/>
      <c r="K189" s="32"/>
    </row>
    <row r="190" spans="1:11" ht="15.75">
      <c r="A190" s="2"/>
      <c r="B190" s="2"/>
      <c r="C190" s="2"/>
      <c r="D190" s="2"/>
      <c r="E190" s="2"/>
      <c r="F190" s="2"/>
      <c r="G190" s="32"/>
      <c r="H190" s="2"/>
      <c r="I190" s="32"/>
      <c r="J190" s="2"/>
      <c r="K190" s="32"/>
    </row>
    <row r="191" spans="1:11" ht="15.75">
      <c r="A191" s="2"/>
      <c r="B191" s="2"/>
      <c r="C191" s="2"/>
      <c r="D191" s="2"/>
      <c r="E191" s="2"/>
      <c r="F191" s="2"/>
      <c r="G191" s="32"/>
      <c r="H191" s="2"/>
      <c r="I191" s="32"/>
      <c r="J191" s="2"/>
      <c r="K191" s="32"/>
    </row>
    <row r="192" spans="1:11" ht="15.75">
      <c r="A192" s="2"/>
      <c r="B192" s="2"/>
      <c r="C192" s="2"/>
      <c r="D192" s="2"/>
      <c r="E192" s="2"/>
      <c r="F192" s="2"/>
      <c r="G192" s="32"/>
      <c r="H192" s="2"/>
      <c r="I192" s="32"/>
      <c r="J192" s="2"/>
      <c r="K192" s="32"/>
    </row>
    <row r="193" spans="1:11" ht="15.75">
      <c r="A193" s="2"/>
      <c r="B193" s="2"/>
      <c r="C193" s="2"/>
      <c r="D193" s="2"/>
      <c r="E193" s="2"/>
      <c r="F193" s="2"/>
      <c r="G193" s="32"/>
      <c r="H193" s="2"/>
      <c r="I193" s="32"/>
      <c r="J193" s="2"/>
      <c r="K193" s="32"/>
    </row>
    <row r="194" spans="1:11" ht="15.75">
      <c r="A194" s="2"/>
      <c r="B194" s="2"/>
      <c r="C194" s="2"/>
      <c r="D194" s="2"/>
      <c r="E194" s="2"/>
      <c r="F194" s="2"/>
      <c r="G194" s="32"/>
      <c r="H194" s="2"/>
      <c r="I194" s="32"/>
      <c r="J194" s="2"/>
      <c r="K194" s="32"/>
    </row>
    <row r="195" spans="1:11" ht="15.75">
      <c r="A195" s="2"/>
      <c r="B195" s="2"/>
      <c r="C195" s="2"/>
      <c r="D195" s="2"/>
      <c r="E195" s="2"/>
      <c r="F195" s="2"/>
      <c r="G195" s="32"/>
      <c r="H195" s="2"/>
      <c r="I195" s="32"/>
      <c r="J195" s="2"/>
      <c r="K195" s="32"/>
    </row>
    <row r="196" spans="1:11" ht="15.75">
      <c r="A196" s="2"/>
      <c r="B196" s="2"/>
      <c r="C196" s="2"/>
      <c r="D196" s="2"/>
      <c r="E196" s="2"/>
      <c r="F196" s="2"/>
      <c r="G196" s="32"/>
      <c r="H196" s="2"/>
      <c r="I196" s="32"/>
      <c r="J196" s="2"/>
      <c r="K196" s="32"/>
    </row>
    <row r="197" spans="1:11" ht="15.75">
      <c r="A197" s="2"/>
      <c r="B197" s="2"/>
      <c r="C197" s="2"/>
      <c r="D197" s="2"/>
      <c r="E197" s="2"/>
      <c r="F197" s="2"/>
      <c r="G197" s="32"/>
      <c r="H197" s="2"/>
      <c r="I197" s="32"/>
      <c r="J197" s="2"/>
      <c r="K197" s="32"/>
    </row>
    <row r="198" spans="1:11" ht="15.75">
      <c r="A198" s="2"/>
      <c r="B198" s="2"/>
      <c r="C198" s="2"/>
      <c r="D198" s="2"/>
      <c r="E198" s="2"/>
      <c r="F198" s="2"/>
      <c r="G198" s="32"/>
      <c r="H198" s="2"/>
      <c r="I198" s="32"/>
      <c r="J198" s="2"/>
      <c r="K198" s="32"/>
    </row>
    <row r="199" spans="1:11" ht="15.75">
      <c r="A199" s="2"/>
      <c r="B199" s="2"/>
      <c r="C199" s="2"/>
      <c r="D199" s="2"/>
      <c r="E199" s="2"/>
      <c r="F199" s="2"/>
      <c r="G199" s="32"/>
      <c r="H199" s="2"/>
      <c r="I199" s="32"/>
      <c r="J199" s="2"/>
      <c r="K199" s="32"/>
    </row>
    <row r="200" spans="1:11" ht="15.75">
      <c r="A200" s="2"/>
      <c r="B200" s="2"/>
      <c r="C200" s="2"/>
      <c r="D200" s="2"/>
      <c r="E200" s="2"/>
      <c r="F200" s="2"/>
      <c r="G200" s="32"/>
      <c r="H200" s="2"/>
      <c r="I200" s="32"/>
      <c r="J200" s="2"/>
      <c r="K200" s="32"/>
    </row>
    <row r="201" spans="1:11" ht="15.75">
      <c r="A201" s="2"/>
      <c r="B201" s="2"/>
      <c r="C201" s="2"/>
      <c r="D201" s="2"/>
      <c r="E201" s="2"/>
      <c r="F201" s="2"/>
      <c r="G201" s="32"/>
      <c r="H201" s="2"/>
      <c r="I201" s="32"/>
      <c r="J201" s="2"/>
      <c r="K201" s="32"/>
    </row>
    <row r="202" spans="1:11" ht="15.75">
      <c r="A202" s="2"/>
      <c r="B202" s="2"/>
      <c r="C202" s="2"/>
      <c r="D202" s="2"/>
      <c r="E202" s="2"/>
      <c r="F202" s="2"/>
      <c r="G202" s="32"/>
      <c r="H202" s="2"/>
      <c r="I202" s="32"/>
      <c r="J202" s="2"/>
      <c r="K202" s="32"/>
    </row>
    <row r="203" spans="1:11" ht="15.75">
      <c r="A203" s="2"/>
      <c r="B203" s="2"/>
      <c r="C203" s="2"/>
      <c r="D203" s="2"/>
      <c r="E203" s="2"/>
      <c r="F203" s="2"/>
      <c r="G203" s="32"/>
      <c r="H203" s="2"/>
      <c r="I203" s="32"/>
      <c r="J203" s="2"/>
      <c r="K203" s="32"/>
    </row>
    <row r="204" spans="1:11" ht="15.75">
      <c r="A204" s="2"/>
      <c r="B204" s="2"/>
      <c r="C204" s="2"/>
      <c r="D204" s="2"/>
      <c r="E204" s="2"/>
      <c r="F204" s="2"/>
      <c r="G204" s="32"/>
      <c r="H204" s="2"/>
      <c r="I204" s="32"/>
      <c r="J204" s="2"/>
      <c r="K204" s="32"/>
    </row>
    <row r="205" spans="1:11" ht="15.75">
      <c r="A205" s="2"/>
      <c r="B205" s="2"/>
      <c r="C205" s="2"/>
      <c r="D205" s="2"/>
      <c r="E205" s="2"/>
      <c r="F205" s="2"/>
      <c r="G205" s="32"/>
      <c r="H205" s="2"/>
      <c r="I205" s="32"/>
      <c r="J205" s="2"/>
      <c r="K205" s="32"/>
    </row>
    <row r="206" spans="1:11" ht="15.75">
      <c r="A206" s="2"/>
      <c r="B206" s="2"/>
      <c r="C206" s="2"/>
      <c r="D206" s="2"/>
      <c r="E206" s="2"/>
      <c r="F206" s="2"/>
      <c r="G206" s="32"/>
      <c r="H206" s="2"/>
      <c r="I206" s="32"/>
      <c r="J206" s="2"/>
      <c r="K206" s="32"/>
    </row>
    <row r="207" spans="1:11" ht="15.75">
      <c r="A207" s="2"/>
      <c r="B207" s="2"/>
      <c r="C207" s="2"/>
      <c r="D207" s="2"/>
      <c r="E207" s="2"/>
      <c r="F207" s="2"/>
      <c r="G207" s="32"/>
      <c r="H207" s="2"/>
      <c r="I207" s="32"/>
      <c r="J207" s="2"/>
      <c r="K207" s="32"/>
    </row>
    <row r="208" spans="1:11" ht="15.75">
      <c r="A208" s="2"/>
      <c r="B208" s="2"/>
      <c r="C208" s="2"/>
      <c r="D208" s="2"/>
      <c r="E208" s="2"/>
      <c r="F208" s="2"/>
      <c r="G208" s="32"/>
      <c r="H208" s="2"/>
      <c r="I208" s="32"/>
      <c r="J208" s="2"/>
      <c r="K208" s="32"/>
    </row>
    <row r="209" spans="1:11" ht="15.75">
      <c r="A209" s="2"/>
      <c r="B209" s="2"/>
      <c r="C209" s="2"/>
      <c r="D209" s="2"/>
      <c r="E209" s="2"/>
      <c r="F209" s="2"/>
      <c r="G209" s="32"/>
      <c r="H209" s="2"/>
      <c r="I209" s="32"/>
      <c r="J209" s="2"/>
      <c r="K209" s="32"/>
    </row>
    <row r="210" spans="1:11" ht="15.75">
      <c r="A210" s="2"/>
      <c r="B210" s="2"/>
      <c r="C210" s="2"/>
      <c r="D210" s="2"/>
      <c r="E210" s="2"/>
      <c r="F210" s="2"/>
      <c r="G210" s="32"/>
      <c r="H210" s="2"/>
      <c r="I210" s="32"/>
      <c r="J210" s="2"/>
      <c r="K210" s="32"/>
    </row>
    <row r="211" spans="1:11" ht="15.75">
      <c r="A211" s="2"/>
      <c r="B211" s="2"/>
      <c r="C211" s="2"/>
      <c r="D211" s="2"/>
      <c r="E211" s="2"/>
      <c r="F211" s="2"/>
      <c r="G211" s="32"/>
      <c r="H211" s="2"/>
      <c r="I211" s="32"/>
      <c r="J211" s="2"/>
      <c r="K211" s="32"/>
    </row>
    <row r="212" spans="1:11" ht="15.75">
      <c r="A212" s="2"/>
      <c r="B212" s="2"/>
      <c r="C212" s="2"/>
      <c r="D212" s="2"/>
      <c r="E212" s="2"/>
      <c r="F212" s="2"/>
      <c r="G212" s="32"/>
      <c r="H212" s="2"/>
      <c r="I212" s="32"/>
    </row>
    <row r="213" spans="1:11" ht="15.75">
      <c r="A213" s="2"/>
      <c r="B213" s="2"/>
      <c r="C213" s="2"/>
      <c r="D213" s="2"/>
      <c r="E213" s="2"/>
      <c r="F213" s="2"/>
      <c r="G213" s="32"/>
      <c r="H213" s="2"/>
      <c r="I213" s="32"/>
    </row>
    <row r="214" spans="1:11" ht="15.75">
      <c r="A214" s="2"/>
      <c r="B214" s="2"/>
      <c r="C214" s="2"/>
      <c r="D214" s="2"/>
      <c r="E214" s="2"/>
      <c r="F214" s="2"/>
      <c r="G214" s="32"/>
      <c r="H214" s="2"/>
      <c r="I214" s="32"/>
    </row>
    <row r="215" spans="1:11" ht="15.75">
      <c r="A215" s="2"/>
      <c r="B215" s="2"/>
      <c r="C215" s="2"/>
      <c r="D215" s="2"/>
      <c r="E215" s="2"/>
      <c r="F215" s="2"/>
      <c r="G215" s="32"/>
      <c r="H215" s="2"/>
      <c r="I215" s="32"/>
    </row>
    <row r="216" spans="1:11" ht="15.75">
      <c r="A216" s="2"/>
      <c r="B216" s="2"/>
      <c r="C216" s="2"/>
      <c r="D216" s="2"/>
      <c r="E216" s="2"/>
      <c r="F216" s="2"/>
      <c r="G216" s="32"/>
      <c r="H216" s="2"/>
      <c r="I216" s="32"/>
    </row>
    <row r="217" spans="1:11" ht="15.75">
      <c r="A217" s="2"/>
      <c r="B217" s="2"/>
      <c r="C217" s="2"/>
      <c r="D217" s="2"/>
      <c r="E217" s="2"/>
      <c r="F217" s="2"/>
      <c r="G217" s="32"/>
      <c r="H217" s="2"/>
      <c r="I217" s="32"/>
    </row>
    <row r="218" spans="1:11" ht="15.75">
      <c r="A218" s="2"/>
      <c r="B218" s="2"/>
      <c r="C218" s="2"/>
      <c r="D218" s="2"/>
      <c r="E218" s="2"/>
      <c r="F218" s="2"/>
      <c r="G218" s="32"/>
      <c r="H218" s="2"/>
      <c r="I218" s="32"/>
    </row>
    <row r="219" spans="1:11" ht="15.75">
      <c r="A219" s="2"/>
      <c r="B219" s="2"/>
      <c r="C219" s="2"/>
      <c r="D219" s="2"/>
      <c r="E219" s="2"/>
      <c r="F219" s="2"/>
      <c r="G219" s="32"/>
      <c r="H219" s="2"/>
      <c r="I219" s="32"/>
    </row>
    <row r="220" spans="1:11" ht="15.75">
      <c r="A220" s="2"/>
      <c r="B220" s="2"/>
      <c r="C220" s="2"/>
      <c r="D220" s="2"/>
      <c r="E220" s="2"/>
      <c r="F220" s="2"/>
      <c r="G220" s="32"/>
      <c r="H220" s="2"/>
      <c r="I220" s="32"/>
    </row>
    <row r="221" spans="1:11" ht="15.75">
      <c r="A221" s="2"/>
      <c r="B221" s="2"/>
      <c r="C221" s="2"/>
      <c r="D221" s="2"/>
      <c r="E221" s="2"/>
      <c r="F221" s="2"/>
      <c r="G221" s="32"/>
      <c r="H221" s="2"/>
      <c r="I221" s="32"/>
    </row>
    <row r="222" spans="1:11" ht="15.75">
      <c r="A222" s="2"/>
      <c r="B222" s="2"/>
      <c r="C222" s="2"/>
      <c r="D222" s="2"/>
      <c r="E222" s="2"/>
      <c r="F222" s="2"/>
      <c r="G222" s="32"/>
      <c r="H222" s="2"/>
      <c r="I222" s="32"/>
    </row>
    <row r="223" spans="1:11" ht="15.75">
      <c r="A223" s="2"/>
      <c r="B223" s="2"/>
      <c r="C223" s="2"/>
      <c r="D223" s="2"/>
      <c r="E223" s="2"/>
      <c r="F223" s="2"/>
      <c r="G223" s="32"/>
      <c r="H223" s="2"/>
      <c r="I223" s="32"/>
    </row>
    <row r="224" spans="1:11" ht="15.75">
      <c r="A224" s="2"/>
      <c r="B224" s="2"/>
      <c r="C224" s="2"/>
      <c r="D224" s="2"/>
      <c r="E224" s="2"/>
      <c r="F224" s="2"/>
      <c r="G224" s="32"/>
      <c r="H224" s="2"/>
      <c r="I224" s="32"/>
    </row>
    <row r="225" spans="1:9" ht="15.75">
      <c r="A225" s="2"/>
      <c r="B225" s="2"/>
      <c r="C225" s="2"/>
      <c r="D225" s="2"/>
      <c r="E225" s="2"/>
      <c r="F225" s="2"/>
      <c r="G225" s="32"/>
      <c r="H225" s="2"/>
      <c r="I225" s="32"/>
    </row>
    <row r="226" spans="1:9" ht="15.75">
      <c r="A226" s="2"/>
      <c r="B226" s="2"/>
      <c r="C226" s="2"/>
      <c r="D226" s="2"/>
      <c r="E226" s="2"/>
      <c r="F226" s="2"/>
      <c r="G226" s="32"/>
      <c r="H226" s="2"/>
      <c r="I226" s="32"/>
    </row>
    <row r="227" spans="1:9" ht="15.75">
      <c r="A227" s="2"/>
      <c r="B227" s="2"/>
      <c r="C227" s="2"/>
      <c r="D227" s="2"/>
      <c r="E227" s="2"/>
      <c r="F227" s="2"/>
      <c r="G227" s="32"/>
      <c r="H227" s="2"/>
      <c r="I227" s="32"/>
    </row>
    <row r="228" spans="1:9" ht="15.75">
      <c r="A228" s="2"/>
      <c r="B228" s="2"/>
      <c r="C228" s="2"/>
      <c r="D228" s="2"/>
      <c r="E228" s="2"/>
      <c r="F228" s="2"/>
      <c r="G228" s="32"/>
      <c r="H228" s="2"/>
      <c r="I228" s="32"/>
    </row>
    <row r="229" spans="1:9" ht="15.75">
      <c r="A229" s="2"/>
      <c r="B229" s="2"/>
      <c r="C229" s="2"/>
      <c r="D229" s="2"/>
      <c r="E229" s="2"/>
      <c r="F229" s="2"/>
      <c r="G229" s="32"/>
      <c r="H229" s="2"/>
      <c r="I229" s="32"/>
    </row>
    <row r="230" spans="1:9" ht="15.75">
      <c r="A230" s="2"/>
      <c r="B230" s="2"/>
      <c r="C230" s="2"/>
      <c r="D230" s="2"/>
      <c r="E230" s="2"/>
      <c r="F230" s="2"/>
      <c r="G230" s="32"/>
      <c r="H230" s="2"/>
      <c r="I230" s="32"/>
    </row>
    <row r="231" spans="1:9" ht="15.75">
      <c r="A231" s="2"/>
      <c r="B231" s="2"/>
      <c r="C231" s="2"/>
      <c r="D231" s="2"/>
      <c r="E231" s="2"/>
      <c r="F231" s="2"/>
      <c r="G231" s="32"/>
      <c r="H231" s="2"/>
      <c r="I231" s="32"/>
    </row>
    <row r="232" spans="1:9" ht="15.75">
      <c r="A232" s="2"/>
      <c r="B232" s="2"/>
      <c r="C232" s="2"/>
      <c r="D232" s="2"/>
      <c r="E232" s="2"/>
      <c r="F232" s="2"/>
      <c r="G232" s="32"/>
      <c r="H232" s="2"/>
      <c r="I232" s="32"/>
    </row>
    <row r="233" spans="1:9" ht="15.75">
      <c r="A233" s="2"/>
      <c r="B233" s="2"/>
      <c r="C233" s="2"/>
      <c r="D233" s="2"/>
      <c r="E233" s="2"/>
      <c r="F233" s="2"/>
      <c r="G233" s="32"/>
      <c r="H233" s="2"/>
      <c r="I233" s="32"/>
    </row>
    <row r="234" spans="1:9" ht="15.75">
      <c r="A234" s="2"/>
      <c r="B234" s="2"/>
      <c r="C234" s="2"/>
      <c r="D234" s="2"/>
      <c r="E234" s="2"/>
      <c r="F234" s="2"/>
      <c r="G234" s="32"/>
      <c r="H234" s="2"/>
      <c r="I234" s="32"/>
    </row>
    <row r="235" spans="1:9" ht="15.75">
      <c r="A235" s="2"/>
      <c r="B235" s="2"/>
      <c r="C235" s="2"/>
      <c r="D235" s="2"/>
      <c r="E235" s="2"/>
      <c r="F235" s="2"/>
      <c r="G235" s="32"/>
      <c r="H235" s="2"/>
      <c r="I235" s="32"/>
    </row>
    <row r="236" spans="1:9" ht="15.75">
      <c r="A236" s="2"/>
      <c r="B236" s="2"/>
      <c r="C236" s="2"/>
      <c r="D236" s="2"/>
      <c r="E236" s="2"/>
      <c r="F236" s="2"/>
      <c r="G236" s="32"/>
      <c r="H236" s="2"/>
      <c r="I236" s="32"/>
    </row>
    <row r="237" spans="1:9" ht="15.75">
      <c r="A237" s="2"/>
      <c r="B237" s="2"/>
      <c r="C237" s="2"/>
      <c r="D237" s="2"/>
      <c r="E237" s="2"/>
      <c r="F237" s="2"/>
      <c r="G237" s="32"/>
      <c r="H237" s="2"/>
      <c r="I237" s="32"/>
    </row>
    <row r="238" spans="1:9" ht="15.75">
      <c r="A238" s="2"/>
      <c r="B238" s="2"/>
      <c r="C238" s="2"/>
      <c r="D238" s="2"/>
      <c r="E238" s="2"/>
      <c r="F238" s="2"/>
      <c r="G238" s="32"/>
      <c r="H238" s="2"/>
      <c r="I238" s="32"/>
    </row>
    <row r="239" spans="1:9" ht="15.75">
      <c r="A239" s="2"/>
      <c r="B239" s="2"/>
      <c r="C239" s="2"/>
      <c r="D239" s="2"/>
      <c r="E239" s="2"/>
      <c r="F239" s="2"/>
      <c r="G239" s="32"/>
      <c r="H239" s="2"/>
      <c r="I239" s="32"/>
    </row>
  </sheetData>
  <sheetProtection password="D94D" sheet="1"/>
  <mergeCells count="68">
    <mergeCell ref="C105:D105"/>
    <mergeCell ref="C115:D115"/>
    <mergeCell ref="C116:D116"/>
    <mergeCell ref="C106:D106"/>
    <mergeCell ref="C107:D107"/>
    <mergeCell ref="C111:D111"/>
    <mergeCell ref="C112:D112"/>
    <mergeCell ref="C113:D113"/>
    <mergeCell ref="C114:D114"/>
    <mergeCell ref="C108:D108"/>
    <mergeCell ref="C100:D100"/>
    <mergeCell ref="C101:D101"/>
    <mergeCell ref="C102:D102"/>
    <mergeCell ref="C103:D103"/>
    <mergeCell ref="C104:D104"/>
    <mergeCell ref="F110:K110"/>
    <mergeCell ref="F73:K73"/>
    <mergeCell ref="F27:K27"/>
    <mergeCell ref="A28:C28"/>
    <mergeCell ref="C84:D84"/>
    <mergeCell ref="C74:K74"/>
    <mergeCell ref="F57:K57"/>
    <mergeCell ref="F58:K58"/>
    <mergeCell ref="F28:K28"/>
    <mergeCell ref="F38:K38"/>
    <mergeCell ref="C94:D94"/>
    <mergeCell ref="C95:D95"/>
    <mergeCell ref="C96:D96"/>
    <mergeCell ref="C97:D97"/>
    <mergeCell ref="C98:D98"/>
    <mergeCell ref="C99:D99"/>
    <mergeCell ref="C81:D81"/>
    <mergeCell ref="C82:D82"/>
    <mergeCell ref="C83:D83"/>
    <mergeCell ref="F11:K11"/>
    <mergeCell ref="F12:K12"/>
    <mergeCell ref="F40:K40"/>
    <mergeCell ref="F41:K41"/>
    <mergeCell ref="F47:K47"/>
    <mergeCell ref="F48:K48"/>
    <mergeCell ref="C68:D68"/>
    <mergeCell ref="A39:D39"/>
    <mergeCell ref="B44:D44"/>
    <mergeCell ref="B26:D26"/>
    <mergeCell ref="B37:D37"/>
    <mergeCell ref="B51:D51"/>
    <mergeCell ref="B54:D54"/>
    <mergeCell ref="C117:D117"/>
    <mergeCell ref="B71:D71"/>
    <mergeCell ref="F88:K88"/>
    <mergeCell ref="F89:K89"/>
    <mergeCell ref="F109:K109"/>
    <mergeCell ref="C90:D90"/>
    <mergeCell ref="C91:D91"/>
    <mergeCell ref="C92:D92"/>
    <mergeCell ref="C93:D93"/>
    <mergeCell ref="F85:K85"/>
    <mergeCell ref="C75:D75"/>
    <mergeCell ref="C76:D76"/>
    <mergeCell ref="C77:D77"/>
    <mergeCell ref="C78:D78"/>
    <mergeCell ref="C79:D79"/>
    <mergeCell ref="C80:D80"/>
    <mergeCell ref="A8:C8"/>
    <mergeCell ref="A1:D1"/>
    <mergeCell ref="A2:D2"/>
    <mergeCell ref="A3:D3"/>
    <mergeCell ref="F72:K72"/>
  </mergeCells>
  <conditionalFormatting sqref="A1:D3">
    <cfRule type="containsText" dxfId="351" priority="1" stopIfTrue="1" operator="containsText" text="Enter">
      <formula>NOT(ISERROR(SEARCH("Enter",A1)))</formula>
    </cfRule>
  </conditionalFormatting>
  <pageMargins left="0.7" right="0.7" top="0.75" bottom="0.75" header="0.3" footer="0.3"/>
  <pageSetup scale="58" fitToHeight="3" orientation="landscape" r:id="rId1"/>
  <headerFooter>
    <oddHeader>&amp;RPage &amp;P of &amp;N</oddHeader>
  </headerFooter>
  <rowBreaks count="2" manualBreakCount="2">
    <brk id="47" max="10" man="1"/>
    <brk id="72" max="10"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6" tint="-0.249977111117893"/>
    <pageSetUpPr fitToPage="1"/>
  </sheetPr>
  <dimension ref="A1:L271"/>
  <sheetViews>
    <sheetView showGridLines="0" topLeftCell="A26" zoomScaleNormal="100" zoomScaleSheetLayoutView="100" workbookViewId="0">
      <selection activeCell="H42" sqref="H42"/>
    </sheetView>
  </sheetViews>
  <sheetFormatPr defaultRowHeight="12.75"/>
  <cols>
    <col min="1" max="1" width="5.42578125" customWidth="1"/>
    <col min="2" max="2" width="4.42578125" customWidth="1"/>
    <col min="3" max="3" width="88.7109375" customWidth="1"/>
    <col min="4" max="4" width="10.28515625" customWidth="1"/>
    <col min="5" max="6" width="14.5703125" customWidth="1"/>
    <col min="7" max="7" width="10.5703125" customWidth="1"/>
    <col min="8" max="8" width="14.5703125" customWidth="1"/>
    <col min="9" max="9" width="10.5703125" customWidth="1"/>
    <col min="10" max="10" width="14.5703125" customWidth="1"/>
    <col min="11" max="11" width="10.5703125" customWidth="1"/>
    <col min="12" max="12" width="70.28515625" style="1203" customWidth="1"/>
    <col min="13" max="35" width="70.28515625" customWidth="1"/>
  </cols>
  <sheetData>
    <row r="1" spans="1:11" ht="15.75">
      <c r="A1" s="1645" t="str">
        <f>IF('BUDGET-CERTIFICATION'!$H$1="","CHARTER NAME: Enter Charter Name on BUDGET-CERTIFICATION Worksheet",(CONCATENATE("CHARTER NAME: ",'BUDGET-CERTIFICATION'!$H$1)))</f>
        <v>CHARTER NAME: Elite Academic Academy - Virtual Prep Lucerne</v>
      </c>
      <c r="B1" s="1645"/>
      <c r="C1" s="1645"/>
      <c r="D1" s="1645"/>
      <c r="E1" s="12"/>
      <c r="F1" s="12"/>
      <c r="G1" s="158"/>
      <c r="H1" s="12"/>
      <c r="I1" s="157"/>
      <c r="J1" s="1"/>
      <c r="K1" s="159"/>
    </row>
    <row r="2" spans="1:11" ht="15.75">
      <c r="A2" s="1645" t="str">
        <f>IF('BUDGET-CERTIFICATION'!$H$2="","CDS #: Enter Charter CDS # on BUDGET-CERTIFICATION Worksheet",(_xlfn.CONCAT("CDS #: ",'BUDGET-CERTIFICATION'!$H$2)))</f>
        <v>CDS #: 36-75051-0138107</v>
      </c>
      <c r="B2" s="1645"/>
      <c r="C2" s="1645"/>
      <c r="D2" s="1645"/>
      <c r="E2" s="12"/>
      <c r="F2" s="82"/>
      <c r="G2" s="158"/>
      <c r="H2" s="82"/>
      <c r="I2" s="158"/>
      <c r="J2" s="1"/>
      <c r="K2" s="159"/>
    </row>
    <row r="3" spans="1:11" ht="15.75">
      <c r="A3" s="1645" t="str">
        <f>IF('BUDGET-CERTIFICATION'!$H$5="","CHARTER #: Enter Charter # on BUDGET-CERTIFICATION Worksheet",(_xlfn.CONCAT("CHARTER #: ",'BUDGET-CERTIFICATION'!$H$5)))</f>
        <v>CHARTER #: 1975</v>
      </c>
      <c r="B3" s="1645"/>
      <c r="C3" s="1645"/>
      <c r="D3" s="1645"/>
      <c r="E3" s="12"/>
      <c r="F3" s="12"/>
      <c r="G3" s="157"/>
      <c r="H3" s="12"/>
      <c r="I3" s="157"/>
      <c r="J3" s="1"/>
      <c r="K3" s="159"/>
    </row>
    <row r="4" spans="1:11" ht="15.75">
      <c r="A4" s="2"/>
      <c r="B4" s="53"/>
      <c r="C4" s="53"/>
      <c r="D4" s="160" t="str">
        <f>'Budget-ADA'!I4</f>
        <v>Fiscal Year 2022-23 Budget</v>
      </c>
      <c r="E4" s="53"/>
      <c r="F4" s="53"/>
      <c r="G4" s="53"/>
      <c r="H4" s="53"/>
      <c r="I4" s="53"/>
      <c r="J4" s="53"/>
      <c r="K4" s="53"/>
    </row>
    <row r="5" spans="1:11" ht="15.75">
      <c r="A5" s="12"/>
      <c r="B5" s="12"/>
      <c r="C5" s="53"/>
      <c r="D5" s="160" t="s">
        <v>209</v>
      </c>
      <c r="E5" s="53"/>
      <c r="F5" s="53"/>
      <c r="G5" s="161"/>
      <c r="H5" s="53"/>
      <c r="I5" s="161"/>
      <c r="J5" s="1"/>
      <c r="K5" s="162"/>
    </row>
    <row r="6" spans="1:11" ht="16.5" thickBot="1">
      <c r="A6" s="1580" t="str">
        <f>Instructions!H1</f>
        <v>Form Orignated 5/16/2022</v>
      </c>
      <c r="B6" s="12"/>
      <c r="C6" s="12"/>
      <c r="D6" s="12"/>
      <c r="E6" s="12"/>
      <c r="F6" s="12"/>
      <c r="G6" s="157"/>
      <c r="H6" s="12"/>
      <c r="I6" s="157"/>
      <c r="J6" s="1"/>
      <c r="K6" s="159"/>
    </row>
    <row r="7" spans="1:11" ht="15.75">
      <c r="A7" s="242"/>
      <c r="B7" s="237"/>
      <c r="C7" s="237"/>
      <c r="D7" s="299"/>
      <c r="E7" s="300"/>
      <c r="F7" s="300"/>
      <c r="G7" s="301"/>
      <c r="H7" s="300" t="s">
        <v>2</v>
      </c>
      <c r="I7" s="301"/>
      <c r="J7" s="300" t="s">
        <v>2</v>
      </c>
      <c r="K7" s="302"/>
    </row>
    <row r="8" spans="1:11" ht="15.75">
      <c r="A8" s="1703" t="s">
        <v>21</v>
      </c>
      <c r="B8" s="1704"/>
      <c r="C8" s="1704"/>
      <c r="D8" s="54"/>
      <c r="E8" s="14" t="s">
        <v>93</v>
      </c>
      <c r="F8" s="14" t="s">
        <v>17</v>
      </c>
      <c r="G8" s="163" t="s">
        <v>18</v>
      </c>
      <c r="H8" s="14" t="s">
        <v>19</v>
      </c>
      <c r="I8" s="163" t="s">
        <v>18</v>
      </c>
      <c r="J8" s="14" t="s">
        <v>19</v>
      </c>
      <c r="K8" s="303" t="s">
        <v>18</v>
      </c>
    </row>
    <row r="9" spans="1:11" ht="15.75">
      <c r="A9" s="68"/>
      <c r="B9" s="1"/>
      <c r="C9" s="1"/>
      <c r="D9" s="54"/>
      <c r="E9" s="14" t="s">
        <v>20</v>
      </c>
      <c r="F9" s="14" t="s">
        <v>16</v>
      </c>
      <c r="G9" s="163" t="s">
        <v>22</v>
      </c>
      <c r="H9" s="14" t="s">
        <v>16</v>
      </c>
      <c r="I9" s="163" t="s">
        <v>22</v>
      </c>
      <c r="J9" s="14" t="s">
        <v>16</v>
      </c>
      <c r="K9" s="303" t="s">
        <v>22</v>
      </c>
    </row>
    <row r="10" spans="1:11" ht="16.5" thickBot="1">
      <c r="A10" s="304"/>
      <c r="B10" s="164"/>
      <c r="C10" s="164"/>
      <c r="D10" s="55"/>
      <c r="E10" s="15" t="str">
        <f>'Budget-Unrestricted MYP'!E10</f>
        <v>2021-22</v>
      </c>
      <c r="F10" s="208" t="str">
        <f>'Budget-Unrestricted MYP'!F10</f>
        <v>2022-23</v>
      </c>
      <c r="G10" s="165"/>
      <c r="H10" s="15" t="str">
        <f>'Budget-Unrestricted MYP'!H10</f>
        <v>2023-24</v>
      </c>
      <c r="I10" s="165"/>
      <c r="J10" s="15" t="str">
        <f>'Budget-Unrestricted MYP'!J10</f>
        <v>2024-25</v>
      </c>
      <c r="K10" s="305"/>
    </row>
    <row r="11" spans="1:11" ht="16.5" thickTop="1">
      <c r="A11" s="306" t="s">
        <v>1</v>
      </c>
      <c r="B11" s="1"/>
      <c r="C11" s="1"/>
      <c r="D11" s="337"/>
      <c r="E11" s="13"/>
      <c r="F11" s="1721"/>
      <c r="G11" s="1721"/>
      <c r="H11" s="1721"/>
      <c r="I11" s="1721"/>
      <c r="J11" s="1721"/>
      <c r="K11" s="1722"/>
    </row>
    <row r="12" spans="1:11" ht="15.75">
      <c r="A12" s="306"/>
      <c r="B12" s="278" t="s">
        <v>306</v>
      </c>
      <c r="C12" s="147"/>
      <c r="D12" s="141"/>
      <c r="E12" s="338"/>
      <c r="F12" s="1723"/>
      <c r="G12" s="1724"/>
      <c r="H12" s="1724"/>
      <c r="I12" s="1724"/>
      <c r="J12" s="1724"/>
      <c r="K12" s="1725"/>
    </row>
    <row r="13" spans="1:11" ht="15.75">
      <c r="A13" s="306"/>
      <c r="B13" s="467"/>
      <c r="C13" s="468" t="s">
        <v>155</v>
      </c>
      <c r="D13" s="469">
        <v>8011</v>
      </c>
      <c r="E13" s="1295"/>
      <c r="F13" s="1296"/>
      <c r="G13" s="1297" t="str">
        <f>IF(E13&lt;1," ",IF(F13&lt;1," ",(F13-E13)/E13))</f>
        <v xml:space="preserve"> </v>
      </c>
      <c r="H13" s="1295"/>
      <c r="I13" s="1297" t="str">
        <f>IF(F13&lt;1," ",IF(H13&lt;1," ",(H13-F13)/F13))</f>
        <v xml:space="preserve"> </v>
      </c>
      <c r="J13" s="1295"/>
      <c r="K13" s="1298" t="str">
        <f>IF(H13&lt;1," ",IF(J13&lt;1," ",(J13-H13)/H13))</f>
        <v xml:space="preserve"> </v>
      </c>
    </row>
    <row r="14" spans="1:11" ht="15.75">
      <c r="A14" s="306"/>
      <c r="B14" s="467"/>
      <c r="C14" s="468" t="s">
        <v>156</v>
      </c>
      <c r="D14" s="469">
        <v>8012</v>
      </c>
      <c r="E14" s="1295"/>
      <c r="F14" s="1296"/>
      <c r="G14" s="1297" t="str">
        <f>IF(E14&lt;1," ",IF(F14&lt;1," ",(F14-E14)/E14))</f>
        <v xml:space="preserve"> </v>
      </c>
      <c r="H14" s="1295"/>
      <c r="I14" s="1297" t="str">
        <f>IF(F14&lt;1," ",IF(H14&lt;1," ",(H14-F14)/F14))</f>
        <v xml:space="preserve"> </v>
      </c>
      <c r="J14" s="1295"/>
      <c r="K14" s="1298" t="str">
        <f>IF(H14&lt;1," ",IF(J14&lt;1," ",(J14-H14)/H14))</f>
        <v xml:space="preserve"> </v>
      </c>
    </row>
    <row r="15" spans="1:11" ht="15.75">
      <c r="A15" s="68"/>
      <c r="B15" s="467"/>
      <c r="C15" s="468" t="s">
        <v>304</v>
      </c>
      <c r="D15" s="469">
        <v>8019</v>
      </c>
      <c r="E15" s="1295"/>
      <c r="F15" s="1295"/>
      <c r="G15" s="1297" t="str">
        <f>IF(E15&lt;1," ",IF(F15&lt;1," ",(F15-E15)/E15))</f>
        <v xml:space="preserve"> </v>
      </c>
      <c r="H15" s="1295"/>
      <c r="I15" s="1297" t="str">
        <f>IF(F15&lt;1," ",IF(H15&lt;1," ",(H15-F15)/F15))</f>
        <v xml:space="preserve"> </v>
      </c>
      <c r="J15" s="1295"/>
      <c r="K15" s="1298" t="str">
        <f>IF(H15&lt;1," ",IF(J15&lt;1," ",(J15-H15)/H15))</f>
        <v xml:space="preserve"> </v>
      </c>
    </row>
    <row r="16" spans="1:11" ht="15.75">
      <c r="A16" s="68"/>
      <c r="B16" s="467"/>
      <c r="C16" s="468" t="s">
        <v>305</v>
      </c>
      <c r="D16" s="469">
        <v>8096</v>
      </c>
      <c r="E16" s="1295"/>
      <c r="F16" s="1296"/>
      <c r="G16" s="1297" t="str">
        <f>IF(E16&lt;1," ",IF(F16&lt;1," ",(F16-E16)/E16))</f>
        <v xml:space="preserve"> </v>
      </c>
      <c r="H16" s="1295"/>
      <c r="I16" s="1299" t="str">
        <f>IF(F16&lt;1," ",IF(H16&lt;1," ",(H16-F16)/F16))</f>
        <v xml:space="preserve"> </v>
      </c>
      <c r="J16" s="1295"/>
      <c r="K16" s="1300" t="str">
        <f>IF(H16&lt;1," ",IF(J16&lt;1," ",(J16-H16)/H16))</f>
        <v xml:space="preserve"> </v>
      </c>
    </row>
    <row r="17" spans="1:11" ht="15.75">
      <c r="A17" s="68"/>
      <c r="B17" s="278" t="s">
        <v>307</v>
      </c>
      <c r="C17" s="278"/>
      <c r="D17" s="346" t="s">
        <v>99</v>
      </c>
      <c r="E17" s="1178">
        <f>E113</f>
        <v>59431</v>
      </c>
      <c r="F17" s="1301">
        <f>F113</f>
        <v>534875</v>
      </c>
      <c r="G17" s="1302">
        <f>IF(E17&lt;1," ",IF(F17&lt;1," ",(F17-E17)/E17))</f>
        <v>7.9999326950581349</v>
      </c>
      <c r="H17" s="1178">
        <f>H113</f>
        <v>0</v>
      </c>
      <c r="I17" s="1303" t="str">
        <f>IF(F17&lt;1," ",IF(H17&lt;1," ",(H17-F17)/F17))</f>
        <v xml:space="preserve"> </v>
      </c>
      <c r="J17" s="1178">
        <f>J113</f>
        <v>0</v>
      </c>
      <c r="K17" s="1304" t="str">
        <f>IF(H17&lt;1," ",IF(J17&lt;1," ",(J17-H17)/H17))</f>
        <v xml:space="preserve"> </v>
      </c>
    </row>
    <row r="18" spans="1:11" ht="15.75">
      <c r="A18" s="68"/>
      <c r="B18" s="147" t="s">
        <v>308</v>
      </c>
      <c r="C18" s="141"/>
      <c r="D18" s="141"/>
      <c r="E18" s="1305"/>
      <c r="F18" s="1306"/>
      <c r="G18" s="1307"/>
      <c r="H18" s="1305"/>
      <c r="I18" s="1307"/>
      <c r="J18" s="1305"/>
      <c r="K18" s="1308"/>
    </row>
    <row r="19" spans="1:11" ht="15.75">
      <c r="A19" s="68"/>
      <c r="B19" s="467"/>
      <c r="C19" s="468" t="s">
        <v>309</v>
      </c>
      <c r="D19" s="469">
        <v>8560</v>
      </c>
      <c r="E19" s="1309"/>
      <c r="F19" s="1310"/>
      <c r="G19" s="1311" t="str">
        <f>IF(E19&lt;1," ",IF(F19&lt;1," ",(F19-E19)/E19))</f>
        <v xml:space="preserve"> </v>
      </c>
      <c r="H19" s="1309"/>
      <c r="I19" s="1311" t="str">
        <f>IF(F19&lt;1," ",IF(H19&lt;1," ",(H19-F19)/F19))</f>
        <v xml:space="preserve"> </v>
      </c>
      <c r="J19" s="1312"/>
      <c r="K19" s="1313" t="str">
        <f>IF(H19&lt;1," ",IF(J19&lt;1," ",(J19-H19)/H19))</f>
        <v xml:space="preserve"> </v>
      </c>
    </row>
    <row r="20" spans="1:11" ht="15.75">
      <c r="A20" s="68"/>
      <c r="B20" s="147"/>
      <c r="C20" s="280" t="s">
        <v>310</v>
      </c>
      <c r="D20" s="346">
        <v>8560</v>
      </c>
      <c r="E20" s="700">
        <v>1132.1399999999999</v>
      </c>
      <c r="F20" s="697">
        <f>F116</f>
        <v>0</v>
      </c>
      <c r="G20" s="272" t="s">
        <v>2</v>
      </c>
      <c r="H20" s="756">
        <f>H116</f>
        <v>0</v>
      </c>
      <c r="I20" s="272" t="s">
        <v>2</v>
      </c>
      <c r="J20" s="696">
        <f>J116</f>
        <v>0</v>
      </c>
      <c r="K20" s="308" t="str">
        <f>IF(H20&lt;1," ",IF(J20&lt;1," ",(J20-H20)/H20))</f>
        <v xml:space="preserve"> </v>
      </c>
    </row>
    <row r="21" spans="1:11" ht="15.75">
      <c r="A21" s="68"/>
      <c r="B21" s="147"/>
      <c r="C21" s="280" t="s">
        <v>311</v>
      </c>
      <c r="D21" s="346" t="s">
        <v>100</v>
      </c>
      <c r="E21" s="696">
        <f>E137</f>
        <v>0</v>
      </c>
      <c r="F21" s="697">
        <f>F137</f>
        <v>0</v>
      </c>
      <c r="G21" s="270" t="str">
        <f>IF(E21&lt;1," ",IF(F21&lt;1," ",(F21-E21)/E21))</f>
        <v xml:space="preserve"> </v>
      </c>
      <c r="H21" s="696">
        <f>H137</f>
        <v>0</v>
      </c>
      <c r="I21" s="272" t="str">
        <f>IF(F21&lt;1," ",IF(H21&lt;1," ",(H21-F21)/F21))</f>
        <v xml:space="preserve"> </v>
      </c>
      <c r="J21" s="696">
        <f>J137</f>
        <v>0</v>
      </c>
      <c r="K21" s="308" t="str">
        <f>IF(H21&lt;1," ",IF(J21&lt;1," ",(J21-H21)/H21))</f>
        <v xml:space="preserve"> </v>
      </c>
    </row>
    <row r="22" spans="1:11" ht="15.75">
      <c r="A22" s="68"/>
      <c r="B22" s="147" t="s">
        <v>312</v>
      </c>
      <c r="C22" s="141"/>
      <c r="D22" s="141"/>
      <c r="E22" s="339"/>
      <c r="F22" s="340"/>
      <c r="G22" s="341"/>
      <c r="H22" s="339"/>
      <c r="I22" s="341"/>
      <c r="J22" s="339"/>
      <c r="K22" s="342"/>
    </row>
    <row r="23" spans="1:11" ht="15.75">
      <c r="A23" s="68"/>
      <c r="B23" s="147"/>
      <c r="C23" s="280" t="s">
        <v>239</v>
      </c>
      <c r="D23" s="346">
        <v>8660</v>
      </c>
      <c r="E23" s="700"/>
      <c r="F23" s="695"/>
      <c r="G23" s="270" t="str">
        <f>IF(E23&lt;1," ",IF(F23&lt;1," ",(F23-E23)/E23))</f>
        <v xml:space="preserve"> </v>
      </c>
      <c r="H23" s="700"/>
      <c r="I23" s="272" t="str">
        <f>IF(F23&lt;1," ",IF(H23&lt;1," ",(H23-F23)/F23))</f>
        <v xml:space="preserve"> </v>
      </c>
      <c r="J23" s="700"/>
      <c r="K23" s="308" t="str">
        <f>IF(H23&lt;1," ",IF(J23&lt;1," ",(J23-H23)/H23))</f>
        <v xml:space="preserve"> </v>
      </c>
    </row>
    <row r="24" spans="1:11" ht="15.75">
      <c r="A24" s="68"/>
      <c r="B24" s="147"/>
      <c r="C24" s="280" t="s">
        <v>313</v>
      </c>
      <c r="D24" s="346">
        <v>8792</v>
      </c>
      <c r="E24" s="700">
        <v>389407</v>
      </c>
      <c r="F24" s="695">
        <f>820*'Budget-ADA'!L76</f>
        <v>645340</v>
      </c>
      <c r="G24" s="272">
        <f>IF(E24&lt;1," ",IF(F24&lt;1," ",(F24-E24)/E24))</f>
        <v>0.65723780003954735</v>
      </c>
      <c r="H24" s="700">
        <f>+F24</f>
        <v>645340</v>
      </c>
      <c r="I24" s="272">
        <f>IF(F24&lt;1," ",IF(H24&lt;1," ",(H24-F24)/F24))</f>
        <v>0</v>
      </c>
      <c r="J24" s="700">
        <f>+H24</f>
        <v>645340</v>
      </c>
      <c r="K24" s="308">
        <f>IF(H24&lt;1," ",IF(J24&lt;1," ",(J24-H24)/H24))</f>
        <v>0</v>
      </c>
    </row>
    <row r="25" spans="1:11" ht="16.5" thickBot="1">
      <c r="A25" s="68"/>
      <c r="B25" s="899"/>
      <c r="C25" s="932" t="s">
        <v>314</v>
      </c>
      <c r="D25" s="933" t="s">
        <v>101</v>
      </c>
      <c r="E25" s="703">
        <f>E146</f>
        <v>0</v>
      </c>
      <c r="F25" s="702">
        <f>F146</f>
        <v>0</v>
      </c>
      <c r="G25" s="297" t="str">
        <f>IF(E25&lt;1," ",IF(F25&lt;1," ",(F25-E25)/E25))</f>
        <v xml:space="preserve"> </v>
      </c>
      <c r="H25" s="703">
        <f>H146</f>
        <v>0</v>
      </c>
      <c r="I25" s="298" t="str">
        <f>IF(F25&lt;1," ",IF(H25&lt;1," ",(H25-F25)/F25))</f>
        <v xml:space="preserve"> </v>
      </c>
      <c r="J25" s="703">
        <f>J146</f>
        <v>0</v>
      </c>
      <c r="K25" s="926" t="str">
        <f>IF(H25&lt;1," ",IF(J25&lt;1," ",(J25-H25)/H25))</f>
        <v xml:space="preserve"> </v>
      </c>
    </row>
    <row r="26" spans="1:11" ht="17.25" thickTop="1" thickBot="1">
      <c r="A26" s="68"/>
      <c r="B26" s="1737" t="s">
        <v>315</v>
      </c>
      <c r="C26" s="1738"/>
      <c r="D26" s="1739"/>
      <c r="E26" s="900">
        <f>SUM(E13:E25)</f>
        <v>449970.14</v>
      </c>
      <c r="F26" s="900">
        <f>SUM(F13:F25)</f>
        <v>1180215</v>
      </c>
      <c r="G26" s="901">
        <f>IF(E26&lt;1," ",IF(F26&lt;1," ",(F26-E26)/E26))</f>
        <v>1.6228740422642267</v>
      </c>
      <c r="H26" s="900">
        <f>SUM(H13:H25)</f>
        <v>645340</v>
      </c>
      <c r="I26" s="901">
        <f>IF(F26&lt;1," ",IF(H26&lt;1," ",(H26-F26)/F26))</f>
        <v>-0.45320132348766962</v>
      </c>
      <c r="J26" s="900">
        <f>SUM(J13:J25)</f>
        <v>645340</v>
      </c>
      <c r="K26" s="902">
        <f>IF(H26&lt;1," ",IF(J26&lt;1," ",(J26-H26)/H26))</f>
        <v>0</v>
      </c>
    </row>
    <row r="27" spans="1:11" ht="16.5" thickTop="1">
      <c r="A27" s="68"/>
      <c r="B27" s="1"/>
      <c r="C27" s="1"/>
      <c r="D27" s="1"/>
      <c r="E27" s="269"/>
      <c r="F27" s="1730"/>
      <c r="G27" s="1730"/>
      <c r="H27" s="1730"/>
      <c r="I27" s="1730"/>
      <c r="J27" s="1730"/>
      <c r="K27" s="1731"/>
    </row>
    <row r="28" spans="1:11" ht="15.75">
      <c r="A28" s="1746" t="s">
        <v>3</v>
      </c>
      <c r="B28" s="1747"/>
      <c r="C28" s="1747"/>
      <c r="D28" s="155"/>
      <c r="E28" s="269"/>
      <c r="F28" s="1730"/>
      <c r="G28" s="1730"/>
      <c r="H28" s="1730"/>
      <c r="I28" s="1730"/>
      <c r="J28" s="1730"/>
      <c r="K28" s="1731"/>
    </row>
    <row r="29" spans="1:11" ht="15.75">
      <c r="A29" s="68"/>
      <c r="B29" s="278" t="s">
        <v>4</v>
      </c>
      <c r="C29" s="278"/>
      <c r="D29" s="279" t="s">
        <v>102</v>
      </c>
      <c r="E29" s="700">
        <v>296868.71999999997</v>
      </c>
      <c r="F29" s="757">
        <v>664259</v>
      </c>
      <c r="G29" s="272">
        <f t="shared" ref="G29:G37" si="0">IF(E29&lt;1," ",IF(F29&lt;1," ",(F29-E29)/E29))</f>
        <v>1.2375513324542917</v>
      </c>
      <c r="H29" s="705">
        <v>686248.06499999994</v>
      </c>
      <c r="I29" s="272">
        <f t="shared" ref="I29:I37" si="1">IF(F29&lt;1," ",IF(H29&lt;1," ",(H29-F29)/F29))</f>
        <v>3.3103149524507679E-2</v>
      </c>
      <c r="J29" s="705">
        <v>709006.74727499986</v>
      </c>
      <c r="K29" s="308">
        <f t="shared" ref="K29:K37" si="2">IF(H29&lt;1," ",IF(J29&lt;1," ",(J29-H29)/H29))</f>
        <v>3.3163929249111858E-2</v>
      </c>
    </row>
    <row r="30" spans="1:11" ht="15.75">
      <c r="A30" s="68"/>
      <c r="B30" s="278" t="s">
        <v>23</v>
      </c>
      <c r="C30" s="278"/>
      <c r="D30" s="279" t="s">
        <v>103</v>
      </c>
      <c r="E30" s="700"/>
      <c r="F30" s="757"/>
      <c r="G30" s="272" t="str">
        <f t="shared" si="0"/>
        <v xml:space="preserve"> </v>
      </c>
      <c r="H30" s="705"/>
      <c r="I30" s="272" t="str">
        <f t="shared" si="1"/>
        <v xml:space="preserve"> </v>
      </c>
      <c r="J30" s="705"/>
      <c r="K30" s="308" t="str">
        <f t="shared" si="2"/>
        <v xml:space="preserve"> </v>
      </c>
    </row>
    <row r="31" spans="1:11" ht="15.75">
      <c r="A31" s="68"/>
      <c r="B31" s="278" t="s">
        <v>24</v>
      </c>
      <c r="C31" s="278"/>
      <c r="D31" s="279" t="s">
        <v>104</v>
      </c>
      <c r="E31" s="700">
        <v>91413.975111855369</v>
      </c>
      <c r="F31" s="757">
        <f>((+F29-(4000*9))*0.309)+1800</f>
        <v>195932.03099999999</v>
      </c>
      <c r="G31" s="272">
        <f t="shared" si="0"/>
        <v>1.1433487687222323</v>
      </c>
      <c r="H31" s="757">
        <f>((+H29-(4000*9))*0.309)+1800</f>
        <v>202726.65208499998</v>
      </c>
      <c r="I31" s="272">
        <f t="shared" si="1"/>
        <v>3.4678459924707215E-2</v>
      </c>
      <c r="J31" s="757">
        <f>((+J29-(4000*9))*0.309)+1800</f>
        <v>209759.08490797496</v>
      </c>
      <c r="K31" s="308">
        <f t="shared" si="2"/>
        <v>3.4689236716770704E-2</v>
      </c>
    </row>
    <row r="32" spans="1:11" ht="15.75">
      <c r="A32" s="68"/>
      <c r="B32" s="278" t="s">
        <v>25</v>
      </c>
      <c r="C32" s="278"/>
      <c r="D32" s="279" t="s">
        <v>105</v>
      </c>
      <c r="E32" s="700">
        <v>1521.6</v>
      </c>
      <c r="F32" s="757"/>
      <c r="G32" s="272" t="str">
        <f t="shared" si="0"/>
        <v xml:space="preserve"> </v>
      </c>
      <c r="H32" s="705"/>
      <c r="I32" s="272" t="str">
        <f t="shared" si="1"/>
        <v xml:space="preserve"> </v>
      </c>
      <c r="J32" s="705"/>
      <c r="K32" s="308" t="str">
        <f t="shared" si="2"/>
        <v xml:space="preserve"> </v>
      </c>
    </row>
    <row r="33" spans="1:12" ht="15.75">
      <c r="A33" s="68"/>
      <c r="B33" s="278" t="s">
        <v>26</v>
      </c>
      <c r="C33" s="278"/>
      <c r="D33" s="279" t="s">
        <v>106</v>
      </c>
      <c r="E33" s="700">
        <v>122379.12</v>
      </c>
      <c r="F33" s="757">
        <v>241872</v>
      </c>
      <c r="G33" s="272">
        <f t="shared" si="0"/>
        <v>0.97641558461933708</v>
      </c>
      <c r="H33" s="705">
        <v>241872</v>
      </c>
      <c r="I33" s="272">
        <f t="shared" si="1"/>
        <v>0</v>
      </c>
      <c r="J33" s="705">
        <v>241872</v>
      </c>
      <c r="K33" s="308">
        <f t="shared" si="2"/>
        <v>0</v>
      </c>
    </row>
    <row r="34" spans="1:12" ht="15.75">
      <c r="A34" s="68"/>
      <c r="B34" s="278" t="s">
        <v>5</v>
      </c>
      <c r="C34" s="278"/>
      <c r="D34" s="279" t="s">
        <v>107</v>
      </c>
      <c r="E34" s="700"/>
      <c r="F34" s="757"/>
      <c r="G34" s="272" t="str">
        <f t="shared" si="0"/>
        <v xml:space="preserve"> </v>
      </c>
      <c r="H34" s="705"/>
      <c r="I34" s="272" t="str">
        <f t="shared" si="1"/>
        <v xml:space="preserve"> </v>
      </c>
      <c r="J34" s="705"/>
      <c r="K34" s="308" t="str">
        <f t="shared" si="2"/>
        <v xml:space="preserve"> </v>
      </c>
    </row>
    <row r="35" spans="1:12" ht="15.75">
      <c r="A35" s="68"/>
      <c r="B35" s="278" t="s">
        <v>27</v>
      </c>
      <c r="C35" s="278"/>
      <c r="D35" s="279" t="s">
        <v>108</v>
      </c>
      <c r="E35" s="700"/>
      <c r="F35" s="757"/>
      <c r="G35" s="272" t="str">
        <f t="shared" si="0"/>
        <v xml:space="preserve"> </v>
      </c>
      <c r="H35" s="705"/>
      <c r="I35" s="272" t="str">
        <f t="shared" si="1"/>
        <v xml:space="preserve"> </v>
      </c>
      <c r="J35" s="705"/>
      <c r="K35" s="308" t="str">
        <f t="shared" si="2"/>
        <v xml:space="preserve"> </v>
      </c>
    </row>
    <row r="36" spans="1:12" ht="16.5" thickBot="1">
      <c r="A36" s="68"/>
      <c r="B36" s="922" t="s">
        <v>149</v>
      </c>
      <c r="C36" s="922"/>
      <c r="D36" s="629" t="s">
        <v>114</v>
      </c>
      <c r="E36" s="934"/>
      <c r="F36" s="935"/>
      <c r="G36" s="298" t="str">
        <f t="shared" si="0"/>
        <v xml:space="preserve"> </v>
      </c>
      <c r="H36" s="934"/>
      <c r="I36" s="298" t="str">
        <f t="shared" si="1"/>
        <v xml:space="preserve"> </v>
      </c>
      <c r="J36" s="934"/>
      <c r="K36" s="926" t="str">
        <f t="shared" si="2"/>
        <v xml:space="preserve"> </v>
      </c>
    </row>
    <row r="37" spans="1:12" ht="17.25" thickTop="1" thickBot="1">
      <c r="A37" s="68"/>
      <c r="B37" s="1776" t="s">
        <v>28</v>
      </c>
      <c r="C37" s="1777"/>
      <c r="D37" s="1777"/>
      <c r="E37" s="900">
        <f>SUM(E29:E36)</f>
        <v>512183.41511185531</v>
      </c>
      <c r="F37" s="900">
        <f>SUM(F29:F36)</f>
        <v>1102063.031</v>
      </c>
      <c r="G37" s="901">
        <f t="shared" si="0"/>
        <v>1.151696049664789</v>
      </c>
      <c r="H37" s="900">
        <f>SUM(H29:H36)</f>
        <v>1130846.7170849999</v>
      </c>
      <c r="I37" s="901">
        <f t="shared" si="1"/>
        <v>2.6118003485591866E-2</v>
      </c>
      <c r="J37" s="900">
        <f>SUM(J29:J36)</f>
        <v>1160637.8321829748</v>
      </c>
      <c r="K37" s="902">
        <f t="shared" si="2"/>
        <v>2.6344078863993068E-2</v>
      </c>
    </row>
    <row r="38" spans="1:12" ht="17.25" thickTop="1" thickBot="1">
      <c r="A38" s="68"/>
      <c r="B38" s="1"/>
      <c r="C38" s="927"/>
      <c r="D38" s="168"/>
      <c r="E38" s="277"/>
      <c r="F38" s="1755"/>
      <c r="G38" s="1755"/>
      <c r="H38" s="1755"/>
      <c r="I38" s="1755"/>
      <c r="J38" s="1755"/>
      <c r="K38" s="1756"/>
    </row>
    <row r="39" spans="1:12" ht="17.25" thickTop="1" thickBot="1">
      <c r="A39" s="1778" t="s">
        <v>208</v>
      </c>
      <c r="B39" s="1779"/>
      <c r="C39" s="1779"/>
      <c r="D39" s="1779"/>
      <c r="E39" s="917">
        <f>SUM(E26-E37)</f>
        <v>-62213.275111855299</v>
      </c>
      <c r="F39" s="917">
        <f>SUM(F26-F37)</f>
        <v>78151.969000000041</v>
      </c>
      <c r="G39" s="918" t="str">
        <f>IF(E39&lt;1," ",IF(F39&lt;1," ",(F39-E39)/E39))</f>
        <v xml:space="preserve"> </v>
      </c>
      <c r="H39" s="917">
        <f>SUM(H26-H37)</f>
        <v>-485506.71708499989</v>
      </c>
      <c r="I39" s="918" t="str">
        <f>IF(F39&lt;1," ",IF(H39&lt;1," ",(H39-F39)/F39))</f>
        <v xml:space="preserve"> </v>
      </c>
      <c r="J39" s="917">
        <f>SUM(J26-J37)</f>
        <v>-515297.83218297479</v>
      </c>
      <c r="K39" s="919" t="str">
        <f>IF(H39&lt;1," ",IF(J39&lt;1," ",(J39-H39)/H39))</f>
        <v xml:space="preserve"> </v>
      </c>
    </row>
    <row r="40" spans="1:12" ht="16.5" thickTop="1">
      <c r="A40" s="68"/>
      <c r="B40" s="1"/>
      <c r="C40" s="343"/>
      <c r="D40" s="344"/>
      <c r="E40" s="84"/>
      <c r="F40" s="1726"/>
      <c r="G40" s="1726"/>
      <c r="H40" s="1726"/>
      <c r="I40" s="1726"/>
      <c r="J40" s="1726"/>
      <c r="K40" s="1727"/>
    </row>
    <row r="41" spans="1:12" ht="15.75">
      <c r="A41" s="306" t="s">
        <v>29</v>
      </c>
      <c r="B41" s="1"/>
      <c r="C41" s="155"/>
      <c r="D41" s="345"/>
      <c r="E41" s="83"/>
      <c r="F41" s="1728"/>
      <c r="G41" s="1728"/>
      <c r="H41" s="1728"/>
      <c r="I41" s="1728"/>
      <c r="J41" s="1728"/>
      <c r="K41" s="1729"/>
    </row>
    <row r="42" spans="1:12" ht="15.75">
      <c r="A42" s="68"/>
      <c r="B42" s="147" t="s">
        <v>127</v>
      </c>
      <c r="C42" s="141"/>
      <c r="D42" s="310">
        <v>8900</v>
      </c>
      <c r="E42" s="758">
        <v>62213</v>
      </c>
      <c r="F42" s="758"/>
      <c r="G42" s="31" t="str">
        <f>IF(E42&lt;1," ",IF(F42&lt;1," ",(F42-E42)/E42))</f>
        <v xml:space="preserve"> </v>
      </c>
      <c r="H42" s="758">
        <v>407355</v>
      </c>
      <c r="I42" s="31" t="str">
        <f>IF(F42&lt;1," ",IF(H42&lt;1," ",(H42-F42)/F42))</f>
        <v xml:space="preserve"> </v>
      </c>
      <c r="J42" s="758">
        <v>515298</v>
      </c>
      <c r="K42" s="311">
        <f>IF(H42&lt;1," ",IF(J42&lt;1," ",(J42-H42)/H42))</f>
        <v>0.26498508671797327</v>
      </c>
      <c r="L42" s="1223"/>
    </row>
    <row r="43" spans="1:12" ht="16.5" thickBot="1">
      <c r="A43" s="68"/>
      <c r="B43" s="899" t="s">
        <v>30</v>
      </c>
      <c r="C43" s="153"/>
      <c r="D43" s="928">
        <v>7600</v>
      </c>
      <c r="E43" s="759"/>
      <c r="F43" s="759"/>
      <c r="G43" s="96" t="str">
        <f>IF(E43&lt;1," ",IF(F43&lt;1," ",(F43-E43)/E43))</f>
        <v xml:space="preserve"> </v>
      </c>
      <c r="H43" s="759"/>
      <c r="I43" s="96" t="str">
        <f>IF(F43&lt;1," ",IF(H43&lt;1," ",(H43-F43)/F43))</f>
        <v xml:space="preserve"> </v>
      </c>
      <c r="J43" s="759"/>
      <c r="K43" s="312" t="str">
        <f>IF(H43&lt;1," ",IF(J43&lt;1," ",(J43-H43)/H43))</f>
        <v xml:space="preserve"> </v>
      </c>
    </row>
    <row r="44" spans="1:12" ht="17.25" thickTop="1" thickBot="1">
      <c r="A44" s="68"/>
      <c r="B44" s="1776" t="s">
        <v>31</v>
      </c>
      <c r="C44" s="1777"/>
      <c r="D44" s="1777"/>
      <c r="E44" s="900">
        <f>E42-E43</f>
        <v>62213</v>
      </c>
      <c r="F44" s="900">
        <f>F42-F43</f>
        <v>0</v>
      </c>
      <c r="G44" s="901" t="str">
        <f>IF(E44&lt;1," ",IF(F44&lt;1," ",(F44-E44)/E44))</f>
        <v xml:space="preserve"> </v>
      </c>
      <c r="H44" s="900">
        <f>H42-H43</f>
        <v>407355</v>
      </c>
      <c r="I44" s="901" t="str">
        <f>IF(F44&lt;1," ",IF(H44&lt;1," ",(H44-F44)/F44))</f>
        <v xml:space="preserve"> </v>
      </c>
      <c r="J44" s="900">
        <f>J42-J43</f>
        <v>515298</v>
      </c>
      <c r="K44" s="902">
        <f>IF(H44&lt;1," ",IF(J44&lt;1," ",(J44-H44)/H44))</f>
        <v>0.26498508671797327</v>
      </c>
    </row>
    <row r="45" spans="1:12" ht="17.25" thickTop="1" thickBot="1">
      <c r="A45" s="68"/>
      <c r="B45" s="1"/>
      <c r="C45" s="1"/>
      <c r="D45" s="556"/>
      <c r="E45" s="269"/>
      <c r="F45" s="269"/>
      <c r="G45" s="52"/>
      <c r="H45" s="269"/>
      <c r="I45" s="52"/>
      <c r="J45" s="269"/>
      <c r="K45" s="313"/>
    </row>
    <row r="46" spans="1:12" ht="17.25" thickTop="1" thickBot="1">
      <c r="A46" s="1778" t="s">
        <v>32</v>
      </c>
      <c r="B46" s="1779"/>
      <c r="C46" s="1779"/>
      <c r="D46" s="1779"/>
      <c r="E46" s="917">
        <f>E39+E44</f>
        <v>-0.27511185529874638</v>
      </c>
      <c r="F46" s="917">
        <f>F39+F44</f>
        <v>78151.969000000041</v>
      </c>
      <c r="G46" s="918" t="str">
        <f>IF(E46&lt;1," ",IF(F46&lt;1," ",(F46-E46)/E46))</f>
        <v xml:space="preserve"> </v>
      </c>
      <c r="H46" s="917">
        <f>H39+H44</f>
        <v>-78151.717084999895</v>
      </c>
      <c r="I46" s="918" t="str">
        <f>IF(F46&lt;1," ",IF(H46&lt;1," ",(H46-F46)/F46))</f>
        <v xml:space="preserve"> </v>
      </c>
      <c r="J46" s="917">
        <f>J39+J44</f>
        <v>0.16781702521257102</v>
      </c>
      <c r="K46" s="919" t="str">
        <f>IF(H46&lt;1," ",IF(J46&lt;1," ",(J46-H46)/H46))</f>
        <v xml:space="preserve"> </v>
      </c>
    </row>
    <row r="47" spans="1:12" ht="16.5" thickTop="1">
      <c r="A47" s="306"/>
      <c r="B47" s="1"/>
      <c r="C47" s="343"/>
      <c r="D47" s="344"/>
      <c r="E47" s="269"/>
      <c r="F47" s="1730"/>
      <c r="G47" s="1730"/>
      <c r="H47" s="1730"/>
      <c r="I47" s="1730"/>
      <c r="J47" s="1730"/>
      <c r="K47" s="1731"/>
    </row>
    <row r="48" spans="1:12" ht="15.75">
      <c r="A48" s="306" t="s">
        <v>6</v>
      </c>
      <c r="B48" s="1"/>
      <c r="C48" s="155"/>
      <c r="D48" s="345"/>
      <c r="E48" s="269"/>
      <c r="F48" s="1730"/>
      <c r="G48" s="1730"/>
      <c r="H48" s="1730"/>
      <c r="I48" s="1730"/>
      <c r="J48" s="1730"/>
      <c r="K48" s="1731"/>
    </row>
    <row r="49" spans="1:11" ht="15.75">
      <c r="A49" s="68"/>
      <c r="B49" s="293" t="s">
        <v>162</v>
      </c>
      <c r="C49" s="294"/>
      <c r="D49" s="295">
        <v>9791</v>
      </c>
      <c r="E49" s="760"/>
      <c r="F49" s="713">
        <f>E55</f>
        <v>0</v>
      </c>
      <c r="G49" s="276" t="str">
        <f>IF(E49&lt;1," ",IF(F49&lt;1," ",(F49-E49)/E49))</f>
        <v xml:space="preserve"> </v>
      </c>
      <c r="H49" s="714">
        <f>F55</f>
        <v>78151.97</v>
      </c>
      <c r="I49" s="276" t="str">
        <f>IF(F49&lt;1," ",IF(H49&lt;1," ",(H49-F49)/F49))</f>
        <v xml:space="preserve"> </v>
      </c>
      <c r="J49" s="714">
        <f>H55</f>
        <v>0.25</v>
      </c>
      <c r="K49" s="314" t="str">
        <f>IF(H49&lt;1," ",IF(J49&lt;1," ",(J49-H49)/H49))</f>
        <v xml:space="preserve"> </v>
      </c>
    </row>
    <row r="50" spans="1:11" ht="15.75">
      <c r="A50" s="68"/>
      <c r="B50" s="315" t="s">
        <v>136</v>
      </c>
      <c r="C50" s="316"/>
      <c r="D50" s="317">
        <v>9792</v>
      </c>
      <c r="E50" s="889"/>
      <c r="F50" s="889"/>
      <c r="G50" s="496" t="str">
        <f>IF(E50&lt;1," ",IF(F50&lt;1," ",(F50-E50)/E50))</f>
        <v xml:space="preserve"> </v>
      </c>
      <c r="H50" s="889"/>
      <c r="I50" s="319"/>
      <c r="J50" s="889"/>
      <c r="K50" s="320"/>
    </row>
    <row r="51" spans="1:11" ht="15.75">
      <c r="A51" s="68"/>
      <c r="B51" s="1740" t="s">
        <v>236</v>
      </c>
      <c r="C51" s="1741"/>
      <c r="D51" s="1742"/>
      <c r="E51" s="889"/>
      <c r="F51" s="889"/>
      <c r="G51" s="496"/>
      <c r="H51" s="889"/>
      <c r="I51" s="319"/>
      <c r="J51" s="889"/>
      <c r="K51" s="320"/>
    </row>
    <row r="52" spans="1:11" ht="15.75">
      <c r="A52" s="68"/>
      <c r="B52" s="315" t="s">
        <v>302</v>
      </c>
      <c r="C52" s="316"/>
      <c r="D52" s="317">
        <v>9793</v>
      </c>
      <c r="E52" s="889"/>
      <c r="F52" s="889"/>
      <c r="G52" s="496" t="str">
        <f>IF(E52&lt;1," ",IF(F52&lt;1," ",(F52-E52)/E52))</f>
        <v xml:space="preserve"> </v>
      </c>
      <c r="H52" s="889"/>
      <c r="I52" s="319"/>
      <c r="J52" s="889"/>
      <c r="K52" s="320"/>
    </row>
    <row r="53" spans="1:11" ht="15.75">
      <c r="A53" s="68"/>
      <c r="B53" s="315" t="s">
        <v>301</v>
      </c>
      <c r="C53" s="316"/>
      <c r="D53" s="317">
        <v>9795</v>
      </c>
      <c r="E53" s="998"/>
      <c r="F53" s="890"/>
      <c r="G53" s="321"/>
      <c r="H53" s="890"/>
      <c r="I53" s="322"/>
      <c r="J53" s="890"/>
      <c r="K53" s="323"/>
    </row>
    <row r="54" spans="1:11" ht="16.5" thickBot="1">
      <c r="A54" s="68"/>
      <c r="B54" s="1762" t="s">
        <v>284</v>
      </c>
      <c r="C54" s="1763"/>
      <c r="D54" s="1764"/>
      <c r="E54" s="712">
        <f>E49+E53</f>
        <v>0</v>
      </c>
      <c r="F54" s="890"/>
      <c r="G54" s="321"/>
      <c r="H54" s="890"/>
      <c r="I54" s="322"/>
      <c r="J54" s="890"/>
      <c r="K54" s="323"/>
    </row>
    <row r="55" spans="1:11" ht="17.25" thickTop="1" thickBot="1">
      <c r="A55" s="68"/>
      <c r="B55" s="912" t="s">
        <v>33</v>
      </c>
      <c r="C55" s="913"/>
      <c r="D55" s="914"/>
      <c r="E55" s="900">
        <f>ROUND(E54+E46,0)</f>
        <v>0</v>
      </c>
      <c r="F55" s="900">
        <f>ROUND(F49+F46,2)</f>
        <v>78151.97</v>
      </c>
      <c r="G55" s="901" t="str">
        <f>IF(E55&lt;1," ",IF(F55&lt;1," ",(F55-E55)/E55))</f>
        <v xml:space="preserve"> </v>
      </c>
      <c r="H55" s="900">
        <f>ROUND(H49+H46,2)</f>
        <v>0.25</v>
      </c>
      <c r="I55" s="901" t="str">
        <f>IF(F55&lt;1," ",IF(H55&lt;1," ",(H55-F55)/F55))</f>
        <v xml:space="preserve"> </v>
      </c>
      <c r="J55" s="900">
        <f>ROUND(J49+J46,2)</f>
        <v>0.42</v>
      </c>
      <c r="K55" s="902" t="str">
        <f>IF(H55&lt;1," ",IF(J55&lt;1," ",(J55-H55)/H55))</f>
        <v xml:space="preserve"> </v>
      </c>
    </row>
    <row r="56" spans="1:11" ht="16.5" thickTop="1">
      <c r="A56" s="68"/>
      <c r="B56" s="1"/>
      <c r="C56" s="1"/>
      <c r="D56" s="168"/>
      <c r="E56" s="169"/>
      <c r="F56" s="296"/>
      <c r="G56" s="52"/>
      <c r="H56" s="169"/>
      <c r="I56" s="52"/>
      <c r="J56" s="169"/>
      <c r="K56" s="313"/>
    </row>
    <row r="57" spans="1:11" ht="15.75">
      <c r="A57" s="324" t="s">
        <v>142</v>
      </c>
      <c r="C57" s="99"/>
      <c r="D57" s="557" t="s">
        <v>2</v>
      </c>
      <c r="E57" s="482"/>
      <c r="F57" s="296"/>
      <c r="G57" s="52"/>
      <c r="H57" s="169"/>
      <c r="I57" s="52"/>
      <c r="J57" s="169"/>
      <c r="K57" s="313"/>
    </row>
    <row r="58" spans="1:11" ht="15.75">
      <c r="A58" s="324"/>
      <c r="B58" s="348" t="s">
        <v>7</v>
      </c>
      <c r="C58" s="354" t="s">
        <v>143</v>
      </c>
      <c r="D58" s="355"/>
      <c r="E58" s="356"/>
      <c r="F58" s="1765"/>
      <c r="G58" s="1765"/>
      <c r="H58" s="1765"/>
      <c r="I58" s="1765"/>
      <c r="J58" s="1765"/>
      <c r="K58" s="1766"/>
    </row>
    <row r="59" spans="1:11" ht="15.75">
      <c r="A59" s="68"/>
      <c r="B59" s="502"/>
      <c r="C59" s="503" t="s">
        <v>34</v>
      </c>
      <c r="D59" s="479">
        <v>9711</v>
      </c>
      <c r="E59" s="358"/>
      <c r="F59" s="582"/>
      <c r="G59" s="470"/>
      <c r="H59" s="582"/>
      <c r="I59" s="470"/>
      <c r="J59" s="470"/>
      <c r="K59" s="509"/>
    </row>
    <row r="60" spans="1:11" ht="15.75">
      <c r="A60" s="68"/>
      <c r="B60" s="477"/>
      <c r="C60" s="503" t="s">
        <v>10</v>
      </c>
      <c r="D60" s="479">
        <v>9712</v>
      </c>
      <c r="E60" s="884"/>
      <c r="F60" s="885"/>
      <c r="G60" s="95"/>
      <c r="H60" s="885"/>
      <c r="I60" s="95"/>
      <c r="J60" s="886"/>
      <c r="K60" s="359"/>
    </row>
    <row r="61" spans="1:11" ht="15.75">
      <c r="A61" s="68"/>
      <c r="B61" s="477"/>
      <c r="C61" s="503" t="s">
        <v>11</v>
      </c>
      <c r="D61" s="479">
        <v>9713</v>
      </c>
      <c r="E61" s="318"/>
      <c r="F61" s="630"/>
      <c r="G61" s="496"/>
      <c r="H61" s="630"/>
      <c r="I61" s="496"/>
      <c r="J61" s="329"/>
      <c r="K61" s="509"/>
    </row>
    <row r="62" spans="1:11" ht="15.75">
      <c r="A62" s="68"/>
      <c r="B62" s="477"/>
      <c r="C62" s="503" t="s">
        <v>144</v>
      </c>
      <c r="D62" s="479">
        <v>9719</v>
      </c>
      <c r="E62" s="318"/>
      <c r="F62" s="630"/>
      <c r="G62" s="496"/>
      <c r="H62" s="630"/>
      <c r="I62" s="496"/>
      <c r="J62" s="329"/>
      <c r="K62" s="509"/>
    </row>
    <row r="63" spans="1:11" ht="14.25" customHeight="1">
      <c r="A63" s="68"/>
      <c r="B63" s="348" t="s">
        <v>8</v>
      </c>
      <c r="C63" s="350" t="s">
        <v>145</v>
      </c>
      <c r="D63" s="289">
        <v>9740</v>
      </c>
      <c r="E63" s="764">
        <f>ROUND(IF(E55&lt;0,0,E55),0)</f>
        <v>0</v>
      </c>
      <c r="F63" s="764">
        <f>ROUND(IF(F55&lt;0,0,F55),0)</f>
        <v>78152</v>
      </c>
      <c r="G63" s="31" t="str">
        <f>IF(E63&lt;1," ",IF(F63&lt;1," ",(F63-E63)/E63))</f>
        <v xml:space="preserve"> </v>
      </c>
      <c r="H63" s="764">
        <f>ROUND(IF(H55&lt;0,0,H55),0)</f>
        <v>0</v>
      </c>
      <c r="I63" s="31" t="str">
        <f>IF(F63&lt;1," ",IF(H63&lt;1," ",(H63-F63)/F63))</f>
        <v xml:space="preserve"> </v>
      </c>
      <c r="J63" s="764">
        <f>ROUND(IF(J55&lt;0,0,J55),0)</f>
        <v>0</v>
      </c>
      <c r="K63" s="311" t="str">
        <f>IF(H63&lt;1," ",IF(J63&lt;1," ",(J63-H63)/H63))</f>
        <v xml:space="preserve"> </v>
      </c>
    </row>
    <row r="64" spans="1:11" ht="14.25" customHeight="1">
      <c r="A64" s="326"/>
      <c r="B64" s="477" t="s">
        <v>9</v>
      </c>
      <c r="C64" s="966" t="s">
        <v>349</v>
      </c>
      <c r="D64" s="990"/>
      <c r="E64" s="327"/>
      <c r="F64" s="630"/>
      <c r="G64" s="496"/>
      <c r="H64" s="630"/>
      <c r="I64" s="496"/>
      <c r="J64" s="329"/>
      <c r="K64" s="509"/>
    </row>
    <row r="65" spans="1:11" ht="15.75">
      <c r="A65" s="68"/>
      <c r="B65" s="477"/>
      <c r="C65" s="503" t="s">
        <v>146</v>
      </c>
      <c r="D65" s="506">
        <v>9750</v>
      </c>
      <c r="E65" s="318"/>
      <c r="F65" s="630"/>
      <c r="G65" s="496"/>
      <c r="H65" s="630"/>
      <c r="I65" s="496"/>
      <c r="J65" s="329"/>
      <c r="K65" s="509"/>
    </row>
    <row r="66" spans="1:11" ht="15.75">
      <c r="A66" s="68"/>
      <c r="B66" s="477"/>
      <c r="C66" s="503" t="s">
        <v>147</v>
      </c>
      <c r="D66" s="506">
        <v>9760</v>
      </c>
      <c r="E66" s="318"/>
      <c r="F66" s="630"/>
      <c r="G66" s="496"/>
      <c r="H66" s="630"/>
      <c r="I66" s="496"/>
      <c r="J66" s="329"/>
      <c r="K66" s="509"/>
    </row>
    <row r="67" spans="1:11" ht="15.75">
      <c r="A67" s="68"/>
      <c r="B67" s="477" t="s">
        <v>38</v>
      </c>
      <c r="C67" s="478" t="s">
        <v>148</v>
      </c>
      <c r="D67" s="479">
        <v>9780</v>
      </c>
      <c r="E67" s="318"/>
      <c r="F67" s="630"/>
      <c r="G67" s="496"/>
      <c r="H67" s="630"/>
      <c r="I67" s="496"/>
      <c r="J67" s="329"/>
      <c r="K67" s="509"/>
    </row>
    <row r="68" spans="1:11" ht="15.75">
      <c r="A68" s="68"/>
      <c r="B68" s="477" t="s">
        <v>40</v>
      </c>
      <c r="C68" s="966" t="s">
        <v>352</v>
      </c>
      <c r="D68" s="967"/>
      <c r="E68" s="318"/>
      <c r="F68" s="630"/>
      <c r="G68" s="496"/>
      <c r="H68" s="630"/>
      <c r="I68" s="496"/>
      <c r="J68" s="329"/>
      <c r="K68" s="509"/>
    </row>
    <row r="69" spans="1:11" ht="15.75">
      <c r="A69" s="68"/>
      <c r="B69" s="477"/>
      <c r="C69" s="503" t="s">
        <v>350</v>
      </c>
      <c r="D69" s="506">
        <v>9789</v>
      </c>
      <c r="E69" s="360"/>
      <c r="F69" s="618"/>
      <c r="G69" s="624"/>
      <c r="H69" s="618"/>
      <c r="I69" s="624"/>
      <c r="J69" s="473"/>
      <c r="K69" s="361"/>
    </row>
    <row r="70" spans="1:11" ht="16.5" thickBot="1">
      <c r="A70" s="68"/>
      <c r="B70" s="1095"/>
      <c r="C70" s="1096" t="s">
        <v>351</v>
      </c>
      <c r="D70" s="1097">
        <v>9790</v>
      </c>
      <c r="E70" s="831"/>
      <c r="F70" s="831"/>
      <c r="G70" s="496"/>
      <c r="H70" s="831"/>
      <c r="I70" s="496"/>
      <c r="J70" s="831"/>
      <c r="K70" s="509"/>
    </row>
    <row r="71" spans="1:11" ht="17.25" thickTop="1" thickBot="1">
      <c r="A71" s="68"/>
      <c r="B71" s="1098"/>
      <c r="C71" s="1099"/>
      <c r="D71" s="936"/>
      <c r="E71" s="908"/>
      <c r="F71" s="937"/>
      <c r="G71" s="908"/>
      <c r="H71" s="937"/>
      <c r="I71" s="908"/>
      <c r="J71" s="908"/>
      <c r="K71" s="909"/>
    </row>
    <row r="72" spans="1:11" ht="16.5" thickTop="1">
      <c r="A72" s="68"/>
      <c r="B72" s="1249"/>
      <c r="C72" s="1249"/>
      <c r="D72" s="887"/>
      <c r="E72" s="1222"/>
      <c r="F72" s="1250"/>
      <c r="G72" s="1222"/>
      <c r="H72" s="1250"/>
      <c r="I72" s="1222"/>
      <c r="J72" s="1222"/>
      <c r="K72" s="1251"/>
    </row>
    <row r="73" spans="1:11" ht="15.75">
      <c r="A73" s="68"/>
      <c r="B73" s="1249" t="s">
        <v>471</v>
      </c>
      <c r="C73" s="1249"/>
      <c r="D73" s="887"/>
      <c r="E73" s="1222"/>
      <c r="F73" s="1250"/>
      <c r="G73" s="1222"/>
      <c r="H73" s="1250"/>
      <c r="I73" s="1222"/>
      <c r="J73" s="1222"/>
      <c r="K73" s="1251"/>
    </row>
    <row r="74" spans="1:11" ht="15.75">
      <c r="A74" s="68"/>
      <c r="B74" s="291">
        <v>1</v>
      </c>
      <c r="C74" s="1719" t="s">
        <v>472</v>
      </c>
      <c r="D74" s="1768"/>
      <c r="E74" s="758"/>
      <c r="F74" s="758"/>
      <c r="G74" s="31" t="str">
        <f>IF(E74&lt;1," ",IF(F74&lt;1," ",(F74-E74)/E74))</f>
        <v xml:space="preserve"> </v>
      </c>
      <c r="H74" s="758"/>
      <c r="I74" s="31" t="str">
        <f>IF(F74&lt;1," ",IF(H74&lt;1," ",(H74-F74)/F74))</f>
        <v xml:space="preserve"> </v>
      </c>
      <c r="J74" s="758"/>
      <c r="K74" s="311" t="str">
        <f>IF(H74&lt;1," ",IF(J74&lt;1," ",(J74-H74)/H74))</f>
        <v xml:space="preserve"> </v>
      </c>
    </row>
    <row r="75" spans="1:11" ht="15.75">
      <c r="A75" s="68"/>
      <c r="B75" s="291">
        <v>2</v>
      </c>
      <c r="C75" s="1719"/>
      <c r="D75" s="1768"/>
      <c r="E75" s="758"/>
      <c r="F75" s="758"/>
      <c r="G75" s="31"/>
      <c r="H75" s="758"/>
      <c r="I75" s="31"/>
      <c r="J75" s="758"/>
      <c r="K75" s="311"/>
    </row>
    <row r="76" spans="1:11" ht="15.75">
      <c r="A76" s="68"/>
      <c r="B76" s="291">
        <v>3</v>
      </c>
      <c r="C76" s="1719"/>
      <c r="D76" s="1768"/>
      <c r="E76" s="758"/>
      <c r="F76" s="758"/>
      <c r="G76" s="31"/>
      <c r="H76" s="758"/>
      <c r="I76" s="31"/>
      <c r="J76" s="758"/>
      <c r="K76" s="311"/>
    </row>
    <row r="77" spans="1:11" ht="15.75">
      <c r="A77" s="68"/>
      <c r="B77" s="291">
        <v>4</v>
      </c>
      <c r="C77" s="1719"/>
      <c r="D77" s="1768"/>
      <c r="E77" s="758"/>
      <c r="F77" s="758"/>
      <c r="G77" s="31"/>
      <c r="H77" s="758"/>
      <c r="I77" s="31"/>
      <c r="J77" s="758"/>
      <c r="K77" s="311"/>
    </row>
    <row r="78" spans="1:11" ht="15.75">
      <c r="A78" s="68"/>
      <c r="B78" s="291">
        <v>5</v>
      </c>
      <c r="C78" s="1717"/>
      <c r="D78" s="1767"/>
      <c r="E78" s="758"/>
      <c r="F78" s="758"/>
      <c r="G78" s="31" t="str">
        <f>IF(E78&lt;1," ",IF(F78&lt;1," ",(F78-E78)/E78))</f>
        <v xml:space="preserve"> </v>
      </c>
      <c r="H78" s="758"/>
      <c r="I78" s="31" t="str">
        <f>IF(F78&lt;1," ",IF(H78&lt;1," ",(H78-F78)/F78))</f>
        <v xml:space="preserve"> </v>
      </c>
      <c r="J78" s="758"/>
      <c r="K78" s="311" t="str">
        <f>IF(H78&lt;1," ",IF(J78&lt;1," ",(J78-H78)/H78))</f>
        <v xml:space="preserve"> </v>
      </c>
    </row>
    <row r="79" spans="1:11" ht="15.75">
      <c r="A79" s="68"/>
      <c r="B79" s="291">
        <v>6</v>
      </c>
      <c r="C79" s="1595"/>
      <c r="D79" s="1597"/>
      <c r="E79" s="758"/>
      <c r="F79" s="758"/>
      <c r="G79" s="31"/>
      <c r="H79" s="758"/>
      <c r="I79" s="31"/>
      <c r="J79" s="758"/>
      <c r="K79" s="311"/>
    </row>
    <row r="80" spans="1:11" ht="15.75">
      <c r="A80" s="68"/>
      <c r="B80" s="291">
        <v>7</v>
      </c>
      <c r="C80" s="1595"/>
      <c r="D80" s="1597"/>
      <c r="E80" s="758"/>
      <c r="F80" s="758"/>
      <c r="G80" s="31"/>
      <c r="H80" s="758"/>
      <c r="I80" s="31"/>
      <c r="J80" s="758"/>
      <c r="K80" s="311"/>
    </row>
    <row r="81" spans="1:11" ht="15.75">
      <c r="A81" s="68"/>
      <c r="B81" s="291">
        <v>8</v>
      </c>
      <c r="C81" s="1595"/>
      <c r="D81" s="1597"/>
      <c r="E81" s="758"/>
      <c r="F81" s="758"/>
      <c r="G81" s="31"/>
      <c r="H81" s="758"/>
      <c r="I81" s="31"/>
      <c r="J81" s="758"/>
      <c r="K81" s="311"/>
    </row>
    <row r="82" spans="1:11" ht="15.75">
      <c r="A82" s="68"/>
      <c r="B82" s="291">
        <v>9</v>
      </c>
      <c r="C82" s="1595"/>
      <c r="D82" s="1597"/>
      <c r="E82" s="758"/>
      <c r="F82" s="758"/>
      <c r="G82" s="31"/>
      <c r="H82" s="758"/>
      <c r="I82" s="31"/>
      <c r="J82" s="758"/>
      <c r="K82" s="311"/>
    </row>
    <row r="83" spans="1:11" ht="15.75">
      <c r="A83" s="68"/>
      <c r="B83" s="291">
        <v>10</v>
      </c>
      <c r="C83" s="1595"/>
      <c r="D83" s="1597"/>
      <c r="E83" s="758"/>
      <c r="F83" s="758"/>
      <c r="G83" s="31"/>
      <c r="H83" s="758"/>
      <c r="I83" s="31"/>
      <c r="J83" s="758"/>
      <c r="K83" s="311"/>
    </row>
    <row r="84" spans="1:11" ht="15.75">
      <c r="A84" s="68"/>
      <c r="B84" s="291">
        <v>11</v>
      </c>
      <c r="C84" s="1717"/>
      <c r="D84" s="1767"/>
      <c r="E84" s="758"/>
      <c r="F84" s="758"/>
      <c r="G84" s="31" t="str">
        <f>IF(E84&lt;1," ",IF(F84&lt;1," ",(F84-E84)/E84))</f>
        <v xml:space="preserve"> </v>
      </c>
      <c r="H84" s="758"/>
      <c r="I84" s="31" t="str">
        <f>IF(F84&lt;1," ",IF(H84&lt;1," ",(H84-F84)/F84))</f>
        <v xml:space="preserve"> </v>
      </c>
      <c r="J84" s="758"/>
      <c r="K84" s="311" t="str">
        <f>IF(H84&lt;1," ",IF(J84&lt;1," ",(J84-H84)/H84))</f>
        <v xml:space="preserve"> </v>
      </c>
    </row>
    <row r="85" spans="1:11" ht="15.75">
      <c r="A85" s="68"/>
      <c r="B85" s="291">
        <v>12</v>
      </c>
      <c r="C85" s="1717"/>
      <c r="D85" s="1767"/>
      <c r="E85" s="758"/>
      <c r="F85" s="758"/>
      <c r="G85" s="31" t="str">
        <f>IF(E85&lt;1," ",IF(F85&lt;1," ",(F85-E85)/E85))</f>
        <v xml:space="preserve"> </v>
      </c>
      <c r="H85" s="758"/>
      <c r="I85" s="31" t="str">
        <f>IF(F85&lt;1," ",IF(H85&lt;1," ",(H85-F85)/F85))</f>
        <v xml:space="preserve"> </v>
      </c>
      <c r="J85" s="758"/>
      <c r="K85" s="311" t="str">
        <f>IF(H85&lt;1," ",IF(J85&lt;1," ",(J85-H85)/H85))</f>
        <v xml:space="preserve"> </v>
      </c>
    </row>
    <row r="86" spans="1:11" ht="15.75">
      <c r="A86" s="68"/>
      <c r="B86" s="291">
        <v>13</v>
      </c>
      <c r="C86" s="1717"/>
      <c r="D86" s="1767"/>
      <c r="E86" s="758"/>
      <c r="F86" s="758"/>
      <c r="G86" s="31"/>
      <c r="H86" s="758"/>
      <c r="I86" s="31"/>
      <c r="J86" s="758"/>
      <c r="K86" s="311"/>
    </row>
    <row r="87" spans="1:11" ht="15.75">
      <c r="A87" s="68"/>
      <c r="B87" s="291">
        <v>14</v>
      </c>
      <c r="C87" s="1717"/>
      <c r="D87" s="1767"/>
      <c r="E87" s="758"/>
      <c r="F87" s="758"/>
      <c r="G87" s="31" t="str">
        <f>IF(E87&lt;1," ",IF(F87&lt;1," ",(F87-E87)/E87))</f>
        <v xml:space="preserve"> </v>
      </c>
      <c r="H87" s="758"/>
      <c r="I87" s="31" t="str">
        <f>IF(F87&lt;1," ",IF(H87&lt;1," ",(H87-F87)/F87))</f>
        <v xml:space="preserve"> </v>
      </c>
      <c r="J87" s="758"/>
      <c r="K87" s="311" t="str">
        <f>IF(H87&lt;1," ",IF(J87&lt;1," ",(J87-H87)/H87))</f>
        <v xml:space="preserve"> </v>
      </c>
    </row>
    <row r="88" spans="1:11" ht="15.75">
      <c r="A88" s="68"/>
      <c r="B88" s="291">
        <v>15</v>
      </c>
      <c r="C88" s="1720"/>
      <c r="D88" s="1780"/>
      <c r="E88" s="758"/>
      <c r="F88" s="758"/>
      <c r="G88" s="31" t="str">
        <f>IF(E88&lt;1," ",IF(F88&lt;1," ",(F88-E88)/E88))</f>
        <v xml:space="preserve"> </v>
      </c>
      <c r="H88" s="758"/>
      <c r="I88" s="31" t="str">
        <f>IF(F88&lt;1," ",IF(H88&lt;1," ",(H88-F88)/F88))</f>
        <v xml:space="preserve"> </v>
      </c>
      <c r="J88" s="758"/>
      <c r="K88" s="311" t="str">
        <f>IF(H88&lt;1," ",IF(J88&lt;1," ",(J88-H88)/H88))</f>
        <v xml:space="preserve"> </v>
      </c>
    </row>
    <row r="89" spans="1:11" ht="51" customHeight="1" thickBot="1">
      <c r="A89" s="68"/>
      <c r="E89" s="1315">
        <f>IF(SUM(E74:E88)=E63,SUM(E74:E88),"Total must equal amount in Cell E63 above")</f>
        <v>0</v>
      </c>
      <c r="F89" s="1315" t="str">
        <f>IF(SUM(F74:F88)=F63,SUM(F74:F88),"Total must equal amount in Cell E63 above")</f>
        <v>Total must equal amount in Cell E63 above</v>
      </c>
      <c r="G89" s="1316"/>
      <c r="H89" s="1315">
        <f>IF(SUM(H74:H88)=H63,SUM(H74:H88),"Total must equal amount in Cell E63 above")</f>
        <v>0</v>
      </c>
      <c r="I89" s="1316"/>
      <c r="J89" s="1315">
        <f>IF(SUM(J74:J88)=J63,SUM(J74:J88),"Total must equal amount in Cell E63 above")</f>
        <v>0</v>
      </c>
      <c r="K89" s="1317"/>
    </row>
    <row r="90" spans="1:11" ht="7.5" customHeight="1" thickTop="1">
      <c r="A90" s="68"/>
      <c r="B90" s="1318"/>
      <c r="C90" s="1318"/>
      <c r="D90" s="887"/>
      <c r="E90" s="887"/>
      <c r="F90" s="1319"/>
      <c r="G90" s="1319"/>
      <c r="H90" s="1319"/>
      <c r="I90" s="1319"/>
      <c r="J90" s="1319"/>
      <c r="K90" s="1320"/>
    </row>
    <row r="91" spans="1:11" ht="15.75">
      <c r="A91" s="332" t="s">
        <v>335</v>
      </c>
      <c r="B91" s="225"/>
      <c r="C91" s="225"/>
      <c r="D91" s="225"/>
      <c r="E91" s="225"/>
      <c r="F91" s="1705"/>
      <c r="G91" s="1705"/>
      <c r="H91" s="1705"/>
      <c r="I91" s="1705"/>
      <c r="J91" s="1705"/>
      <c r="K91" s="1706"/>
    </row>
    <row r="92" spans="1:11" ht="15.75">
      <c r="A92" s="332"/>
      <c r="B92" s="225"/>
      <c r="C92" s="1" t="s">
        <v>323</v>
      </c>
      <c r="D92" s="225"/>
      <c r="E92" s="225"/>
      <c r="F92" s="1705"/>
      <c r="G92" s="1705"/>
      <c r="H92" s="1705"/>
      <c r="I92" s="1705"/>
      <c r="J92" s="1705"/>
      <c r="K92" s="1706"/>
    </row>
    <row r="93" spans="1:11" ht="15.75">
      <c r="A93" s="284"/>
      <c r="B93" s="291">
        <v>1</v>
      </c>
      <c r="C93" s="1719" t="s">
        <v>246</v>
      </c>
      <c r="D93" s="1770"/>
      <c r="E93" s="715"/>
      <c r="F93" s="716"/>
      <c r="G93" s="31" t="str">
        <f t="shared" ref="G93:G113" si="3">IF(E93&lt;1," ",IF(F93&lt;1," ",(F93-E93)/E93))</f>
        <v xml:space="preserve"> </v>
      </c>
      <c r="H93" s="720"/>
      <c r="I93" s="31" t="str">
        <f t="shared" ref="I93:I113" si="4">IF(F93&lt;1," ",IF(H93&lt;1," ",(H93-F93)/F93))</f>
        <v xml:space="preserve"> </v>
      </c>
      <c r="J93" s="723"/>
      <c r="K93" s="311" t="str">
        <f t="shared" ref="K93:K113" si="5">IF(H93&lt;1," ",IF(J93&lt;1," ",(J93-H93)/H93))</f>
        <v xml:space="preserve"> </v>
      </c>
    </row>
    <row r="94" spans="1:11" ht="15.75">
      <c r="A94" s="284"/>
      <c r="B94" s="291">
        <v>2</v>
      </c>
      <c r="C94" s="1717" t="s">
        <v>531</v>
      </c>
      <c r="D94" s="1718"/>
      <c r="E94" s="710">
        <v>59431</v>
      </c>
      <c r="F94" s="716">
        <f>594306-E94</f>
        <v>534875</v>
      </c>
      <c r="G94" s="31">
        <f t="shared" si="3"/>
        <v>7.9999326950581349</v>
      </c>
      <c r="H94" s="720"/>
      <c r="I94" s="31" t="str">
        <f t="shared" si="4"/>
        <v xml:space="preserve"> </v>
      </c>
      <c r="J94" s="723"/>
      <c r="K94" s="311" t="str">
        <f t="shared" si="5"/>
        <v xml:space="preserve"> </v>
      </c>
    </row>
    <row r="95" spans="1:11" ht="15.75">
      <c r="A95" s="284"/>
      <c r="B95" s="291">
        <v>3</v>
      </c>
      <c r="C95" s="1717"/>
      <c r="D95" s="1718"/>
      <c r="E95" s="710"/>
      <c r="F95" s="716"/>
      <c r="G95" s="31" t="str">
        <f t="shared" si="3"/>
        <v xml:space="preserve"> </v>
      </c>
      <c r="H95" s="720"/>
      <c r="I95" s="31" t="str">
        <f t="shared" si="4"/>
        <v xml:space="preserve"> </v>
      </c>
      <c r="J95" s="723"/>
      <c r="K95" s="311" t="str">
        <f t="shared" si="5"/>
        <v xml:space="preserve"> </v>
      </c>
    </row>
    <row r="96" spans="1:11" ht="15.75">
      <c r="A96" s="284"/>
      <c r="B96" s="291">
        <v>4</v>
      </c>
      <c r="C96" s="1717"/>
      <c r="D96" s="1718"/>
      <c r="E96" s="710"/>
      <c r="F96" s="716"/>
      <c r="G96" s="31"/>
      <c r="H96" s="720"/>
      <c r="I96" s="31"/>
      <c r="J96" s="723"/>
      <c r="K96" s="311"/>
    </row>
    <row r="97" spans="1:11" ht="15.75">
      <c r="A97" s="284"/>
      <c r="B97" s="291">
        <v>5</v>
      </c>
      <c r="C97" s="1717"/>
      <c r="D97" s="1718"/>
      <c r="E97" s="710"/>
      <c r="F97" s="716"/>
      <c r="G97" s="31"/>
      <c r="H97" s="720"/>
      <c r="I97" s="31"/>
      <c r="J97" s="723"/>
      <c r="K97" s="311"/>
    </row>
    <row r="98" spans="1:11" ht="15.75">
      <c r="A98" s="284"/>
      <c r="B98" s="291">
        <v>6</v>
      </c>
      <c r="C98" s="1717"/>
      <c r="D98" s="1718"/>
      <c r="E98" s="710"/>
      <c r="F98" s="716"/>
      <c r="G98" s="31"/>
      <c r="H98" s="720"/>
      <c r="I98" s="31"/>
      <c r="J98" s="723"/>
      <c r="K98" s="311"/>
    </row>
    <row r="99" spans="1:11" ht="15.75">
      <c r="A99" s="284"/>
      <c r="B99" s="291">
        <v>7</v>
      </c>
      <c r="C99" s="1717"/>
      <c r="D99" s="1718"/>
      <c r="E99" s="710"/>
      <c r="F99" s="716"/>
      <c r="G99" s="31"/>
      <c r="H99" s="720"/>
      <c r="I99" s="31"/>
      <c r="J99" s="723"/>
      <c r="K99" s="311"/>
    </row>
    <row r="100" spans="1:11" ht="15.75">
      <c r="A100" s="284"/>
      <c r="B100" s="291">
        <v>8</v>
      </c>
      <c r="C100" s="1717"/>
      <c r="D100" s="1718"/>
      <c r="E100" s="710"/>
      <c r="F100" s="716"/>
      <c r="G100" s="31"/>
      <c r="H100" s="720"/>
      <c r="I100" s="31"/>
      <c r="J100" s="723"/>
      <c r="K100" s="311"/>
    </row>
    <row r="101" spans="1:11" ht="15.75">
      <c r="A101" s="284"/>
      <c r="B101" s="291">
        <v>9</v>
      </c>
      <c r="C101" s="1717"/>
      <c r="D101" s="1718"/>
      <c r="E101" s="710"/>
      <c r="F101" s="716"/>
      <c r="G101" s="31"/>
      <c r="H101" s="720"/>
      <c r="I101" s="31"/>
      <c r="J101" s="723"/>
      <c r="K101" s="311"/>
    </row>
    <row r="102" spans="1:11" ht="15.75">
      <c r="A102" s="284"/>
      <c r="B102" s="291">
        <v>10</v>
      </c>
      <c r="C102" s="1717"/>
      <c r="D102" s="1718"/>
      <c r="E102" s="710"/>
      <c r="F102" s="716"/>
      <c r="G102" s="31"/>
      <c r="H102" s="720"/>
      <c r="I102" s="31"/>
      <c r="J102" s="723"/>
      <c r="K102" s="311"/>
    </row>
    <row r="103" spans="1:11" ht="15.75">
      <c r="A103" s="284"/>
      <c r="B103" s="291">
        <v>11</v>
      </c>
      <c r="C103" s="1717"/>
      <c r="D103" s="1718"/>
      <c r="E103" s="710"/>
      <c r="F103" s="716"/>
      <c r="G103" s="31"/>
      <c r="H103" s="720"/>
      <c r="I103" s="31"/>
      <c r="J103" s="723"/>
      <c r="K103" s="311"/>
    </row>
    <row r="104" spans="1:11" ht="15.75">
      <c r="A104" s="284"/>
      <c r="B104" s="291">
        <v>12</v>
      </c>
      <c r="C104" s="1717"/>
      <c r="D104" s="1718"/>
      <c r="E104" s="710"/>
      <c r="F104" s="716"/>
      <c r="G104" s="31"/>
      <c r="H104" s="720"/>
      <c r="I104" s="31"/>
      <c r="J104" s="723"/>
      <c r="K104" s="311"/>
    </row>
    <row r="105" spans="1:11" ht="15.75">
      <c r="A105" s="284"/>
      <c r="B105" s="291">
        <v>13</v>
      </c>
      <c r="C105" s="1717"/>
      <c r="D105" s="1718"/>
      <c r="E105" s="710"/>
      <c r="F105" s="716"/>
      <c r="G105" s="31"/>
      <c r="H105" s="720"/>
      <c r="I105" s="31"/>
      <c r="J105" s="723"/>
      <c r="K105" s="311"/>
    </row>
    <row r="106" spans="1:11" ht="15.75">
      <c r="A106" s="284"/>
      <c r="B106" s="291">
        <v>14</v>
      </c>
      <c r="C106" s="1717"/>
      <c r="D106" s="1718"/>
      <c r="E106" s="710"/>
      <c r="F106" s="716"/>
      <c r="G106" s="31"/>
      <c r="H106" s="720"/>
      <c r="I106" s="31"/>
      <c r="J106" s="723"/>
      <c r="K106" s="311"/>
    </row>
    <row r="107" spans="1:11" ht="15.75">
      <c r="A107" s="284"/>
      <c r="B107" s="291">
        <v>15</v>
      </c>
      <c r="C107" s="1717"/>
      <c r="D107" s="1718"/>
      <c r="E107" s="710"/>
      <c r="F107" s="716"/>
      <c r="G107" s="31" t="str">
        <f t="shared" si="3"/>
        <v xml:space="preserve"> </v>
      </c>
      <c r="H107" s="720">
        <v>0</v>
      </c>
      <c r="I107" s="31" t="str">
        <f t="shared" si="4"/>
        <v xml:space="preserve"> </v>
      </c>
      <c r="J107" s="723">
        <v>0</v>
      </c>
      <c r="K107" s="311" t="str">
        <f t="shared" si="5"/>
        <v xml:space="preserve"> </v>
      </c>
    </row>
    <row r="108" spans="1:11" ht="15.75">
      <c r="A108" s="284"/>
      <c r="B108" s="291">
        <v>16</v>
      </c>
      <c r="C108" s="1717"/>
      <c r="D108" s="1718"/>
      <c r="E108" s="710"/>
      <c r="F108" s="716"/>
      <c r="G108" s="31" t="str">
        <f t="shared" si="3"/>
        <v xml:space="preserve"> </v>
      </c>
      <c r="H108" s="720"/>
      <c r="I108" s="31" t="str">
        <f t="shared" si="4"/>
        <v xml:space="preserve"> </v>
      </c>
      <c r="J108" s="723"/>
      <c r="K108" s="311" t="str">
        <f t="shared" si="5"/>
        <v xml:space="preserve"> </v>
      </c>
    </row>
    <row r="109" spans="1:11" ht="15.75">
      <c r="A109" s="284"/>
      <c r="B109" s="291">
        <v>17</v>
      </c>
      <c r="C109" s="1720"/>
      <c r="D109" s="1757"/>
      <c r="E109" s="710"/>
      <c r="F109" s="716"/>
      <c r="G109" s="31" t="str">
        <f t="shared" si="3"/>
        <v xml:space="preserve"> </v>
      </c>
      <c r="H109" s="720"/>
      <c r="I109" s="31" t="str">
        <f t="shared" si="4"/>
        <v xml:space="preserve"> </v>
      </c>
      <c r="J109" s="723"/>
      <c r="K109" s="311" t="str">
        <f t="shared" si="5"/>
        <v xml:space="preserve"> </v>
      </c>
    </row>
    <row r="110" spans="1:11" ht="15.75">
      <c r="A110" s="68"/>
      <c r="B110" s="291">
        <v>18</v>
      </c>
      <c r="C110" s="1720"/>
      <c r="D110" s="1757"/>
      <c r="E110" s="710"/>
      <c r="F110" s="716"/>
      <c r="G110" s="31" t="str">
        <f t="shared" si="3"/>
        <v xml:space="preserve"> </v>
      </c>
      <c r="H110" s="720"/>
      <c r="I110" s="31" t="str">
        <f t="shared" si="4"/>
        <v xml:space="preserve"> </v>
      </c>
      <c r="J110" s="723"/>
      <c r="K110" s="311" t="str">
        <f t="shared" si="5"/>
        <v xml:space="preserve"> </v>
      </c>
    </row>
    <row r="111" spans="1:11" ht="15.75">
      <c r="A111" s="68"/>
      <c r="B111" s="291">
        <v>19</v>
      </c>
      <c r="C111" s="1720"/>
      <c r="D111" s="1757"/>
      <c r="E111" s="717"/>
      <c r="F111" s="718"/>
      <c r="G111" s="31" t="str">
        <f t="shared" si="3"/>
        <v xml:space="preserve"> </v>
      </c>
      <c r="H111" s="721"/>
      <c r="I111" s="31" t="str">
        <f t="shared" si="4"/>
        <v xml:space="preserve"> </v>
      </c>
      <c r="J111" s="724"/>
      <c r="K111" s="311" t="str">
        <f t="shared" si="5"/>
        <v xml:space="preserve"> </v>
      </c>
    </row>
    <row r="112" spans="1:11" ht="16.5" thickBot="1">
      <c r="A112" s="68"/>
      <c r="B112" s="291">
        <v>20</v>
      </c>
      <c r="C112" s="1781"/>
      <c r="D112" s="1782"/>
      <c r="E112" s="711"/>
      <c r="F112" s="719"/>
      <c r="G112" s="96" t="str">
        <f t="shared" si="3"/>
        <v xml:space="preserve"> </v>
      </c>
      <c r="H112" s="722"/>
      <c r="I112" s="96" t="str">
        <f t="shared" si="4"/>
        <v xml:space="preserve"> </v>
      </c>
      <c r="J112" s="725"/>
      <c r="K112" s="312" t="str">
        <f t="shared" si="5"/>
        <v xml:space="preserve"> </v>
      </c>
    </row>
    <row r="113" spans="1:11" ht="17.25" thickTop="1" thickBot="1">
      <c r="A113" s="68"/>
      <c r="B113" s="939" t="s">
        <v>2</v>
      </c>
      <c r="C113" s="1708" t="s">
        <v>321</v>
      </c>
      <c r="D113" s="1771"/>
      <c r="E113" s="900">
        <f>SUM(E93:E112)</f>
        <v>59431</v>
      </c>
      <c r="F113" s="900">
        <f>SUM(F93:F112)</f>
        <v>534875</v>
      </c>
      <c r="G113" s="901">
        <f t="shared" si="3"/>
        <v>7.9999326950581349</v>
      </c>
      <c r="H113" s="900">
        <f>SUM(H93:H112)</f>
        <v>0</v>
      </c>
      <c r="I113" s="901" t="str">
        <f t="shared" si="4"/>
        <v xml:space="preserve"> </v>
      </c>
      <c r="J113" s="900">
        <f>SUM(J93:J112)</f>
        <v>0</v>
      </c>
      <c r="K113" s="902" t="str">
        <f t="shared" si="5"/>
        <v xml:space="preserve"> </v>
      </c>
    </row>
    <row r="114" spans="1:11" ht="16.5" thickTop="1">
      <c r="A114" s="68"/>
      <c r="B114" s="1"/>
      <c r="C114" s="1"/>
      <c r="D114" s="1"/>
      <c r="E114" s="1"/>
      <c r="F114" s="1711"/>
      <c r="G114" s="1711"/>
      <c r="H114" s="1711"/>
      <c r="I114" s="1711"/>
      <c r="J114" s="1711"/>
      <c r="K114" s="1712"/>
    </row>
    <row r="115" spans="1:11" ht="15.75">
      <c r="A115" s="68"/>
      <c r="B115" s="147" t="s">
        <v>210</v>
      </c>
      <c r="C115" s="153"/>
      <c r="D115" s="153"/>
      <c r="E115" s="940"/>
      <c r="F115" s="1018">
        <f>'Budget-Assumptions'!G17</f>
        <v>0</v>
      </c>
      <c r="G115" s="470"/>
      <c r="H115" s="1018">
        <f>'Budget-Assumptions'!H17</f>
        <v>0</v>
      </c>
      <c r="I115" s="470"/>
      <c r="J115" s="1018">
        <f>'Budget-Assumptions'!J17</f>
        <v>0</v>
      </c>
      <c r="K115" s="690"/>
    </row>
    <row r="116" spans="1:11" ht="15.75">
      <c r="A116" s="68"/>
      <c r="B116" s="352" t="s">
        <v>211</v>
      </c>
      <c r="C116" s="167"/>
      <c r="D116" s="167"/>
      <c r="E116" s="941"/>
      <c r="F116" s="956">
        <f>(1.04446*'Budget-ADA'!L76)*F115</f>
        <v>0</v>
      </c>
      <c r="G116" s="272" t="str">
        <f>IF(E116&lt;1," ",IF(F116&lt;1," ",(F116-E116)/E116))</f>
        <v xml:space="preserve"> </v>
      </c>
      <c r="H116" s="956">
        <f>(1.04446*'Budget-ADA'!O76)*H115</f>
        <v>0</v>
      </c>
      <c r="I116" s="272" t="str">
        <f>IF(F116&lt;1," ",IF(H116&lt;1," ",(H116-F116)/F116))</f>
        <v xml:space="preserve"> </v>
      </c>
      <c r="J116" s="956">
        <f>(1.04446*'Budget-ADA'!R76)*J115</f>
        <v>0</v>
      </c>
      <c r="K116" s="308" t="str">
        <f>IF(H116&lt;1," ",IF(J116&lt;1," ",(J116-H116)/H116))</f>
        <v xml:space="preserve"> </v>
      </c>
    </row>
    <row r="117" spans="1:11" ht="15.75">
      <c r="A117" s="284"/>
      <c r="B117" s="362"/>
      <c r="C117" s="362"/>
      <c r="D117" s="362"/>
      <c r="E117" s="498"/>
      <c r="F117" s="499"/>
      <c r="G117" s="52"/>
      <c r="H117" s="499"/>
      <c r="I117" s="52"/>
      <c r="J117" s="499"/>
      <c r="K117" s="313"/>
    </row>
    <row r="118" spans="1:11" ht="15.75">
      <c r="A118" s="284"/>
      <c r="B118" s="166"/>
      <c r="C118" s="166" t="s">
        <v>322</v>
      </c>
      <c r="D118" s="166"/>
      <c r="E118" s="166"/>
      <c r="F118" s="1713"/>
      <c r="G118" s="1713"/>
      <c r="H118" s="1713"/>
      <c r="I118" s="1713"/>
      <c r="J118" s="1713"/>
      <c r="K118" s="1714"/>
    </row>
    <row r="119" spans="1:11" ht="15.75">
      <c r="A119" s="284"/>
      <c r="B119" s="291">
        <v>1</v>
      </c>
      <c r="C119" s="1717"/>
      <c r="D119" s="1718"/>
      <c r="E119" s="715"/>
      <c r="F119" s="726"/>
      <c r="G119" s="96" t="str">
        <f t="shared" ref="G119:G137" si="6">IF(E119&lt;1," ",IF(F119&lt;1," ",(F119-E119)/E119))</f>
        <v xml:space="preserve"> </v>
      </c>
      <c r="H119" s="720"/>
      <c r="I119" s="96" t="str">
        <f t="shared" ref="I119:I137" si="7">IF(F119&lt;1," ",IF(H119&lt;1," ",(H119-F119)/F119))</f>
        <v xml:space="preserve"> </v>
      </c>
      <c r="J119" s="723"/>
      <c r="K119" s="312" t="str">
        <f t="shared" ref="K119:K137" si="8">IF(H119&lt;1," ",IF(J119&lt;1," ",(J119-H119)/H119))</f>
        <v xml:space="preserve"> </v>
      </c>
    </row>
    <row r="120" spans="1:11" ht="15.75">
      <c r="A120" s="284"/>
      <c r="B120" s="291">
        <v>2</v>
      </c>
      <c r="C120" s="1717"/>
      <c r="D120" s="1718"/>
      <c r="E120" s="710"/>
      <c r="F120" s="728"/>
      <c r="G120" s="96" t="str">
        <f t="shared" si="6"/>
        <v xml:space="preserve"> </v>
      </c>
      <c r="H120" s="721"/>
      <c r="I120" s="96" t="str">
        <f t="shared" si="7"/>
        <v xml:space="preserve"> </v>
      </c>
      <c r="J120" s="724"/>
      <c r="K120" s="312" t="str">
        <f t="shared" si="8"/>
        <v xml:space="preserve"> </v>
      </c>
    </row>
    <row r="121" spans="1:11" ht="15.75">
      <c r="A121" s="284"/>
      <c r="B121" s="291">
        <v>3</v>
      </c>
      <c r="C121" s="1717"/>
      <c r="D121" s="1718"/>
      <c r="E121" s="710"/>
      <c r="F121" s="718"/>
      <c r="G121" s="96" t="str">
        <f t="shared" si="6"/>
        <v xml:space="preserve"> </v>
      </c>
      <c r="H121" s="721"/>
      <c r="I121" s="96" t="str">
        <f t="shared" si="7"/>
        <v xml:space="preserve"> </v>
      </c>
      <c r="J121" s="724"/>
      <c r="K121" s="312" t="str">
        <f t="shared" si="8"/>
        <v xml:space="preserve"> </v>
      </c>
    </row>
    <row r="122" spans="1:11" ht="15.75">
      <c r="A122" s="284"/>
      <c r="B122" s="291">
        <v>4</v>
      </c>
      <c r="C122" s="1717"/>
      <c r="D122" s="1718"/>
      <c r="E122" s="710"/>
      <c r="F122" s="726"/>
      <c r="G122" s="96" t="str">
        <f t="shared" si="6"/>
        <v xml:space="preserve"> </v>
      </c>
      <c r="H122" s="720"/>
      <c r="I122" s="96" t="str">
        <f t="shared" si="7"/>
        <v xml:space="preserve"> </v>
      </c>
      <c r="J122" s="723"/>
      <c r="K122" s="312" t="str">
        <f t="shared" si="8"/>
        <v xml:space="preserve"> </v>
      </c>
    </row>
    <row r="123" spans="1:11" ht="15.75">
      <c r="A123" s="284"/>
      <c r="B123" s="291">
        <v>5</v>
      </c>
      <c r="C123" s="1717"/>
      <c r="D123" s="1718"/>
      <c r="E123" s="710"/>
      <c r="F123" s="729"/>
      <c r="G123" s="96" t="str">
        <f t="shared" si="6"/>
        <v xml:space="preserve"> </v>
      </c>
      <c r="H123" s="738"/>
      <c r="I123" s="96" t="str">
        <f t="shared" si="7"/>
        <v xml:space="preserve"> </v>
      </c>
      <c r="J123" s="744"/>
      <c r="K123" s="312" t="str">
        <f t="shared" si="8"/>
        <v xml:space="preserve"> </v>
      </c>
    </row>
    <row r="124" spans="1:11" ht="15.75">
      <c r="A124" s="68"/>
      <c r="B124" s="292">
        <v>6</v>
      </c>
      <c r="C124" s="1720"/>
      <c r="D124" s="1757"/>
      <c r="E124" s="710"/>
      <c r="F124" s="730"/>
      <c r="G124" s="31" t="str">
        <f t="shared" si="6"/>
        <v xml:space="preserve"> </v>
      </c>
      <c r="H124" s="739"/>
      <c r="I124" s="31" t="str">
        <f t="shared" si="7"/>
        <v xml:space="preserve"> </v>
      </c>
      <c r="J124" s="745"/>
      <c r="K124" s="311" t="str">
        <f t="shared" si="8"/>
        <v xml:space="preserve"> </v>
      </c>
    </row>
    <row r="125" spans="1:11" ht="15.75">
      <c r="A125" s="285"/>
      <c r="B125" s="292">
        <v>7</v>
      </c>
      <c r="C125" s="1720"/>
      <c r="D125" s="1757"/>
      <c r="E125" s="710"/>
      <c r="F125" s="718"/>
      <c r="G125" s="31" t="str">
        <f t="shared" si="6"/>
        <v xml:space="preserve"> </v>
      </c>
      <c r="H125" s="721"/>
      <c r="I125" s="31" t="str">
        <f t="shared" si="7"/>
        <v xml:space="preserve"> </v>
      </c>
      <c r="J125" s="724"/>
      <c r="K125" s="311" t="str">
        <f t="shared" si="8"/>
        <v xml:space="preserve"> </v>
      </c>
    </row>
    <row r="126" spans="1:11" ht="15.75">
      <c r="A126" s="285"/>
      <c r="B126" s="292">
        <v>8</v>
      </c>
      <c r="C126" s="1720"/>
      <c r="D126" s="1757"/>
      <c r="E126" s="717"/>
      <c r="F126" s="718"/>
      <c r="G126" s="31" t="str">
        <f t="shared" si="6"/>
        <v xml:space="preserve"> </v>
      </c>
      <c r="H126" s="721"/>
      <c r="I126" s="31" t="str">
        <f t="shared" si="7"/>
        <v xml:space="preserve"> </v>
      </c>
      <c r="J126" s="724"/>
      <c r="K126" s="311" t="str">
        <f t="shared" si="8"/>
        <v xml:space="preserve"> </v>
      </c>
    </row>
    <row r="127" spans="1:11" ht="15.75">
      <c r="A127" s="285"/>
      <c r="B127" s="292">
        <v>9</v>
      </c>
      <c r="C127" s="1717"/>
      <c r="D127" s="1718"/>
      <c r="E127" s="711"/>
      <c r="F127" s="718"/>
      <c r="G127" s="31" t="str">
        <f t="shared" si="6"/>
        <v xml:space="preserve"> </v>
      </c>
      <c r="H127" s="721"/>
      <c r="I127" s="31" t="str">
        <f t="shared" si="7"/>
        <v xml:space="preserve"> </v>
      </c>
      <c r="J127" s="724"/>
      <c r="K127" s="311" t="str">
        <f t="shared" si="8"/>
        <v xml:space="preserve"> </v>
      </c>
    </row>
    <row r="128" spans="1:11" ht="15.75">
      <c r="A128" s="285"/>
      <c r="B128" s="147">
        <v>10</v>
      </c>
      <c r="C128" s="1720"/>
      <c r="D128" s="1757"/>
      <c r="E128" s="715"/>
      <c r="F128" s="718"/>
      <c r="G128" s="31" t="str">
        <f t="shared" si="6"/>
        <v xml:space="preserve"> </v>
      </c>
      <c r="H128" s="721"/>
      <c r="I128" s="31" t="str">
        <f t="shared" si="7"/>
        <v xml:space="preserve"> </v>
      </c>
      <c r="J128" s="724"/>
      <c r="K128" s="311" t="str">
        <f t="shared" si="8"/>
        <v xml:space="preserve"> </v>
      </c>
    </row>
    <row r="129" spans="1:11" ht="15.75">
      <c r="A129" s="285"/>
      <c r="B129" s="147">
        <v>11</v>
      </c>
      <c r="C129" s="1720"/>
      <c r="D129" s="1757"/>
      <c r="E129" s="710"/>
      <c r="F129" s="731"/>
      <c r="G129" s="31" t="str">
        <f t="shared" si="6"/>
        <v xml:space="preserve"> </v>
      </c>
      <c r="H129" s="731"/>
      <c r="I129" s="31" t="str">
        <f t="shared" si="7"/>
        <v xml:space="preserve"> </v>
      </c>
      <c r="J129" s="731"/>
      <c r="K129" s="311" t="str">
        <f t="shared" si="8"/>
        <v xml:space="preserve"> </v>
      </c>
    </row>
    <row r="130" spans="1:11" ht="15.75">
      <c r="A130" s="68"/>
      <c r="B130" s="147">
        <v>12</v>
      </c>
      <c r="C130" s="1720"/>
      <c r="D130" s="1757"/>
      <c r="E130" s="710"/>
      <c r="F130" s="732"/>
      <c r="G130" s="31" t="str">
        <f t="shared" si="6"/>
        <v xml:space="preserve"> </v>
      </c>
      <c r="H130" s="732"/>
      <c r="I130" s="31" t="str">
        <f t="shared" si="7"/>
        <v xml:space="preserve"> </v>
      </c>
      <c r="J130" s="732"/>
      <c r="K130" s="311" t="str">
        <f t="shared" si="8"/>
        <v xml:space="preserve"> </v>
      </c>
    </row>
    <row r="131" spans="1:11" ht="15.75">
      <c r="A131" s="68"/>
      <c r="B131" s="147">
        <v>13</v>
      </c>
      <c r="C131" s="1720"/>
      <c r="D131" s="1757"/>
      <c r="E131" s="710"/>
      <c r="F131" s="733"/>
      <c r="G131" s="31" t="str">
        <f t="shared" si="6"/>
        <v xml:space="preserve"> </v>
      </c>
      <c r="H131" s="740"/>
      <c r="I131" s="31" t="str">
        <f t="shared" si="7"/>
        <v xml:space="preserve"> </v>
      </c>
      <c r="J131" s="746"/>
      <c r="K131" s="311" t="str">
        <f t="shared" si="8"/>
        <v xml:space="preserve"> </v>
      </c>
    </row>
    <row r="132" spans="1:11" ht="15.75">
      <c r="A132" s="68"/>
      <c r="B132" s="147">
        <v>14</v>
      </c>
      <c r="C132" s="1720"/>
      <c r="D132" s="1757"/>
      <c r="E132" s="710"/>
      <c r="F132" s="734"/>
      <c r="G132" s="31" t="str">
        <f t="shared" si="6"/>
        <v xml:space="preserve"> </v>
      </c>
      <c r="H132" s="741"/>
      <c r="I132" s="31" t="str">
        <f t="shared" si="7"/>
        <v xml:space="preserve"> </v>
      </c>
      <c r="J132" s="747"/>
      <c r="K132" s="311" t="str">
        <f t="shared" si="8"/>
        <v xml:space="preserve"> </v>
      </c>
    </row>
    <row r="133" spans="1:11" ht="15.75">
      <c r="A133" s="68"/>
      <c r="B133" s="147">
        <v>15</v>
      </c>
      <c r="C133" s="1720"/>
      <c r="D133" s="1757"/>
      <c r="E133" s="710"/>
      <c r="F133" s="733"/>
      <c r="G133" s="31" t="str">
        <f t="shared" si="6"/>
        <v xml:space="preserve"> </v>
      </c>
      <c r="H133" s="740"/>
      <c r="I133" s="31" t="str">
        <f t="shared" si="7"/>
        <v xml:space="preserve"> </v>
      </c>
      <c r="J133" s="746"/>
      <c r="K133" s="311" t="str">
        <f t="shared" si="8"/>
        <v xml:space="preserve"> </v>
      </c>
    </row>
    <row r="134" spans="1:11" ht="15.75">
      <c r="A134" s="68"/>
      <c r="B134" s="147">
        <v>16</v>
      </c>
      <c r="C134" s="1720"/>
      <c r="D134" s="1757"/>
      <c r="E134" s="710"/>
      <c r="F134" s="735"/>
      <c r="G134" s="31" t="str">
        <f t="shared" si="6"/>
        <v xml:space="preserve"> </v>
      </c>
      <c r="H134" s="742"/>
      <c r="I134" s="31" t="str">
        <f t="shared" si="7"/>
        <v xml:space="preserve"> </v>
      </c>
      <c r="J134" s="748"/>
      <c r="K134" s="311" t="str">
        <f t="shared" si="8"/>
        <v xml:space="preserve"> </v>
      </c>
    </row>
    <row r="135" spans="1:11" ht="15.75">
      <c r="A135" s="68"/>
      <c r="B135" s="147">
        <v>17</v>
      </c>
      <c r="C135" s="1720"/>
      <c r="D135" s="1757"/>
      <c r="E135" s="717"/>
      <c r="F135" s="736"/>
      <c r="G135" s="31" t="str">
        <f t="shared" si="6"/>
        <v xml:space="preserve"> </v>
      </c>
      <c r="H135" s="743"/>
      <c r="I135" s="31" t="str">
        <f t="shared" si="7"/>
        <v xml:space="preserve"> </v>
      </c>
      <c r="J135" s="749"/>
      <c r="K135" s="311" t="str">
        <f t="shared" si="8"/>
        <v xml:space="preserve"> </v>
      </c>
    </row>
    <row r="136" spans="1:11" ht="16.5" thickBot="1">
      <c r="A136" s="68"/>
      <c r="B136" s="899">
        <v>18</v>
      </c>
      <c r="C136" s="1758"/>
      <c r="D136" s="1759"/>
      <c r="E136" s="711"/>
      <c r="F136" s="737"/>
      <c r="G136" s="334" t="str">
        <f t="shared" si="6"/>
        <v xml:space="preserve"> </v>
      </c>
      <c r="H136" s="737"/>
      <c r="I136" s="334" t="str">
        <f t="shared" si="7"/>
        <v xml:space="preserve"> </v>
      </c>
      <c r="J136" s="737"/>
      <c r="K136" s="335" t="str">
        <f t="shared" si="8"/>
        <v xml:space="preserve"> </v>
      </c>
    </row>
    <row r="137" spans="1:11" ht="17.25" thickTop="1" thickBot="1">
      <c r="A137" s="68"/>
      <c r="B137" s="903"/>
      <c r="C137" s="1708" t="s">
        <v>320</v>
      </c>
      <c r="D137" s="1771"/>
      <c r="E137" s="900">
        <f>SUM(E119:E136)</f>
        <v>0</v>
      </c>
      <c r="F137" s="900">
        <f>SUM(F119:F136)</f>
        <v>0</v>
      </c>
      <c r="G137" s="901" t="str">
        <f t="shared" si="6"/>
        <v xml:space="preserve"> </v>
      </c>
      <c r="H137" s="900">
        <f>SUM(H119:H136)</f>
        <v>0</v>
      </c>
      <c r="I137" s="901" t="str">
        <f t="shared" si="7"/>
        <v xml:space="preserve"> </v>
      </c>
      <c r="J137" s="900">
        <f>SUM(J119:J136)</f>
        <v>0</v>
      </c>
      <c r="K137" s="902" t="str">
        <f t="shared" si="8"/>
        <v xml:space="preserve"> </v>
      </c>
    </row>
    <row r="138" spans="1:11" ht="16.5" thickTop="1">
      <c r="A138" s="68"/>
      <c r="B138" s="363"/>
      <c r="C138" s="1769"/>
      <c r="D138" s="1769"/>
      <c r="E138" s="364"/>
      <c r="F138" s="364"/>
      <c r="G138" s="227"/>
      <c r="H138" s="364"/>
      <c r="I138" s="227"/>
      <c r="J138" s="364"/>
      <c r="K138" s="1216"/>
    </row>
    <row r="139" spans="1:11" ht="15.75">
      <c r="A139" s="68"/>
      <c r="B139" s="166"/>
      <c r="C139" s="166" t="s">
        <v>334</v>
      </c>
      <c r="D139" s="166"/>
      <c r="E139" s="166"/>
      <c r="F139" s="1711"/>
      <c r="G139" s="1711"/>
      <c r="H139" s="1711"/>
      <c r="I139" s="1711"/>
      <c r="J139" s="1711"/>
      <c r="K139" s="1712"/>
    </row>
    <row r="140" spans="1:11" ht="15.75">
      <c r="A140" s="68"/>
      <c r="B140" s="291">
        <v>1</v>
      </c>
      <c r="C140" s="1717"/>
      <c r="D140" s="1718"/>
      <c r="E140" s="750"/>
      <c r="F140" s="734"/>
      <c r="G140" s="31" t="str">
        <f t="shared" ref="G140:G146" si="9">IF(E140&lt;1," ",IF(F140&lt;1," ",(F140-E140)/E140))</f>
        <v xml:space="preserve"> </v>
      </c>
      <c r="H140" s="734"/>
      <c r="I140" s="31" t="str">
        <f t="shared" ref="I140:I146" si="10">IF(F140&lt;1," ",IF(H140&lt;1," ",(H140-F140)/F140))</f>
        <v xml:space="preserve"> </v>
      </c>
      <c r="J140" s="754"/>
      <c r="K140" s="311" t="str">
        <f t="shared" ref="K140:K146" si="11">IF(H140&lt;1," ",IF(J140&lt;1," ",(J140-H140)/H140))</f>
        <v xml:space="preserve"> </v>
      </c>
    </row>
    <row r="141" spans="1:11" ht="15.75">
      <c r="A141" s="68"/>
      <c r="B141" s="291">
        <v>2</v>
      </c>
      <c r="C141" s="1717"/>
      <c r="D141" s="1718"/>
      <c r="E141" s="751"/>
      <c r="F141" s="752"/>
      <c r="G141" s="80" t="str">
        <f t="shared" si="9"/>
        <v xml:space="preserve"> </v>
      </c>
      <c r="H141" s="752"/>
      <c r="I141" s="80" t="str">
        <f t="shared" si="10"/>
        <v xml:space="preserve"> </v>
      </c>
      <c r="J141" s="752"/>
      <c r="K141" s="336" t="str">
        <f t="shared" si="11"/>
        <v xml:space="preserve"> </v>
      </c>
    </row>
    <row r="142" spans="1:11" ht="15.75">
      <c r="A142" s="68"/>
      <c r="B142" s="291">
        <v>3</v>
      </c>
      <c r="C142" s="1717"/>
      <c r="D142" s="1718"/>
      <c r="E142" s="753"/>
      <c r="F142" s="737"/>
      <c r="G142" s="334" t="str">
        <f t="shared" si="9"/>
        <v xml:space="preserve"> </v>
      </c>
      <c r="H142" s="737"/>
      <c r="I142" s="334" t="str">
        <f t="shared" si="10"/>
        <v xml:space="preserve"> </v>
      </c>
      <c r="J142" s="755"/>
      <c r="K142" s="335" t="str">
        <f t="shared" si="11"/>
        <v xml:space="preserve"> </v>
      </c>
    </row>
    <row r="143" spans="1:11" ht="15.75">
      <c r="A143" s="68"/>
      <c r="B143" s="291">
        <v>4</v>
      </c>
      <c r="C143" s="1717"/>
      <c r="D143" s="1718"/>
      <c r="E143" s="753"/>
      <c r="F143" s="734"/>
      <c r="G143" s="31" t="str">
        <f t="shared" si="9"/>
        <v xml:space="preserve"> </v>
      </c>
      <c r="H143" s="734"/>
      <c r="I143" s="31" t="str">
        <f t="shared" si="10"/>
        <v xml:space="preserve"> </v>
      </c>
      <c r="J143" s="754"/>
      <c r="K143" s="311" t="str">
        <f t="shared" si="11"/>
        <v xml:space="preserve"> </v>
      </c>
    </row>
    <row r="144" spans="1:11" ht="15.75">
      <c r="A144" s="68"/>
      <c r="B144" s="291">
        <v>5</v>
      </c>
      <c r="C144" s="1717"/>
      <c r="D144" s="1718"/>
      <c r="E144" s="753"/>
      <c r="F144" s="734"/>
      <c r="G144" s="31" t="str">
        <f t="shared" si="9"/>
        <v xml:space="preserve"> </v>
      </c>
      <c r="H144" s="734"/>
      <c r="I144" s="31" t="str">
        <f t="shared" si="10"/>
        <v xml:space="preserve"> </v>
      </c>
      <c r="J144" s="754"/>
      <c r="K144" s="311" t="str">
        <f t="shared" si="11"/>
        <v xml:space="preserve"> </v>
      </c>
    </row>
    <row r="145" spans="1:11" ht="16.5" thickBot="1">
      <c r="A145" s="68"/>
      <c r="B145" s="292">
        <v>6</v>
      </c>
      <c r="C145" s="1720"/>
      <c r="D145" s="1757"/>
      <c r="E145" s="753"/>
      <c r="F145" s="737"/>
      <c r="G145" s="96" t="str">
        <f t="shared" si="9"/>
        <v xml:space="preserve"> </v>
      </c>
      <c r="H145" s="737"/>
      <c r="I145" s="96" t="str">
        <f t="shared" si="10"/>
        <v xml:space="preserve"> </v>
      </c>
      <c r="J145" s="755"/>
      <c r="K145" s="312" t="str">
        <f t="shared" si="11"/>
        <v xml:space="preserve"> </v>
      </c>
    </row>
    <row r="146" spans="1:11" ht="17.25" thickTop="1" thickBot="1">
      <c r="A146" s="68"/>
      <c r="B146" s="903"/>
      <c r="C146" s="1708" t="s">
        <v>319</v>
      </c>
      <c r="D146" s="1771"/>
      <c r="E146" s="900">
        <f>SUM(E140:E145)</f>
        <v>0</v>
      </c>
      <c r="F146" s="900">
        <f>SUM(F140:F145)</f>
        <v>0</v>
      </c>
      <c r="G146" s="901" t="str">
        <f t="shared" si="9"/>
        <v xml:space="preserve"> </v>
      </c>
      <c r="H146" s="900">
        <f>SUM(H140:H145)</f>
        <v>0</v>
      </c>
      <c r="I146" s="901" t="str">
        <f t="shared" si="10"/>
        <v xml:space="preserve"> </v>
      </c>
      <c r="J146" s="900">
        <f>SUM(J140:J145)</f>
        <v>0</v>
      </c>
      <c r="K146" s="902" t="str">
        <f t="shared" si="11"/>
        <v xml:space="preserve"> </v>
      </c>
    </row>
    <row r="147" spans="1:11" ht="16.5" thickTop="1">
      <c r="A147" s="287"/>
      <c r="B147" s="1"/>
      <c r="C147" s="1"/>
      <c r="D147" s="1321"/>
      <c r="F147" s="1322"/>
      <c r="G147" s="159"/>
      <c r="H147" s="1322"/>
      <c r="I147" s="159"/>
      <c r="J147" s="1322"/>
      <c r="K147" s="1323"/>
    </row>
    <row r="148" spans="1:11" ht="15.75">
      <c r="A148" s="332" t="s">
        <v>446</v>
      </c>
      <c r="B148" s="1"/>
      <c r="C148" s="1"/>
      <c r="D148" s="1321"/>
      <c r="F148" s="1322"/>
      <c r="G148" s="159"/>
      <c r="H148" s="1322"/>
      <c r="I148" s="159"/>
      <c r="J148" s="1322"/>
      <c r="K148" s="1294"/>
    </row>
    <row r="149" spans="1:11" ht="15.75">
      <c r="A149" s="287"/>
      <c r="B149" s="1772" t="s">
        <v>439</v>
      </c>
      <c r="C149" s="1772"/>
      <c r="D149" s="1772"/>
      <c r="E149" s="1333">
        <v>0.159</v>
      </c>
      <c r="F149" s="1333">
        <v>0.159</v>
      </c>
      <c r="G149" s="1324">
        <f>F149-E149</f>
        <v>0</v>
      </c>
      <c r="H149" s="1333">
        <v>0.159</v>
      </c>
      <c r="I149" s="1324">
        <f>H149-F149</f>
        <v>0</v>
      </c>
      <c r="J149" s="1333">
        <v>0.159</v>
      </c>
      <c r="K149" s="1325">
        <f>J149-H149</f>
        <v>0</v>
      </c>
    </row>
    <row r="150" spans="1:11" ht="15.75">
      <c r="A150" s="287"/>
      <c r="B150" s="1772" t="s">
        <v>465</v>
      </c>
      <c r="C150" s="1772"/>
      <c r="D150" s="1772"/>
      <c r="E150" s="1760" t="s">
        <v>530</v>
      </c>
      <c r="F150" s="1720"/>
      <c r="G150" s="1720"/>
      <c r="H150" s="1720"/>
      <c r="I150" s="1720"/>
      <c r="J150" s="1720"/>
      <c r="K150" s="1761"/>
    </row>
    <row r="151" spans="1:11" ht="15.75">
      <c r="A151" s="287"/>
      <c r="B151" s="1774" t="s">
        <v>441</v>
      </c>
      <c r="C151" s="1682"/>
      <c r="D151" s="1775"/>
      <c r="E151" s="1327">
        <f>E24</f>
        <v>389407</v>
      </c>
      <c r="F151" s="1327">
        <f>F24</f>
        <v>645340</v>
      </c>
      <c r="G151" s="1328">
        <f>IF(E151&lt;1," ",IF(F151&lt;1," ",(F151-E151)/E151))</f>
        <v>0.65723780003954735</v>
      </c>
      <c r="H151" s="1327">
        <f>H24</f>
        <v>645340</v>
      </c>
      <c r="I151" s="1328">
        <f>IF(F151&lt;1," ",IF(H151&lt;1," ",(H151-F151)/F151))</f>
        <v>0</v>
      </c>
      <c r="J151" s="1327">
        <f>J24</f>
        <v>645340</v>
      </c>
      <c r="K151" s="1326">
        <f>IF(H151&lt;1," ",IF(J151&lt;1," ",(J151-H151)/H151))</f>
        <v>0</v>
      </c>
    </row>
    <row r="152" spans="1:11" ht="15.75">
      <c r="A152" s="287"/>
      <c r="B152" s="1772" t="s">
        <v>442</v>
      </c>
      <c r="C152" s="1772"/>
      <c r="D152" s="1772"/>
      <c r="E152" s="1274"/>
      <c r="F152" s="1243"/>
      <c r="G152" s="51" t="str">
        <f>IF(E152&lt;1," ",IF(F152&lt;1," ",(F152-E152)/E152))</f>
        <v xml:space="preserve"> </v>
      </c>
      <c r="H152" s="1243"/>
      <c r="I152" s="51" t="str">
        <f>IF(F152&lt;1," ",IF(H152&lt;1," ",(H152-F152)/F152))</f>
        <v xml:space="preserve"> </v>
      </c>
      <c r="J152" s="1244"/>
      <c r="K152" s="325" t="str">
        <f>IF(H152&lt;1," ",IF(J152&lt;1," ",(J152-H152)/H152))</f>
        <v xml:space="preserve"> </v>
      </c>
    </row>
    <row r="153" spans="1:11" ht="15.75">
      <c r="A153" s="287"/>
      <c r="B153" s="1772" t="s">
        <v>470</v>
      </c>
      <c r="C153" s="1772"/>
      <c r="D153" s="1772"/>
      <c r="E153" s="1275"/>
      <c r="F153" s="734"/>
      <c r="G153" s="1316" t="str">
        <f>IF(E153&lt;1," ",IF(F153&lt;1," ",(F153-E153)/E153))</f>
        <v xml:space="preserve"> </v>
      </c>
      <c r="H153" s="734"/>
      <c r="I153" s="1316" t="str">
        <f>IF(F153&lt;1," ",IF(H153&lt;1," ",(H153-F153)/F153))</f>
        <v xml:space="preserve"> </v>
      </c>
      <c r="J153" s="754"/>
      <c r="K153" s="1317" t="str">
        <f>IF(H153&lt;1," ",IF(J153&lt;1," ",(J153-H153)/H153))</f>
        <v xml:space="preserve"> </v>
      </c>
    </row>
    <row r="154" spans="1:11" ht="16.5" thickBot="1">
      <c r="A154" s="287"/>
      <c r="B154" s="147"/>
      <c r="C154" s="1682" t="s">
        <v>443</v>
      </c>
      <c r="D154" s="1775"/>
      <c r="E154" s="1331">
        <f>SUM(E151:E153)</f>
        <v>389407</v>
      </c>
      <c r="F154" s="1331">
        <f>SUM(F151:F153)</f>
        <v>645340</v>
      </c>
      <c r="G154" s="1376"/>
      <c r="H154" s="1331">
        <f>SUM(H151:H153)</f>
        <v>645340</v>
      </c>
      <c r="I154" s="1376"/>
      <c r="J154" s="1331">
        <f>SUM(J151:J153)</f>
        <v>645340</v>
      </c>
      <c r="K154" s="1377"/>
    </row>
    <row r="155" spans="1:11" ht="17.25" thickTop="1" thickBot="1">
      <c r="A155" s="288"/>
      <c r="B155" s="1773" t="s">
        <v>444</v>
      </c>
      <c r="C155" s="1773"/>
      <c r="D155" s="1773"/>
      <c r="E155" s="1276"/>
      <c r="F155" s="1245"/>
      <c r="G155" s="1374" t="str">
        <f>IF(E155&lt;1," ",IF(F155&lt;1," ",(F155-E155)/E155))</f>
        <v xml:space="preserve"> </v>
      </c>
      <c r="H155" s="1245"/>
      <c r="I155" s="1374" t="str">
        <f>IF(F155&lt;1," ",IF(H155&lt;1," ",(H155-F155)/F155))</f>
        <v xml:space="preserve"> </v>
      </c>
      <c r="J155" s="1246"/>
      <c r="K155" s="1375" t="str">
        <f>IF(H155&lt;1," ",IF(J155&lt;1," ",(J155-H155)/H155))</f>
        <v xml:space="preserve"> </v>
      </c>
    </row>
    <row r="156" spans="1:11" ht="15.75">
      <c r="A156" s="2"/>
      <c r="B156" s="2"/>
      <c r="C156" s="2"/>
      <c r="D156" s="2"/>
      <c r="E156" s="2"/>
      <c r="F156" s="2"/>
      <c r="G156" s="32"/>
      <c r="H156" s="2"/>
      <c r="I156" s="32"/>
      <c r="J156" s="2"/>
      <c r="K156" s="32"/>
    </row>
    <row r="157" spans="1:11" ht="15.75">
      <c r="A157" s="2"/>
      <c r="B157" s="2"/>
      <c r="C157" s="2"/>
      <c r="D157" s="2"/>
      <c r="E157" s="2"/>
      <c r="F157" s="2"/>
      <c r="G157" s="32"/>
      <c r="H157" s="2"/>
      <c r="I157" s="32"/>
      <c r="J157" s="2"/>
      <c r="K157" s="32"/>
    </row>
    <row r="158" spans="1:11" ht="15.75">
      <c r="A158" s="2"/>
      <c r="B158" s="2"/>
      <c r="C158" s="2"/>
      <c r="D158" s="2"/>
      <c r="E158" s="2"/>
      <c r="F158" s="2"/>
      <c r="G158" s="32"/>
      <c r="H158" s="2"/>
      <c r="I158" s="32"/>
      <c r="J158" s="2"/>
      <c r="K158" s="32"/>
    </row>
    <row r="159" spans="1:11" ht="15.75">
      <c r="A159" s="2"/>
      <c r="B159" s="2"/>
      <c r="C159" s="2"/>
      <c r="D159" s="2"/>
      <c r="E159" s="2"/>
      <c r="F159" s="2"/>
      <c r="G159" s="32"/>
      <c r="H159" s="2"/>
      <c r="I159" s="32"/>
      <c r="J159" s="2"/>
      <c r="K159" s="32"/>
    </row>
    <row r="160" spans="1:11" ht="15.75">
      <c r="A160" s="2"/>
      <c r="B160" s="2"/>
      <c r="C160" s="2"/>
      <c r="D160" s="2"/>
      <c r="E160" s="2"/>
      <c r="F160" s="2"/>
      <c r="G160" s="32"/>
      <c r="H160" s="2"/>
      <c r="I160" s="32"/>
      <c r="J160" s="2"/>
      <c r="K160" s="32"/>
    </row>
    <row r="161" spans="1:11" ht="15.75">
      <c r="A161" s="2"/>
      <c r="B161" s="2"/>
      <c r="C161" s="2"/>
      <c r="D161" s="2"/>
      <c r="E161" s="2"/>
      <c r="F161" s="2"/>
      <c r="G161" s="32"/>
      <c r="H161" s="2"/>
      <c r="I161" s="32"/>
      <c r="J161" s="2"/>
      <c r="K161" s="32"/>
    </row>
    <row r="162" spans="1:11" ht="15.75">
      <c r="A162" s="2"/>
      <c r="B162" s="2"/>
      <c r="C162" s="2"/>
      <c r="D162" s="2"/>
      <c r="E162" s="2"/>
      <c r="F162" s="2"/>
      <c r="G162" s="32"/>
      <c r="H162" s="2"/>
      <c r="I162" s="32"/>
      <c r="J162" s="2"/>
      <c r="K162" s="32"/>
    </row>
    <row r="163" spans="1:11" ht="15.75">
      <c r="A163" s="2"/>
      <c r="B163" s="2"/>
      <c r="C163" s="2"/>
      <c r="D163" s="2"/>
      <c r="E163" s="2"/>
      <c r="F163" s="2"/>
      <c r="G163" s="32"/>
      <c r="H163" s="2"/>
      <c r="I163" s="32"/>
      <c r="J163" s="2"/>
      <c r="K163" s="32"/>
    </row>
    <row r="164" spans="1:11" ht="15.75">
      <c r="A164" s="2"/>
      <c r="B164" s="2"/>
      <c r="C164" s="2"/>
      <c r="D164" s="2"/>
      <c r="E164" s="2"/>
      <c r="F164" s="2"/>
      <c r="G164" s="32"/>
      <c r="H164" s="2"/>
      <c r="I164" s="32"/>
      <c r="J164" s="2"/>
      <c r="K164" s="32"/>
    </row>
    <row r="165" spans="1:11" ht="15.75">
      <c r="A165" s="2"/>
      <c r="B165" s="2"/>
      <c r="C165" s="2"/>
      <c r="D165" s="2"/>
      <c r="E165" s="2"/>
      <c r="F165" s="2"/>
      <c r="G165" s="32"/>
      <c r="H165" s="2"/>
      <c r="I165" s="32"/>
      <c r="J165" s="2"/>
      <c r="K165" s="32"/>
    </row>
    <row r="166" spans="1:11" ht="15.75">
      <c r="A166" s="2"/>
      <c r="B166" s="2"/>
      <c r="C166" s="2"/>
      <c r="D166" s="2"/>
      <c r="E166" s="2"/>
      <c r="F166" s="2"/>
      <c r="G166" s="32"/>
      <c r="H166" s="2"/>
      <c r="I166" s="32"/>
      <c r="J166" s="2"/>
      <c r="K166" s="32"/>
    </row>
    <row r="167" spans="1:11" ht="15.75">
      <c r="A167" s="2"/>
      <c r="B167" s="2"/>
      <c r="C167" s="2"/>
      <c r="D167" s="2"/>
      <c r="E167" s="2"/>
      <c r="F167" s="2"/>
      <c r="G167" s="32"/>
      <c r="H167" s="2"/>
      <c r="I167" s="32"/>
      <c r="J167" s="2"/>
      <c r="K167" s="32"/>
    </row>
    <row r="168" spans="1:11" ht="15.75">
      <c r="A168" s="2"/>
      <c r="B168" s="2"/>
      <c r="C168" s="2"/>
      <c r="D168" s="2"/>
      <c r="E168" s="2"/>
      <c r="F168" s="2"/>
      <c r="G168" s="32"/>
      <c r="H168" s="2"/>
      <c r="I168" s="32"/>
      <c r="J168" s="2"/>
      <c r="K168" s="32"/>
    </row>
    <row r="169" spans="1:11" ht="15.75">
      <c r="A169" s="2"/>
      <c r="B169" s="2"/>
      <c r="C169" s="2"/>
      <c r="D169" s="2"/>
      <c r="E169" s="2"/>
      <c r="F169" s="2"/>
      <c r="G169" s="32"/>
      <c r="H169" s="2"/>
      <c r="I169" s="32"/>
      <c r="J169" s="2"/>
      <c r="K169" s="32"/>
    </row>
    <row r="170" spans="1:11" ht="15.75">
      <c r="A170" s="2"/>
      <c r="B170" s="2"/>
      <c r="C170" s="2"/>
      <c r="D170" s="2"/>
      <c r="E170" s="2"/>
      <c r="F170" s="2"/>
      <c r="G170" s="32"/>
      <c r="H170" s="2"/>
      <c r="I170" s="32"/>
      <c r="J170" s="2"/>
      <c r="K170" s="32"/>
    </row>
    <row r="171" spans="1:11" ht="15.75">
      <c r="A171" s="2"/>
      <c r="B171" s="2"/>
      <c r="C171" s="2"/>
      <c r="D171" s="2"/>
      <c r="E171" s="2"/>
      <c r="F171" s="2"/>
      <c r="G171" s="32"/>
      <c r="H171" s="2"/>
      <c r="I171" s="32"/>
      <c r="J171" s="2"/>
      <c r="K171" s="32"/>
    </row>
    <row r="172" spans="1:11" ht="15.75">
      <c r="A172" s="2"/>
      <c r="B172" s="2"/>
      <c r="C172" s="2"/>
      <c r="D172" s="2"/>
      <c r="E172" s="2"/>
      <c r="F172" s="2"/>
      <c r="G172" s="32"/>
      <c r="H172" s="2"/>
      <c r="I172" s="32"/>
      <c r="J172" s="2"/>
      <c r="K172" s="32"/>
    </row>
    <row r="173" spans="1:11" ht="15.75">
      <c r="A173" s="2"/>
      <c r="B173" s="2"/>
      <c r="C173" s="2"/>
      <c r="D173" s="2"/>
      <c r="E173" s="2"/>
      <c r="F173" s="2"/>
      <c r="G173" s="32"/>
      <c r="H173" s="2"/>
      <c r="I173" s="32"/>
      <c r="J173" s="2"/>
      <c r="K173" s="32"/>
    </row>
    <row r="174" spans="1:11" ht="15.75">
      <c r="A174" s="2"/>
      <c r="B174" s="2"/>
      <c r="C174" s="2"/>
      <c r="D174" s="2"/>
      <c r="E174" s="2"/>
      <c r="F174" s="2"/>
      <c r="G174" s="32"/>
      <c r="H174" s="2"/>
      <c r="I174" s="32"/>
      <c r="J174" s="2"/>
      <c r="K174" s="32"/>
    </row>
    <row r="175" spans="1:11" ht="15.75">
      <c r="A175" s="2"/>
      <c r="B175" s="2"/>
      <c r="C175" s="2"/>
      <c r="D175" s="2"/>
      <c r="E175" s="2"/>
      <c r="F175" s="2"/>
      <c r="G175" s="32"/>
      <c r="H175" s="2"/>
      <c r="I175" s="32"/>
      <c r="J175" s="2"/>
      <c r="K175" s="32"/>
    </row>
    <row r="176" spans="1:11" ht="15.75">
      <c r="A176" s="2"/>
      <c r="B176" s="2"/>
      <c r="C176" s="2"/>
      <c r="D176" s="2"/>
      <c r="E176" s="2"/>
      <c r="F176" s="2"/>
      <c r="G176" s="32"/>
      <c r="H176" s="2"/>
      <c r="I176" s="32"/>
      <c r="J176" s="2"/>
      <c r="K176" s="32"/>
    </row>
    <row r="177" spans="1:11" ht="15.75">
      <c r="A177" s="2"/>
      <c r="B177" s="2"/>
      <c r="C177" s="2"/>
      <c r="D177" s="2"/>
      <c r="E177" s="2"/>
      <c r="F177" s="2"/>
      <c r="G177" s="32"/>
      <c r="H177" s="2"/>
      <c r="I177" s="32"/>
      <c r="J177" s="2"/>
      <c r="K177" s="32"/>
    </row>
    <row r="178" spans="1:11" ht="15.75">
      <c r="A178" s="2"/>
      <c r="B178" s="2"/>
      <c r="C178" s="2"/>
      <c r="D178" s="2"/>
      <c r="E178" s="2"/>
      <c r="F178" s="2"/>
      <c r="G178" s="32"/>
      <c r="H178" s="2"/>
      <c r="I178" s="32"/>
      <c r="J178" s="2"/>
      <c r="K178" s="32"/>
    </row>
    <row r="179" spans="1:11" ht="15.75">
      <c r="A179" s="2"/>
      <c r="B179" s="2"/>
      <c r="C179" s="2"/>
      <c r="D179" s="2"/>
      <c r="E179" s="2"/>
      <c r="F179" s="2"/>
      <c r="G179" s="32"/>
      <c r="H179" s="2"/>
      <c r="I179" s="32"/>
      <c r="J179" s="2"/>
      <c r="K179" s="32"/>
    </row>
    <row r="180" spans="1:11" ht="15.75">
      <c r="A180" s="2"/>
      <c r="B180" s="2"/>
      <c r="C180" s="2"/>
      <c r="D180" s="2"/>
      <c r="E180" s="2"/>
      <c r="F180" s="2"/>
      <c r="G180" s="32"/>
      <c r="H180" s="2"/>
      <c r="I180" s="32"/>
      <c r="J180" s="2"/>
      <c r="K180" s="32"/>
    </row>
    <row r="181" spans="1:11" ht="15.75">
      <c r="A181" s="2"/>
      <c r="B181" s="2"/>
      <c r="C181" s="2"/>
      <c r="D181" s="2"/>
      <c r="E181" s="2"/>
      <c r="F181" s="2"/>
      <c r="G181" s="32"/>
      <c r="H181" s="2"/>
      <c r="I181" s="32"/>
      <c r="J181" s="2"/>
      <c r="K181" s="32"/>
    </row>
    <row r="182" spans="1:11" ht="15.75">
      <c r="A182" s="2"/>
      <c r="B182" s="2"/>
      <c r="C182" s="2"/>
      <c r="D182" s="2"/>
      <c r="E182" s="2"/>
      <c r="F182" s="2"/>
      <c r="G182" s="32"/>
      <c r="H182" s="2"/>
      <c r="I182" s="32"/>
      <c r="J182" s="2"/>
      <c r="K182" s="32"/>
    </row>
    <row r="183" spans="1:11" ht="15.75">
      <c r="A183" s="2"/>
      <c r="B183" s="2"/>
      <c r="C183" s="2"/>
      <c r="D183" s="2"/>
      <c r="E183" s="2"/>
      <c r="F183" s="2"/>
      <c r="G183" s="32"/>
      <c r="H183" s="2"/>
      <c r="I183" s="32"/>
      <c r="J183" s="2"/>
      <c r="K183" s="32"/>
    </row>
    <row r="184" spans="1:11" ht="15.75">
      <c r="A184" s="2"/>
      <c r="B184" s="2"/>
      <c r="C184" s="2"/>
      <c r="D184" s="2"/>
      <c r="E184" s="2"/>
      <c r="F184" s="2"/>
      <c r="G184" s="32"/>
      <c r="H184" s="2"/>
      <c r="I184" s="32"/>
      <c r="J184" s="2"/>
      <c r="K184" s="32"/>
    </row>
    <row r="185" spans="1:11" ht="15.75">
      <c r="A185" s="2"/>
      <c r="B185" s="2"/>
      <c r="C185" s="2"/>
      <c r="D185" s="2"/>
      <c r="E185" s="2"/>
      <c r="F185" s="2"/>
      <c r="G185" s="32"/>
      <c r="H185" s="2"/>
      <c r="I185" s="32"/>
      <c r="J185" s="2"/>
      <c r="K185" s="32"/>
    </row>
    <row r="186" spans="1:11" ht="15.75">
      <c r="A186" s="2"/>
      <c r="B186" s="2"/>
      <c r="C186" s="2"/>
      <c r="D186" s="2"/>
      <c r="E186" s="2"/>
      <c r="F186" s="2"/>
      <c r="G186" s="32"/>
      <c r="H186" s="2"/>
      <c r="I186" s="32"/>
      <c r="J186" s="2"/>
      <c r="K186" s="32"/>
    </row>
    <row r="187" spans="1:11" ht="15.75">
      <c r="A187" s="2"/>
      <c r="B187" s="2"/>
      <c r="C187" s="2"/>
      <c r="D187" s="2"/>
      <c r="E187" s="2"/>
      <c r="F187" s="2"/>
      <c r="G187" s="32"/>
      <c r="H187" s="2"/>
      <c r="I187" s="32"/>
      <c r="J187" s="2"/>
      <c r="K187" s="32"/>
    </row>
    <row r="188" spans="1:11" ht="15.75">
      <c r="A188" s="2"/>
      <c r="B188" s="2"/>
      <c r="C188" s="2"/>
      <c r="D188" s="2"/>
      <c r="E188" s="2"/>
      <c r="F188" s="2"/>
      <c r="G188" s="32"/>
      <c r="H188" s="2"/>
      <c r="I188" s="32"/>
      <c r="J188" s="2"/>
      <c r="K188" s="32"/>
    </row>
    <row r="189" spans="1:11" ht="15.75">
      <c r="A189" s="2"/>
      <c r="B189" s="2"/>
      <c r="C189" s="2"/>
      <c r="D189" s="2"/>
      <c r="E189" s="2"/>
      <c r="F189" s="2"/>
      <c r="G189" s="32"/>
      <c r="H189" s="2"/>
      <c r="I189" s="32"/>
      <c r="J189" s="2"/>
      <c r="K189" s="32"/>
    </row>
    <row r="190" spans="1:11" ht="15.75">
      <c r="A190" s="2"/>
      <c r="B190" s="2"/>
      <c r="C190" s="2"/>
      <c r="D190" s="2"/>
      <c r="E190" s="2"/>
      <c r="F190" s="2"/>
      <c r="G190" s="32"/>
      <c r="H190" s="2"/>
      <c r="I190" s="32"/>
      <c r="J190" s="2"/>
      <c r="K190" s="32"/>
    </row>
    <row r="191" spans="1:11" ht="15.75">
      <c r="A191" s="2"/>
      <c r="B191" s="2"/>
      <c r="C191" s="2"/>
      <c r="D191" s="2"/>
      <c r="E191" s="2"/>
      <c r="F191" s="2"/>
      <c r="G191" s="32"/>
      <c r="H191" s="2"/>
      <c r="I191" s="32"/>
      <c r="J191" s="2"/>
      <c r="K191" s="32"/>
    </row>
    <row r="192" spans="1:11" ht="15.75">
      <c r="A192" s="2"/>
      <c r="B192" s="2"/>
      <c r="C192" s="2"/>
      <c r="D192" s="2"/>
      <c r="E192" s="2"/>
      <c r="F192" s="2"/>
      <c r="G192" s="32"/>
      <c r="H192" s="2"/>
      <c r="I192" s="32"/>
      <c r="J192" s="2"/>
      <c r="K192" s="32"/>
    </row>
    <row r="193" spans="1:11" ht="15.75">
      <c r="A193" s="2"/>
      <c r="B193" s="2"/>
      <c r="C193" s="2"/>
      <c r="D193" s="2"/>
      <c r="E193" s="2"/>
      <c r="F193" s="2"/>
      <c r="G193" s="32"/>
      <c r="H193" s="2"/>
      <c r="I193" s="32"/>
      <c r="J193" s="2"/>
      <c r="K193" s="32"/>
    </row>
    <row r="194" spans="1:11" ht="15.75">
      <c r="A194" s="2"/>
      <c r="B194" s="2"/>
      <c r="C194" s="2"/>
      <c r="D194" s="2"/>
      <c r="E194" s="2"/>
      <c r="F194" s="2"/>
      <c r="G194" s="32"/>
      <c r="H194" s="2"/>
      <c r="I194" s="32"/>
      <c r="J194" s="2"/>
      <c r="K194" s="32"/>
    </row>
    <row r="195" spans="1:11" ht="15.75">
      <c r="A195" s="2"/>
      <c r="B195" s="2"/>
      <c r="C195" s="2"/>
      <c r="D195" s="2"/>
      <c r="E195" s="2"/>
      <c r="F195" s="2"/>
      <c r="G195" s="32"/>
      <c r="H195" s="2"/>
      <c r="I195" s="32"/>
      <c r="J195" s="2"/>
      <c r="K195" s="32"/>
    </row>
    <row r="196" spans="1:11" ht="15.75">
      <c r="A196" s="2"/>
      <c r="B196" s="2"/>
      <c r="C196" s="2"/>
      <c r="D196" s="2"/>
      <c r="E196" s="2"/>
      <c r="F196" s="2"/>
      <c r="G196" s="32"/>
      <c r="H196" s="2"/>
      <c r="I196" s="32"/>
      <c r="J196" s="2"/>
      <c r="K196" s="32"/>
    </row>
    <row r="197" spans="1:11" ht="15.75">
      <c r="A197" s="2"/>
      <c r="B197" s="2"/>
      <c r="C197" s="2"/>
      <c r="D197" s="2"/>
      <c r="E197" s="2"/>
      <c r="F197" s="2"/>
      <c r="G197" s="32"/>
      <c r="H197" s="2"/>
      <c r="I197" s="32"/>
      <c r="J197" s="2"/>
      <c r="K197" s="32"/>
    </row>
    <row r="198" spans="1:11" ht="15.75">
      <c r="A198" s="2"/>
      <c r="B198" s="2"/>
      <c r="C198" s="2"/>
      <c r="D198" s="2"/>
      <c r="E198" s="2"/>
      <c r="F198" s="2"/>
      <c r="G198" s="32"/>
      <c r="H198" s="2"/>
      <c r="I198" s="32"/>
      <c r="J198" s="2"/>
      <c r="K198" s="32"/>
    </row>
    <row r="199" spans="1:11" ht="15.75">
      <c r="A199" s="2"/>
      <c r="B199" s="2"/>
      <c r="C199" s="2"/>
      <c r="D199" s="2"/>
      <c r="E199" s="2"/>
      <c r="F199" s="2"/>
      <c r="G199" s="32"/>
      <c r="H199" s="2"/>
      <c r="I199" s="32"/>
      <c r="J199" s="2"/>
      <c r="K199" s="32"/>
    </row>
    <row r="200" spans="1:11" ht="15.75">
      <c r="A200" s="2"/>
      <c r="B200" s="2"/>
      <c r="C200" s="2"/>
      <c r="D200" s="2"/>
      <c r="E200" s="2"/>
      <c r="F200" s="2"/>
      <c r="G200" s="32"/>
      <c r="H200" s="2"/>
      <c r="I200" s="32"/>
      <c r="J200" s="2"/>
      <c r="K200" s="32"/>
    </row>
    <row r="201" spans="1:11" ht="15.75">
      <c r="A201" s="2"/>
      <c r="B201" s="2"/>
      <c r="C201" s="2"/>
      <c r="D201" s="2"/>
      <c r="E201" s="2"/>
      <c r="F201" s="2"/>
      <c r="G201" s="32"/>
      <c r="H201" s="2"/>
      <c r="I201" s="32"/>
      <c r="J201" s="2"/>
      <c r="K201" s="32"/>
    </row>
    <row r="202" spans="1:11" ht="15.75">
      <c r="A202" s="2"/>
      <c r="B202" s="2"/>
      <c r="C202" s="2"/>
      <c r="D202" s="2"/>
      <c r="E202" s="2"/>
      <c r="F202" s="2"/>
      <c r="G202" s="32"/>
      <c r="H202" s="2"/>
      <c r="I202" s="32"/>
      <c r="J202" s="2"/>
      <c r="K202" s="32"/>
    </row>
    <row r="203" spans="1:11" ht="15.75">
      <c r="A203" s="2"/>
      <c r="B203" s="2"/>
      <c r="C203" s="2"/>
      <c r="D203" s="2"/>
      <c r="E203" s="2"/>
      <c r="F203" s="2"/>
      <c r="G203" s="32"/>
      <c r="H203" s="2"/>
      <c r="I203" s="32"/>
      <c r="J203" s="2"/>
      <c r="K203" s="32"/>
    </row>
    <row r="204" spans="1:11" ht="15.75">
      <c r="A204" s="2"/>
      <c r="B204" s="2"/>
      <c r="C204" s="2"/>
      <c r="D204" s="2"/>
      <c r="E204" s="2"/>
      <c r="F204" s="2"/>
      <c r="G204" s="32"/>
      <c r="H204" s="2"/>
      <c r="I204" s="32"/>
      <c r="J204" s="2"/>
      <c r="K204" s="32"/>
    </row>
    <row r="205" spans="1:11" ht="15.75">
      <c r="A205" s="2"/>
      <c r="B205" s="2"/>
      <c r="C205" s="2"/>
      <c r="D205" s="2"/>
      <c r="E205" s="2"/>
      <c r="F205" s="2"/>
      <c r="G205" s="32"/>
      <c r="H205" s="2"/>
      <c r="I205" s="32"/>
      <c r="J205" s="2"/>
      <c r="K205" s="32"/>
    </row>
    <row r="206" spans="1:11" ht="15.75">
      <c r="A206" s="2"/>
      <c r="B206" s="2"/>
      <c r="C206" s="2"/>
      <c r="D206" s="2"/>
      <c r="E206" s="2"/>
      <c r="F206" s="2"/>
      <c r="G206" s="32"/>
      <c r="H206" s="2"/>
      <c r="I206" s="32"/>
      <c r="J206" s="2"/>
      <c r="K206" s="32"/>
    </row>
    <row r="207" spans="1:11" ht="15.75">
      <c r="A207" s="2"/>
      <c r="B207" s="2"/>
      <c r="C207" s="2"/>
      <c r="D207" s="2"/>
      <c r="E207" s="2"/>
      <c r="F207" s="2"/>
      <c r="G207" s="32"/>
      <c r="H207" s="2"/>
      <c r="I207" s="32"/>
      <c r="J207" s="2"/>
      <c r="K207" s="32"/>
    </row>
    <row r="208" spans="1:11" ht="15.75">
      <c r="A208" s="2"/>
      <c r="B208" s="2"/>
      <c r="C208" s="2"/>
      <c r="D208" s="2"/>
      <c r="E208" s="2"/>
      <c r="F208" s="2"/>
      <c r="G208" s="32"/>
      <c r="H208" s="2"/>
      <c r="I208" s="32"/>
      <c r="J208" s="2"/>
      <c r="K208" s="32"/>
    </row>
    <row r="209" spans="1:11" ht="15.75">
      <c r="A209" s="2"/>
      <c r="B209" s="2"/>
      <c r="C209" s="2"/>
      <c r="D209" s="2"/>
      <c r="E209" s="2"/>
      <c r="F209" s="2"/>
      <c r="G209" s="32"/>
      <c r="H209" s="2"/>
      <c r="I209" s="32"/>
      <c r="J209" s="2"/>
      <c r="K209" s="32"/>
    </row>
    <row r="210" spans="1:11" ht="15.75">
      <c r="A210" s="2"/>
      <c r="B210" s="2"/>
      <c r="C210" s="2"/>
      <c r="D210" s="2"/>
      <c r="E210" s="2"/>
      <c r="F210" s="2"/>
      <c r="G210" s="32"/>
      <c r="H210" s="2"/>
      <c r="I210" s="32"/>
      <c r="J210" s="2"/>
      <c r="K210" s="32"/>
    </row>
    <row r="211" spans="1:11" ht="15.75">
      <c r="A211" s="2"/>
      <c r="B211" s="2"/>
      <c r="C211" s="2"/>
      <c r="D211" s="2"/>
      <c r="E211" s="2"/>
      <c r="F211" s="2"/>
      <c r="G211" s="32"/>
      <c r="H211" s="2"/>
      <c r="I211" s="32"/>
      <c r="J211" s="2"/>
      <c r="K211" s="32"/>
    </row>
    <row r="212" spans="1:11" ht="15.75">
      <c r="A212" s="2"/>
      <c r="B212" s="2"/>
      <c r="C212" s="2"/>
      <c r="D212" s="2"/>
      <c r="E212" s="2"/>
      <c r="F212" s="2"/>
      <c r="G212" s="32"/>
      <c r="H212" s="2"/>
      <c r="I212" s="32"/>
      <c r="J212" s="2"/>
      <c r="K212" s="32"/>
    </row>
    <row r="213" spans="1:11" ht="15.75">
      <c r="A213" s="2"/>
      <c r="B213" s="2"/>
      <c r="C213" s="2"/>
      <c r="D213" s="2"/>
      <c r="E213" s="2"/>
      <c r="F213" s="2"/>
      <c r="G213" s="32"/>
      <c r="H213" s="2"/>
      <c r="I213" s="32"/>
      <c r="J213" s="2"/>
      <c r="K213" s="32"/>
    </row>
    <row r="214" spans="1:11" ht="15.75">
      <c r="A214" s="2"/>
      <c r="B214" s="2"/>
      <c r="C214" s="2"/>
      <c r="D214" s="2"/>
      <c r="E214" s="2"/>
      <c r="F214" s="2"/>
      <c r="G214" s="32"/>
      <c r="H214" s="2"/>
      <c r="I214" s="32"/>
      <c r="J214" s="2"/>
      <c r="K214" s="32"/>
    </row>
    <row r="215" spans="1:11" ht="15.75">
      <c r="A215" s="2"/>
      <c r="B215" s="2"/>
      <c r="C215" s="2"/>
      <c r="D215" s="2"/>
      <c r="E215" s="2"/>
      <c r="F215" s="2"/>
      <c r="G215" s="32"/>
      <c r="H215" s="2"/>
      <c r="I215" s="32"/>
      <c r="J215" s="2"/>
      <c r="K215" s="32"/>
    </row>
    <row r="216" spans="1:11" ht="15.75">
      <c r="A216" s="2"/>
      <c r="B216" s="2"/>
      <c r="C216" s="2"/>
      <c r="D216" s="2"/>
      <c r="E216" s="2"/>
      <c r="F216" s="2"/>
      <c r="G216" s="32"/>
      <c r="H216" s="2"/>
      <c r="I216" s="32"/>
      <c r="J216" s="2"/>
      <c r="K216" s="32"/>
    </row>
    <row r="217" spans="1:11" ht="15.75">
      <c r="A217" s="2"/>
      <c r="B217" s="2"/>
      <c r="C217" s="2"/>
      <c r="D217" s="2"/>
      <c r="E217" s="2"/>
      <c r="F217" s="2"/>
      <c r="G217" s="32"/>
      <c r="H217" s="2"/>
      <c r="I217" s="32"/>
      <c r="J217" s="2"/>
      <c r="K217" s="32"/>
    </row>
    <row r="218" spans="1:11" ht="15.75">
      <c r="A218" s="2"/>
      <c r="B218" s="2"/>
      <c r="C218" s="2"/>
      <c r="D218" s="2"/>
      <c r="E218" s="2"/>
      <c r="F218" s="2"/>
      <c r="G218" s="32"/>
      <c r="H218" s="2"/>
      <c r="I218" s="32"/>
      <c r="J218" s="2"/>
      <c r="K218" s="32"/>
    </row>
    <row r="219" spans="1:11" ht="15.75">
      <c r="A219" s="2"/>
      <c r="B219" s="2"/>
      <c r="C219" s="2"/>
      <c r="D219" s="2"/>
      <c r="E219" s="2"/>
      <c r="F219" s="2"/>
      <c r="G219" s="32"/>
      <c r="H219" s="2"/>
      <c r="I219" s="32"/>
      <c r="J219" s="2"/>
      <c r="K219" s="32"/>
    </row>
    <row r="220" spans="1:11" ht="15.75">
      <c r="A220" s="2"/>
      <c r="B220" s="2"/>
      <c r="C220" s="2"/>
      <c r="D220" s="2"/>
      <c r="E220" s="2"/>
      <c r="F220" s="2"/>
      <c r="G220" s="32"/>
      <c r="H220" s="2"/>
      <c r="I220" s="32"/>
      <c r="J220" s="2"/>
      <c r="K220" s="32"/>
    </row>
    <row r="221" spans="1:11" ht="15.75">
      <c r="A221" s="2"/>
      <c r="B221" s="2"/>
      <c r="C221" s="2"/>
      <c r="D221" s="2"/>
      <c r="E221" s="2"/>
      <c r="F221" s="2"/>
      <c r="G221" s="32"/>
      <c r="H221" s="2"/>
      <c r="I221" s="32"/>
      <c r="J221" s="2"/>
      <c r="K221" s="32"/>
    </row>
    <row r="222" spans="1:11" ht="15.75">
      <c r="A222" s="2"/>
      <c r="B222" s="2"/>
      <c r="C222" s="2"/>
      <c r="D222" s="2"/>
      <c r="E222" s="2"/>
      <c r="F222" s="2"/>
      <c r="G222" s="32"/>
      <c r="H222" s="2"/>
      <c r="I222" s="32"/>
      <c r="J222" s="2"/>
      <c r="K222" s="32"/>
    </row>
    <row r="223" spans="1:11" ht="15.75">
      <c r="A223" s="2"/>
      <c r="B223" s="2"/>
      <c r="C223" s="2"/>
      <c r="D223" s="2"/>
      <c r="E223" s="2"/>
      <c r="F223" s="2"/>
      <c r="G223" s="32"/>
      <c r="H223" s="2"/>
      <c r="I223" s="32"/>
      <c r="J223" s="2"/>
      <c r="K223" s="32"/>
    </row>
    <row r="224" spans="1:11" ht="15.75">
      <c r="A224" s="2"/>
      <c r="B224" s="2"/>
      <c r="C224" s="2"/>
      <c r="D224" s="2"/>
      <c r="E224" s="2"/>
      <c r="F224" s="2"/>
      <c r="G224" s="32"/>
      <c r="H224" s="2"/>
      <c r="I224" s="32"/>
      <c r="J224" s="2"/>
      <c r="K224" s="32"/>
    </row>
    <row r="225" spans="1:11" ht="15.75">
      <c r="A225" s="2"/>
      <c r="B225" s="2"/>
      <c r="C225" s="2"/>
      <c r="D225" s="2"/>
      <c r="E225" s="2"/>
      <c r="F225" s="2"/>
      <c r="G225" s="32"/>
      <c r="H225" s="2"/>
      <c r="I225" s="32"/>
      <c r="J225" s="2"/>
      <c r="K225" s="32"/>
    </row>
    <row r="226" spans="1:11" ht="15.75">
      <c r="A226" s="2"/>
      <c r="B226" s="2"/>
      <c r="C226" s="2"/>
      <c r="D226" s="2"/>
      <c r="E226" s="2"/>
      <c r="F226" s="2"/>
      <c r="G226" s="32"/>
      <c r="H226" s="2"/>
      <c r="I226" s="32"/>
      <c r="J226" s="2"/>
      <c r="K226" s="32"/>
    </row>
    <row r="227" spans="1:11" ht="15.75">
      <c r="A227" s="2"/>
      <c r="B227" s="2"/>
      <c r="C227" s="2"/>
      <c r="D227" s="2"/>
      <c r="E227" s="2"/>
      <c r="F227" s="2"/>
      <c r="G227" s="32"/>
      <c r="H227" s="2"/>
      <c r="I227" s="32"/>
      <c r="J227" s="2"/>
      <c r="K227" s="32"/>
    </row>
    <row r="228" spans="1:11" ht="15.75">
      <c r="A228" s="2"/>
      <c r="B228" s="2"/>
      <c r="C228" s="2"/>
      <c r="D228" s="2"/>
      <c r="E228" s="2"/>
      <c r="F228" s="2"/>
      <c r="G228" s="32"/>
      <c r="H228" s="2"/>
      <c r="I228" s="32"/>
      <c r="J228" s="2"/>
      <c r="K228" s="32"/>
    </row>
    <row r="229" spans="1:11" ht="15.75">
      <c r="A229" s="2"/>
      <c r="B229" s="2"/>
      <c r="C229" s="2"/>
      <c r="D229" s="2"/>
      <c r="E229" s="2"/>
      <c r="F229" s="2"/>
      <c r="G229" s="32"/>
      <c r="H229" s="2"/>
      <c r="I229" s="32"/>
      <c r="J229" s="2"/>
      <c r="K229" s="32"/>
    </row>
    <row r="230" spans="1:11" ht="15.75">
      <c r="A230" s="2"/>
      <c r="B230" s="2"/>
      <c r="C230" s="2"/>
      <c r="D230" s="2"/>
      <c r="E230" s="2"/>
      <c r="F230" s="2"/>
      <c r="G230" s="32"/>
      <c r="H230" s="2"/>
      <c r="I230" s="32"/>
      <c r="J230" s="2"/>
      <c r="K230" s="32"/>
    </row>
    <row r="231" spans="1:11" ht="15.75">
      <c r="A231" s="2"/>
      <c r="B231" s="2"/>
      <c r="C231" s="2"/>
      <c r="D231" s="2"/>
      <c r="E231" s="2"/>
      <c r="F231" s="2"/>
      <c r="G231" s="32"/>
      <c r="H231" s="2"/>
      <c r="I231" s="32"/>
      <c r="J231" s="2"/>
      <c r="K231" s="32"/>
    </row>
    <row r="232" spans="1:11" ht="15.75">
      <c r="A232" s="2"/>
      <c r="B232" s="2"/>
      <c r="C232" s="2"/>
      <c r="D232" s="2"/>
      <c r="E232" s="2"/>
      <c r="F232" s="2"/>
      <c r="G232" s="32"/>
      <c r="H232" s="2"/>
      <c r="I232" s="32"/>
      <c r="J232" s="2"/>
      <c r="K232" s="32"/>
    </row>
    <row r="233" spans="1:11" ht="15.75">
      <c r="A233" s="2"/>
      <c r="B233" s="2"/>
      <c r="C233" s="2"/>
      <c r="D233" s="2"/>
      <c r="E233" s="2"/>
      <c r="F233" s="2"/>
      <c r="G233" s="32"/>
      <c r="H233" s="2"/>
      <c r="I233" s="32"/>
      <c r="J233" s="2"/>
      <c r="K233" s="32"/>
    </row>
    <row r="234" spans="1:11" ht="15.75">
      <c r="A234" s="2"/>
      <c r="B234" s="2"/>
      <c r="C234" s="2"/>
      <c r="D234" s="2"/>
      <c r="E234" s="2"/>
      <c r="F234" s="2"/>
      <c r="G234" s="32"/>
      <c r="H234" s="2"/>
      <c r="I234" s="32"/>
      <c r="J234" s="2"/>
      <c r="K234" s="32"/>
    </row>
    <row r="235" spans="1:11" ht="15.75">
      <c r="A235" s="2"/>
      <c r="B235" s="2"/>
      <c r="C235" s="2"/>
      <c r="D235" s="2"/>
      <c r="E235" s="2"/>
      <c r="F235" s="2"/>
      <c r="G235" s="32"/>
      <c r="H235" s="2"/>
      <c r="I235" s="32"/>
      <c r="J235" s="2"/>
      <c r="K235" s="32"/>
    </row>
    <row r="236" spans="1:11" ht="15.75">
      <c r="A236" s="2"/>
      <c r="B236" s="2"/>
      <c r="C236" s="2"/>
      <c r="D236" s="2"/>
      <c r="E236" s="2"/>
      <c r="F236" s="2"/>
      <c r="G236" s="32"/>
      <c r="H236" s="2"/>
      <c r="I236" s="32"/>
      <c r="J236" s="2"/>
      <c r="K236" s="32"/>
    </row>
    <row r="237" spans="1:11" ht="15.75">
      <c r="A237" s="2"/>
      <c r="B237" s="2"/>
      <c r="C237" s="2"/>
      <c r="D237" s="2"/>
      <c r="E237" s="2"/>
      <c r="F237" s="2"/>
      <c r="G237" s="32"/>
      <c r="H237" s="2"/>
      <c r="I237" s="32"/>
      <c r="J237" s="2"/>
      <c r="K237" s="32"/>
    </row>
    <row r="238" spans="1:11" ht="15.75">
      <c r="A238" s="2"/>
      <c r="B238" s="2"/>
      <c r="C238" s="2"/>
      <c r="D238" s="2"/>
      <c r="E238" s="2"/>
      <c r="F238" s="2"/>
      <c r="G238" s="32"/>
      <c r="H238" s="2"/>
      <c r="I238" s="32"/>
      <c r="J238" s="2"/>
      <c r="K238" s="32"/>
    </row>
    <row r="239" spans="1:11" ht="15.75">
      <c r="A239" s="2"/>
      <c r="B239" s="2"/>
      <c r="C239" s="2"/>
      <c r="D239" s="2"/>
      <c r="E239" s="2"/>
      <c r="F239" s="2"/>
      <c r="G239" s="32"/>
      <c r="H239" s="2"/>
      <c r="I239" s="32"/>
      <c r="J239" s="2"/>
      <c r="K239" s="32"/>
    </row>
    <row r="240" spans="1:11" ht="15.75">
      <c r="A240" s="2"/>
      <c r="B240" s="2"/>
      <c r="C240" s="2"/>
      <c r="D240" s="2"/>
      <c r="E240" s="2"/>
      <c r="F240" s="2"/>
      <c r="G240" s="32"/>
      <c r="H240" s="2"/>
      <c r="I240" s="32"/>
      <c r="J240" s="2"/>
      <c r="K240" s="32"/>
    </row>
    <row r="241" spans="1:11" ht="15.75">
      <c r="A241" s="2"/>
      <c r="B241" s="2"/>
      <c r="C241" s="2"/>
      <c r="D241" s="2"/>
      <c r="E241" s="2"/>
      <c r="F241" s="2"/>
      <c r="G241" s="32"/>
      <c r="H241" s="2"/>
      <c r="I241" s="32"/>
      <c r="J241" s="2"/>
      <c r="K241" s="32"/>
    </row>
    <row r="242" spans="1:11" ht="15.75">
      <c r="A242" s="2"/>
      <c r="B242" s="2"/>
      <c r="C242" s="2"/>
      <c r="D242" s="2"/>
      <c r="E242" s="2"/>
      <c r="F242" s="2"/>
      <c r="G242" s="32"/>
      <c r="H242" s="2"/>
      <c r="I242" s="32"/>
      <c r="J242" s="2"/>
      <c r="K242" s="32"/>
    </row>
    <row r="243" spans="1:11" ht="15.75">
      <c r="A243" s="2"/>
      <c r="B243" s="2"/>
      <c r="C243" s="2"/>
      <c r="D243" s="2"/>
      <c r="E243" s="2"/>
      <c r="F243" s="2"/>
      <c r="G243" s="32"/>
      <c r="H243" s="2"/>
      <c r="I243" s="32"/>
      <c r="J243" s="2"/>
      <c r="K243" s="32"/>
    </row>
    <row r="244" spans="1:11" ht="15.75">
      <c r="A244" s="2"/>
      <c r="B244" s="2"/>
      <c r="C244" s="2"/>
      <c r="D244" s="2"/>
      <c r="E244" s="2"/>
      <c r="F244" s="2"/>
      <c r="G244" s="32"/>
      <c r="H244" s="2"/>
      <c r="I244" s="32"/>
    </row>
    <row r="245" spans="1:11" ht="15.75">
      <c r="A245" s="2"/>
      <c r="B245" s="2"/>
      <c r="C245" s="2"/>
      <c r="D245" s="2"/>
      <c r="E245" s="2"/>
      <c r="F245" s="2"/>
      <c r="G245" s="32"/>
      <c r="H245" s="2"/>
      <c r="I245" s="32"/>
    </row>
    <row r="246" spans="1:11" ht="15.75">
      <c r="A246" s="2"/>
      <c r="B246" s="2"/>
      <c r="C246" s="2"/>
      <c r="D246" s="2"/>
      <c r="E246" s="2"/>
      <c r="F246" s="2"/>
      <c r="G246" s="32"/>
      <c r="H246" s="2"/>
      <c r="I246" s="32"/>
    </row>
    <row r="247" spans="1:11" ht="15.75">
      <c r="A247" s="2"/>
      <c r="B247" s="2"/>
      <c r="C247" s="2"/>
      <c r="D247" s="2"/>
      <c r="E247" s="2"/>
      <c r="F247" s="2"/>
      <c r="G247" s="32"/>
      <c r="H247" s="2"/>
      <c r="I247" s="32"/>
    </row>
    <row r="248" spans="1:11" ht="15.75">
      <c r="A248" s="2"/>
      <c r="B248" s="2"/>
      <c r="C248" s="2"/>
      <c r="D248" s="2"/>
      <c r="E248" s="2"/>
      <c r="F248" s="2"/>
      <c r="G248" s="32"/>
      <c r="H248" s="2"/>
      <c r="I248" s="32"/>
    </row>
    <row r="249" spans="1:11" ht="15.75">
      <c r="A249" s="2"/>
      <c r="B249" s="2"/>
      <c r="C249" s="2"/>
      <c r="D249" s="2"/>
      <c r="E249" s="2"/>
      <c r="F249" s="2"/>
      <c r="G249" s="32"/>
      <c r="H249" s="2"/>
      <c r="I249" s="32"/>
    </row>
    <row r="250" spans="1:11" ht="15.75">
      <c r="A250" s="2"/>
      <c r="B250" s="2"/>
      <c r="C250" s="2"/>
      <c r="D250" s="2"/>
      <c r="E250" s="2"/>
      <c r="F250" s="2"/>
      <c r="G250" s="32"/>
      <c r="H250" s="2"/>
      <c r="I250" s="32"/>
    </row>
    <row r="251" spans="1:11" ht="15.75">
      <c r="A251" s="2"/>
      <c r="B251" s="2"/>
      <c r="C251" s="2"/>
      <c r="D251" s="2"/>
      <c r="E251" s="2"/>
      <c r="F251" s="2"/>
      <c r="G251" s="32"/>
      <c r="H251" s="2"/>
      <c r="I251" s="32"/>
    </row>
    <row r="252" spans="1:11" ht="15.75">
      <c r="A252" s="2"/>
      <c r="B252" s="2"/>
      <c r="C252" s="2"/>
      <c r="D252" s="2"/>
      <c r="E252" s="2"/>
      <c r="F252" s="2"/>
      <c r="G252" s="32"/>
      <c r="H252" s="2"/>
      <c r="I252" s="32"/>
    </row>
    <row r="253" spans="1:11" ht="15.75">
      <c r="A253" s="2"/>
      <c r="B253" s="2"/>
      <c r="C253" s="2"/>
      <c r="D253" s="2"/>
      <c r="E253" s="2"/>
      <c r="F253" s="2"/>
      <c r="G253" s="32"/>
      <c r="H253" s="2"/>
      <c r="I253" s="32"/>
    </row>
    <row r="254" spans="1:11" ht="15.75">
      <c r="A254" s="2"/>
      <c r="B254" s="2"/>
      <c r="C254" s="2"/>
      <c r="D254" s="2"/>
      <c r="E254" s="2"/>
      <c r="F254" s="2"/>
      <c r="G254" s="32"/>
      <c r="H254" s="2"/>
      <c r="I254" s="32"/>
    </row>
    <row r="255" spans="1:11" ht="15.75">
      <c r="A255" s="2"/>
      <c r="B255" s="2"/>
      <c r="C255" s="2"/>
      <c r="D255" s="2"/>
      <c r="E255" s="2"/>
      <c r="F255" s="2"/>
      <c r="G255" s="32"/>
      <c r="H255" s="2"/>
      <c r="I255" s="32"/>
    </row>
    <row r="256" spans="1:11" ht="15.75">
      <c r="A256" s="2"/>
      <c r="B256" s="2"/>
      <c r="C256" s="2"/>
      <c r="D256" s="2"/>
      <c r="E256" s="2"/>
      <c r="F256" s="2"/>
      <c r="G256" s="32"/>
      <c r="H256" s="2"/>
      <c r="I256" s="32"/>
    </row>
    <row r="257" spans="1:9" ht="15.75">
      <c r="A257" s="2"/>
      <c r="B257" s="2"/>
      <c r="C257" s="2"/>
      <c r="D257" s="2"/>
      <c r="E257" s="2"/>
      <c r="F257" s="2"/>
      <c r="G257" s="32"/>
      <c r="H257" s="2"/>
      <c r="I257" s="32"/>
    </row>
    <row r="258" spans="1:9" ht="15.75">
      <c r="A258" s="2"/>
      <c r="B258" s="2"/>
      <c r="C258" s="2"/>
      <c r="D258" s="2"/>
      <c r="E258" s="2"/>
      <c r="F258" s="2"/>
      <c r="G258" s="32"/>
      <c r="H258" s="2"/>
      <c r="I258" s="32"/>
    </row>
    <row r="259" spans="1:9" ht="15.75">
      <c r="A259" s="2"/>
      <c r="B259" s="2"/>
      <c r="C259" s="2"/>
      <c r="D259" s="2"/>
      <c r="E259" s="2"/>
      <c r="F259" s="2"/>
      <c r="G259" s="32"/>
      <c r="H259" s="2"/>
      <c r="I259" s="32"/>
    </row>
    <row r="260" spans="1:9" ht="15.75">
      <c r="A260" s="2"/>
      <c r="B260" s="2"/>
      <c r="C260" s="2"/>
      <c r="D260" s="2"/>
      <c r="E260" s="2"/>
      <c r="F260" s="2"/>
      <c r="G260" s="32"/>
      <c r="H260" s="2"/>
      <c r="I260" s="32"/>
    </row>
    <row r="261" spans="1:9" ht="15.75">
      <c r="A261" s="2"/>
      <c r="B261" s="2"/>
      <c r="C261" s="2"/>
      <c r="D261" s="2"/>
      <c r="E261" s="2"/>
      <c r="F261" s="2"/>
      <c r="G261" s="32"/>
      <c r="H261" s="2"/>
      <c r="I261" s="32"/>
    </row>
    <row r="262" spans="1:9" ht="15.75">
      <c r="A262" s="2"/>
      <c r="B262" s="2"/>
      <c r="C262" s="2"/>
      <c r="D262" s="2"/>
      <c r="E262" s="2"/>
      <c r="F262" s="2"/>
      <c r="G262" s="32"/>
      <c r="H262" s="2"/>
      <c r="I262" s="32"/>
    </row>
    <row r="263" spans="1:9" ht="15.75">
      <c r="A263" s="2"/>
      <c r="B263" s="2"/>
      <c r="C263" s="2"/>
      <c r="D263" s="2"/>
      <c r="E263" s="2"/>
      <c r="F263" s="2"/>
      <c r="G263" s="32"/>
      <c r="H263" s="2"/>
      <c r="I263" s="32"/>
    </row>
    <row r="264" spans="1:9" ht="15.75">
      <c r="A264" s="2"/>
      <c r="B264" s="2"/>
      <c r="C264" s="2"/>
      <c r="D264" s="2"/>
      <c r="E264" s="2"/>
      <c r="F264" s="2"/>
      <c r="G264" s="32"/>
      <c r="H264" s="2"/>
      <c r="I264" s="32"/>
    </row>
    <row r="265" spans="1:9" ht="15.75">
      <c r="A265" s="2"/>
      <c r="B265" s="2"/>
      <c r="C265" s="2"/>
      <c r="D265" s="2"/>
      <c r="E265" s="2"/>
      <c r="F265" s="2"/>
      <c r="G265" s="32"/>
      <c r="H265" s="2"/>
      <c r="I265" s="32"/>
    </row>
    <row r="266" spans="1:9" ht="15.75">
      <c r="A266" s="2"/>
      <c r="B266" s="2"/>
      <c r="C266" s="2"/>
      <c r="D266" s="2"/>
      <c r="E266" s="2"/>
      <c r="F266" s="2"/>
      <c r="G266" s="32"/>
      <c r="H266" s="2"/>
      <c r="I266" s="32"/>
    </row>
    <row r="267" spans="1:9" ht="15.75">
      <c r="A267" s="2"/>
      <c r="B267" s="2"/>
      <c r="C267" s="2"/>
      <c r="D267" s="2"/>
      <c r="E267" s="2"/>
      <c r="F267" s="2"/>
      <c r="G267" s="32"/>
      <c r="H267" s="2"/>
      <c r="I267" s="32"/>
    </row>
    <row r="268" spans="1:9" ht="15.75">
      <c r="A268" s="2"/>
      <c r="B268" s="2"/>
      <c r="C268" s="2"/>
      <c r="D268" s="2"/>
      <c r="E268" s="2"/>
      <c r="F268" s="2"/>
      <c r="G268" s="32"/>
      <c r="H268" s="2"/>
      <c r="I268" s="32"/>
    </row>
    <row r="269" spans="1:9" ht="15.75">
      <c r="A269" s="2"/>
      <c r="B269" s="2"/>
      <c r="C269" s="2"/>
      <c r="D269" s="2"/>
      <c r="E269" s="2"/>
      <c r="F269" s="2"/>
      <c r="G269" s="32"/>
      <c r="H269" s="2"/>
      <c r="I269" s="32"/>
    </row>
    <row r="270" spans="1:9" ht="15.75">
      <c r="A270" s="2"/>
      <c r="B270" s="2"/>
      <c r="C270" s="2"/>
      <c r="D270" s="2"/>
      <c r="E270" s="2"/>
      <c r="F270" s="2"/>
      <c r="G270" s="32"/>
      <c r="H270" s="2"/>
      <c r="I270" s="32"/>
    </row>
    <row r="271" spans="1:9" ht="15.75">
      <c r="A271" s="2"/>
      <c r="B271" s="2"/>
      <c r="C271" s="2"/>
      <c r="D271" s="2"/>
      <c r="E271" s="2"/>
      <c r="F271" s="2"/>
      <c r="G271" s="32"/>
      <c r="H271" s="2"/>
      <c r="I271" s="32"/>
    </row>
  </sheetData>
  <sheetProtection password="D94D" sheet="1"/>
  <mergeCells count="93">
    <mergeCell ref="F40:K40"/>
    <mergeCell ref="C133:D133"/>
    <mergeCell ref="C122:D122"/>
    <mergeCell ref="C123:D123"/>
    <mergeCell ref="C101:D101"/>
    <mergeCell ref="C88:D88"/>
    <mergeCell ref="C74:D74"/>
    <mergeCell ref="C113:D113"/>
    <mergeCell ref="C124:D124"/>
    <mergeCell ref="C127:D127"/>
    <mergeCell ref="C125:D125"/>
    <mergeCell ref="C112:D112"/>
    <mergeCell ref="C120:D120"/>
    <mergeCell ref="C121:D121"/>
    <mergeCell ref="F118:K118"/>
    <mergeCell ref="C119:D119"/>
    <mergeCell ref="F11:K11"/>
    <mergeCell ref="F12:K12"/>
    <mergeCell ref="F27:K27"/>
    <mergeCell ref="F28:K28"/>
    <mergeCell ref="F38:K38"/>
    <mergeCell ref="A1:D1"/>
    <mergeCell ref="A2:D2"/>
    <mergeCell ref="A3:D3"/>
    <mergeCell ref="B44:D44"/>
    <mergeCell ref="A46:D46"/>
    <mergeCell ref="A8:C8"/>
    <mergeCell ref="A28:C28"/>
    <mergeCell ref="B26:D26"/>
    <mergeCell ref="B37:D37"/>
    <mergeCell ref="A39:D39"/>
    <mergeCell ref="B155:D155"/>
    <mergeCell ref="B151:D151"/>
    <mergeCell ref="C154:D154"/>
    <mergeCell ref="B149:D149"/>
    <mergeCell ref="B150:D150"/>
    <mergeCell ref="B152:D152"/>
    <mergeCell ref="C146:D146"/>
    <mergeCell ref="C137:D137"/>
    <mergeCell ref="C141:D141"/>
    <mergeCell ref="C142:D142"/>
    <mergeCell ref="B153:D153"/>
    <mergeCell ref="C144:D144"/>
    <mergeCell ref="F139:K139"/>
    <mergeCell ref="C94:D94"/>
    <mergeCell ref="C95:D95"/>
    <mergeCell ref="C75:D75"/>
    <mergeCell ref="C76:D76"/>
    <mergeCell ref="C77:D77"/>
    <mergeCell ref="C78:D78"/>
    <mergeCell ref="C128:D128"/>
    <mergeCell ref="C129:D129"/>
    <mergeCell ref="F114:K114"/>
    <mergeCell ref="C138:D138"/>
    <mergeCell ref="C134:D134"/>
    <mergeCell ref="C126:D126"/>
    <mergeCell ref="C93:D93"/>
    <mergeCell ref="C86:D86"/>
    <mergeCell ref="C84:D84"/>
    <mergeCell ref="F41:K41"/>
    <mergeCell ref="F91:K91"/>
    <mergeCell ref="F92:K92"/>
    <mergeCell ref="C107:D107"/>
    <mergeCell ref="F47:K47"/>
    <mergeCell ref="B54:D54"/>
    <mergeCell ref="F48:K48"/>
    <mergeCell ref="F58:K58"/>
    <mergeCell ref="B51:D51"/>
    <mergeCell ref="C85:D85"/>
    <mergeCell ref="C87:D87"/>
    <mergeCell ref="C96:D96"/>
    <mergeCell ref="C97:D97"/>
    <mergeCell ref="E150:K150"/>
    <mergeCell ref="C102:D102"/>
    <mergeCell ref="C103:D103"/>
    <mergeCell ref="C104:D104"/>
    <mergeCell ref="C105:D105"/>
    <mergeCell ref="C106:D106"/>
    <mergeCell ref="C145:D145"/>
    <mergeCell ref="C140:D140"/>
    <mergeCell ref="C111:D111"/>
    <mergeCell ref="C143:D143"/>
    <mergeCell ref="C108:D108"/>
    <mergeCell ref="C109:D109"/>
    <mergeCell ref="C110:D110"/>
    <mergeCell ref="C130:D130"/>
    <mergeCell ref="C135:D135"/>
    <mergeCell ref="C136:D136"/>
    <mergeCell ref="C131:D131"/>
    <mergeCell ref="C132:D132"/>
    <mergeCell ref="C98:D98"/>
    <mergeCell ref="C99:D99"/>
    <mergeCell ref="C100:D100"/>
  </mergeCells>
  <conditionalFormatting sqref="A1:D3">
    <cfRule type="containsText" dxfId="350" priority="2" stopIfTrue="1" operator="containsText" text="Enter">
      <formula>NOT(ISERROR(SEARCH("Enter",A1)))</formula>
    </cfRule>
  </conditionalFormatting>
  <conditionalFormatting sqref="E89:F89 H89 J89">
    <cfRule type="containsText" dxfId="349" priority="1" stopIfTrue="1" operator="containsText" text="Total must equal amount in Cell E63 Above">
      <formula>NOT(ISERROR(SEARCH("Total must equal amount in Cell E63 Above",E89)))</formula>
    </cfRule>
  </conditionalFormatting>
  <pageMargins left="0.7" right="0.7" top="0.75" bottom="0.75" header="0.3" footer="0.3"/>
  <pageSetup scale="62" fitToHeight="0" orientation="landscape" r:id="rId1"/>
  <headerFooter>
    <oddFooter>Page &amp;P of &amp;N</oddFooter>
  </headerFooter>
  <rowBreaks count="2" manualBreakCount="2">
    <brk id="47" max="10" man="1"/>
    <brk id="72" max="16383" man="1"/>
  </row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theme="6" tint="-0.249977111117893"/>
    <pageSetUpPr autoPageBreaks="0" fitToPage="1"/>
  </sheetPr>
  <dimension ref="A1:AC85"/>
  <sheetViews>
    <sheetView showGridLines="0" zoomScaleNormal="100" zoomScaleSheetLayoutView="100" workbookViewId="0">
      <pane xSplit="4" ySplit="10" topLeftCell="E62" activePane="bottomRight" state="frozen"/>
      <selection activeCell="J13" sqref="J13"/>
      <selection pane="topRight" activeCell="J13" sqref="J13"/>
      <selection pane="bottomLeft" activeCell="J13" sqref="J13"/>
      <selection pane="bottomRight" activeCell="J70" sqref="J70"/>
    </sheetView>
  </sheetViews>
  <sheetFormatPr defaultColWidth="9.28515625" defaultRowHeight="12.75"/>
  <cols>
    <col min="1" max="1" width="5.42578125" customWidth="1"/>
    <col min="2" max="2" width="3.7109375" customWidth="1"/>
    <col min="3" max="3" width="82" customWidth="1"/>
    <col min="4" max="4" width="10.42578125" customWidth="1"/>
    <col min="5" max="6" width="14.5703125" customWidth="1"/>
    <col min="7" max="7" width="10.5703125" customWidth="1"/>
    <col min="8" max="8" width="14.5703125" customWidth="1"/>
    <col min="9" max="9" width="10.5703125" customWidth="1"/>
    <col min="10" max="10" width="14.5703125" customWidth="1"/>
    <col min="11" max="11" width="10.5703125" customWidth="1"/>
    <col min="12" max="12" width="4" style="1203" customWidth="1"/>
    <col min="13" max="13" width="3.7109375" customWidth="1"/>
    <col min="14" max="14" width="3.28515625" customWidth="1"/>
    <col min="15" max="22" width="9.28515625" customWidth="1"/>
    <col min="23" max="23" width="3.7109375" customWidth="1"/>
    <col min="24" max="24" width="3.28515625" customWidth="1"/>
    <col min="25" max="35" width="9.28515625" customWidth="1"/>
  </cols>
  <sheetData>
    <row r="1" spans="1:19" ht="15.75">
      <c r="A1" s="1645" t="str">
        <f>IF('BUDGET-CERTIFICATION'!$H$1="","CHARTER NAME: Enter Charter Name on BUDGET-CERTIFICATION Worksheet",(CONCATENATE("CHARTER NAME: ",'BUDGET-CERTIFICATION'!$H$1)))</f>
        <v>CHARTER NAME: Elite Academic Academy - Virtual Prep Lucerne</v>
      </c>
      <c r="B1" s="1645"/>
      <c r="C1" s="1645"/>
      <c r="D1" s="1645"/>
      <c r="E1" s="12"/>
      <c r="F1" s="12"/>
      <c r="G1" s="158"/>
      <c r="H1" s="12"/>
      <c r="I1" s="157"/>
      <c r="J1" s="1"/>
      <c r="K1" s="159"/>
      <c r="M1" s="1203"/>
      <c r="N1" s="1203"/>
      <c r="O1" s="1203"/>
      <c r="P1" s="1203"/>
      <c r="Q1" s="1203"/>
      <c r="R1" s="1203"/>
      <c r="S1" s="1203"/>
    </row>
    <row r="2" spans="1:19" ht="15.75">
      <c r="A2" s="1645" t="str">
        <f>IF('BUDGET-CERTIFICATION'!$H$2="","CDS #: Enter Charter CDS # on BUDGET-CERTIFICATION Worksheet",(_xlfn.CONCAT("CDS #: ",'BUDGET-CERTIFICATION'!$H$2)))</f>
        <v>CDS #: 36-75051-0138107</v>
      </c>
      <c r="B2" s="1645"/>
      <c r="C2" s="1645"/>
      <c r="D2" s="1645"/>
      <c r="E2" s="12"/>
      <c r="F2" s="82"/>
      <c r="G2" s="158"/>
      <c r="H2" s="82"/>
      <c r="I2" s="158"/>
      <c r="J2" s="1"/>
      <c r="K2" s="159"/>
      <c r="M2" s="1203"/>
      <c r="N2" s="1203"/>
      <c r="O2" s="1203"/>
      <c r="P2" s="1203"/>
      <c r="Q2" s="1203"/>
      <c r="R2" s="1203"/>
      <c r="S2" s="1203"/>
    </row>
    <row r="3" spans="1:19" ht="15.75">
      <c r="A3" s="1645" t="str">
        <f>IF('BUDGET-CERTIFICATION'!$H$5="","CHARTER #: Enter Charter # on BUDGET-CERTIFICATION Worksheet",(_xlfn.CONCAT("CHARTER #: ",'BUDGET-CERTIFICATION'!$H$5)))</f>
        <v>CHARTER #: 1975</v>
      </c>
      <c r="B3" s="1645"/>
      <c r="C3" s="1645"/>
      <c r="D3" s="1645"/>
      <c r="E3" s="12"/>
      <c r="F3" s="12"/>
      <c r="G3" s="157"/>
      <c r="H3" s="12"/>
      <c r="I3" s="157"/>
      <c r="J3" s="1"/>
      <c r="K3" s="159"/>
      <c r="M3" s="1203"/>
      <c r="N3" s="1203"/>
      <c r="O3" s="1203"/>
      <c r="P3" s="1203"/>
      <c r="Q3" s="1203"/>
      <c r="R3" s="1203"/>
      <c r="S3" s="1203"/>
    </row>
    <row r="4" spans="1:19" ht="15.75">
      <c r="A4" s="2"/>
      <c r="B4" s="53"/>
      <c r="C4" s="53"/>
      <c r="D4" s="160" t="str">
        <f>'Budget-ADA'!I4</f>
        <v>Fiscal Year 2022-23 Budget</v>
      </c>
      <c r="E4" s="53"/>
      <c r="F4" s="53"/>
      <c r="G4" s="53"/>
      <c r="H4" s="53"/>
      <c r="I4" s="53"/>
      <c r="J4" s="53"/>
      <c r="K4" s="53"/>
      <c r="M4" s="1203"/>
      <c r="N4" s="1203"/>
      <c r="O4" s="1203"/>
      <c r="P4" s="1203"/>
      <c r="Q4" s="1203"/>
      <c r="R4" s="1203"/>
      <c r="S4" s="1203"/>
    </row>
    <row r="5" spans="1:19" ht="15.75">
      <c r="A5" s="12"/>
      <c r="B5" s="12"/>
      <c r="C5" s="53"/>
      <c r="D5" s="160" t="s">
        <v>212</v>
      </c>
      <c r="E5" s="53"/>
      <c r="F5" s="53"/>
      <c r="G5" s="161"/>
      <c r="H5" s="53"/>
      <c r="I5" s="161"/>
      <c r="J5" s="1"/>
      <c r="K5" s="162"/>
      <c r="M5" s="1203"/>
      <c r="N5" s="1203"/>
      <c r="O5" s="1203"/>
      <c r="P5" s="1203"/>
      <c r="Q5" s="1203"/>
      <c r="R5" s="1203"/>
      <c r="S5" s="1203"/>
    </row>
    <row r="6" spans="1:19" ht="16.5" thickBot="1">
      <c r="A6" s="1580" t="str">
        <f>Instructions!H1</f>
        <v>Form Orignated 5/16/2022</v>
      </c>
      <c r="B6" s="12"/>
      <c r="C6" s="12"/>
      <c r="D6" s="12"/>
      <c r="E6" s="12"/>
      <c r="F6" s="12"/>
      <c r="G6" s="157"/>
      <c r="H6" s="12"/>
      <c r="I6" s="157"/>
      <c r="J6" s="1"/>
      <c r="K6" s="159"/>
      <c r="M6" s="1203"/>
      <c r="N6" s="1203"/>
      <c r="O6" s="1203"/>
      <c r="P6" s="1203"/>
      <c r="Q6" s="1203"/>
      <c r="R6" s="1203"/>
      <c r="S6" s="1203"/>
    </row>
    <row r="7" spans="1:19" ht="15.75">
      <c r="A7" s="242"/>
      <c r="B7" s="237"/>
      <c r="C7" s="237"/>
      <c r="D7" s="299"/>
      <c r="E7" s="300"/>
      <c r="F7" s="300"/>
      <c r="G7" s="301"/>
      <c r="H7" s="300" t="s">
        <v>2</v>
      </c>
      <c r="I7" s="301"/>
      <c r="J7" s="300" t="s">
        <v>2</v>
      </c>
      <c r="K7" s="302"/>
      <c r="M7" s="1203"/>
      <c r="N7" s="1203"/>
      <c r="O7" s="1203"/>
      <c r="P7" s="1203"/>
      <c r="Q7" s="1203"/>
      <c r="R7" s="1203"/>
      <c r="S7" s="1203"/>
    </row>
    <row r="8" spans="1:19" ht="15.75">
      <c r="A8" s="1703" t="s">
        <v>21</v>
      </c>
      <c r="B8" s="1704"/>
      <c r="C8" s="1704"/>
      <c r="D8" s="54"/>
      <c r="E8" s="14" t="s">
        <v>93</v>
      </c>
      <c r="F8" s="14" t="s">
        <v>17</v>
      </c>
      <c r="G8" s="163" t="s">
        <v>18</v>
      </c>
      <c r="H8" s="14" t="s">
        <v>19</v>
      </c>
      <c r="I8" s="163" t="s">
        <v>18</v>
      </c>
      <c r="J8" s="14" t="s">
        <v>19</v>
      </c>
      <c r="K8" s="303" t="s">
        <v>18</v>
      </c>
      <c r="M8" s="1203"/>
      <c r="N8" s="1203"/>
      <c r="O8" s="1203"/>
      <c r="P8" s="1203"/>
      <c r="Q8" s="1203"/>
      <c r="R8" s="1203"/>
      <c r="S8" s="1203"/>
    </row>
    <row r="9" spans="1:19" ht="15.75">
      <c r="A9" s="68"/>
      <c r="B9" s="1"/>
      <c r="C9" s="1"/>
      <c r="D9" s="54"/>
      <c r="E9" s="14" t="s">
        <v>20</v>
      </c>
      <c r="F9" s="14" t="s">
        <v>16</v>
      </c>
      <c r="G9" s="163" t="s">
        <v>22</v>
      </c>
      <c r="H9" s="14" t="s">
        <v>16</v>
      </c>
      <c r="I9" s="163" t="s">
        <v>22</v>
      </c>
      <c r="J9" s="14" t="s">
        <v>16</v>
      </c>
      <c r="K9" s="303" t="s">
        <v>22</v>
      </c>
      <c r="M9" s="1203"/>
      <c r="N9" s="1203"/>
      <c r="O9" s="1203"/>
      <c r="P9" s="1203"/>
      <c r="Q9" s="1203"/>
      <c r="R9" s="1203"/>
      <c r="S9" s="1203"/>
    </row>
    <row r="10" spans="1:19" ht="16.5" thickBot="1">
      <c r="A10" s="304"/>
      <c r="B10" s="164"/>
      <c r="C10" s="164"/>
      <c r="D10" s="55"/>
      <c r="E10" s="15" t="str">
        <f>'Budget-Restricted MYP'!E10</f>
        <v>2021-22</v>
      </c>
      <c r="F10" s="15" t="str">
        <f>'Budget-Restricted MYP'!F10</f>
        <v>2022-23</v>
      </c>
      <c r="G10" s="165"/>
      <c r="H10" s="15" t="str">
        <f>'Budget-Restricted MYP'!H10</f>
        <v>2023-24</v>
      </c>
      <c r="I10" s="165"/>
      <c r="J10" s="15" t="str">
        <f>'Budget-Restricted MYP'!J10</f>
        <v>2024-25</v>
      </c>
      <c r="K10" s="305"/>
      <c r="M10" s="1203"/>
      <c r="N10" s="1203"/>
      <c r="O10" s="1203"/>
      <c r="P10" s="1203"/>
      <c r="Q10" s="1203"/>
      <c r="R10" s="1203"/>
      <c r="S10" s="1203"/>
    </row>
    <row r="11" spans="1:19" ht="16.5" thickTop="1">
      <c r="A11" s="306" t="s">
        <v>1</v>
      </c>
      <c r="B11" s="1"/>
      <c r="C11" s="1"/>
      <c r="D11" s="337"/>
      <c r="E11" s="13"/>
      <c r="F11" s="1721"/>
      <c r="G11" s="1721"/>
      <c r="H11" s="1721"/>
      <c r="I11" s="1721"/>
      <c r="J11" s="1721"/>
      <c r="K11" s="1722"/>
      <c r="M11" s="1203"/>
      <c r="N11" s="1203"/>
      <c r="O11" s="1203"/>
      <c r="P11" s="1203"/>
      <c r="Q11" s="1203"/>
      <c r="R11" s="1203"/>
      <c r="S11" s="1203"/>
    </row>
    <row r="12" spans="1:19" ht="15.75">
      <c r="A12" s="306"/>
      <c r="B12" s="147" t="s">
        <v>306</v>
      </c>
      <c r="C12" s="141"/>
      <c r="D12" s="141"/>
      <c r="E12" s="366"/>
      <c r="F12" s="1753"/>
      <c r="G12" s="1753"/>
      <c r="H12" s="1753"/>
      <c r="I12" s="1753"/>
      <c r="J12" s="1753"/>
      <c r="K12" s="1754"/>
      <c r="M12" s="1203"/>
      <c r="N12" s="1203"/>
      <c r="O12" s="1203"/>
      <c r="P12" s="1203"/>
      <c r="Q12" s="1203"/>
      <c r="R12" s="1203"/>
      <c r="S12" s="1203"/>
    </row>
    <row r="13" spans="1:19" ht="15.75">
      <c r="A13" s="306"/>
      <c r="B13" s="147"/>
      <c r="C13" s="280" t="s">
        <v>155</v>
      </c>
      <c r="D13" s="346">
        <v>8011</v>
      </c>
      <c r="E13" s="761">
        <f>'Budget-Unrestricted MYP'!E13+'Budget-Restricted MYP'!E13</f>
        <v>4278045</v>
      </c>
      <c r="F13" s="762">
        <f>'Budget-Unrestricted MYP'!F13+'Budget-Restricted MYP'!F13</f>
        <v>8090636.0600000005</v>
      </c>
      <c r="G13" s="50">
        <f>IF(E13&lt;1," ",IF(F13&lt;1," ",(F13-E13)/E13))</f>
        <v>0.89119938196068549</v>
      </c>
      <c r="H13" s="764">
        <f>'Budget-Unrestricted MYP'!H13+'Budget-Restricted MYP'!H13</f>
        <v>8398465.5099999998</v>
      </c>
      <c r="I13" s="50">
        <f>IF(F13&lt;1," ",IF(H13&lt;1," ",(H13-F13)/F13))</f>
        <v>3.8047620448768429E-2</v>
      </c>
      <c r="J13" s="764">
        <f>'Budget-Unrestricted MYP'!J13+'Budget-Restricted MYP'!J13</f>
        <v>8719664.7799999993</v>
      </c>
      <c r="K13" s="367">
        <f>IF(H13&lt;1," ",IF(J13&lt;1," ",(J13-H13)/H13))</f>
        <v>3.8244994828823146E-2</v>
      </c>
      <c r="M13" s="1203"/>
      <c r="N13" s="1203"/>
      <c r="O13" s="1203"/>
      <c r="P13" s="1203"/>
      <c r="Q13" s="1203"/>
      <c r="R13" s="1203"/>
      <c r="S13" s="1203"/>
    </row>
    <row r="14" spans="1:19" ht="15.75">
      <c r="A14" s="306"/>
      <c r="B14" s="147"/>
      <c r="C14" s="280" t="s">
        <v>156</v>
      </c>
      <c r="D14" s="346">
        <v>8012</v>
      </c>
      <c r="E14" s="761">
        <f>'Budget-Unrestricted MYP'!E14+'Budget-Restricted MYP'!E14</f>
        <v>79202</v>
      </c>
      <c r="F14" s="762">
        <f>'Budget-Unrestricted MYP'!F14+'Budget-Restricted MYP'!F14</f>
        <v>157400</v>
      </c>
      <c r="G14" s="50">
        <f>IF(E14&lt;1," ",IF(F14&lt;1," ",(F14-E14)/E14))</f>
        <v>0.98732355243554459</v>
      </c>
      <c r="H14" s="764">
        <f>'Budget-Unrestricted MYP'!H14+'Budget-Restricted MYP'!H14</f>
        <v>157400</v>
      </c>
      <c r="I14" s="50">
        <f>IF(F14&lt;1," ",IF(H14&lt;1," ",(H14-F14)/F14))</f>
        <v>0</v>
      </c>
      <c r="J14" s="765">
        <f>'Budget-Unrestricted MYP'!J14+'Budget-Restricted MYP'!J14</f>
        <v>157400</v>
      </c>
      <c r="K14" s="367">
        <f>IF(H14&lt;1," ",IF(J14&lt;1," ",(J14-H14)/H14))</f>
        <v>0</v>
      </c>
      <c r="M14" s="1203"/>
      <c r="N14" s="1203"/>
      <c r="O14" s="1203"/>
      <c r="P14" s="1203"/>
      <c r="Q14" s="1203"/>
      <c r="R14" s="1203"/>
      <c r="S14" s="1203"/>
    </row>
    <row r="15" spans="1:19" ht="15.75">
      <c r="A15" s="68"/>
      <c r="B15" s="147"/>
      <c r="C15" s="280" t="s">
        <v>304</v>
      </c>
      <c r="D15" s="346">
        <v>8019</v>
      </c>
      <c r="E15" s="761">
        <f>'Budget-Unrestricted MYP'!E15+'Budget-Restricted MYP'!E15</f>
        <v>-1398.94</v>
      </c>
      <c r="F15" s="762">
        <f>'Budget-Unrestricted MYP'!F15+'Budget-Restricted MYP'!F15</f>
        <v>0</v>
      </c>
      <c r="G15" s="50" t="str">
        <f>IF(E15&lt;1," ",IF(F15&lt;1," ",(F15-E15)/E15))</f>
        <v xml:space="preserve"> </v>
      </c>
      <c r="H15" s="764">
        <f>'Budget-Unrestricted MYP'!H15+'Budget-Restricted MYP'!H15</f>
        <v>0</v>
      </c>
      <c r="I15" s="50" t="str">
        <f>IF(F15&lt;1," ",IF(H15&lt;1," ",(H15-F15)/F15))</f>
        <v xml:space="preserve"> </v>
      </c>
      <c r="J15" s="765">
        <f>'Budget-Unrestricted MYP'!J15+'Budget-Restricted MYP'!J15</f>
        <v>0</v>
      </c>
      <c r="K15" s="367" t="str">
        <f>IF(H15&lt;1," ",IF(J15&lt;1," ",(J15-H15)/H15))</f>
        <v xml:space="preserve"> </v>
      </c>
      <c r="M15" s="1203"/>
      <c r="N15" s="1203"/>
      <c r="O15" s="1203"/>
      <c r="P15" s="1203"/>
      <c r="Q15" s="1203"/>
      <c r="R15" s="1203"/>
      <c r="S15" s="1203"/>
    </row>
    <row r="16" spans="1:19" ht="15.75">
      <c r="A16" s="68"/>
      <c r="B16" s="147"/>
      <c r="C16" s="280" t="s">
        <v>305</v>
      </c>
      <c r="D16" s="346">
        <v>8096</v>
      </c>
      <c r="E16" s="761">
        <f>'Budget-Unrestricted MYP'!E16+'Budget-Restricted MYP'!E16</f>
        <v>105786</v>
      </c>
      <c r="F16" s="762">
        <f>'Budget-Unrestricted MYP'!F16+'Budget-Restricted MYP'!F16</f>
        <v>204132</v>
      </c>
      <c r="G16" s="50">
        <f>IF(E16&lt;1," ",IF(F16&lt;1," ",(F16-E16)/E16))</f>
        <v>0.92966933242584082</v>
      </c>
      <c r="H16" s="765">
        <f>'Budget-Unrestricted MYP'!H16+'Budget-Restricted MYP'!H16</f>
        <v>203258.49</v>
      </c>
      <c r="I16" s="31">
        <f>IF(F16&lt;1," ",IF(H16&lt;1," ",(H16-F16)/F16))</f>
        <v>-4.2791429075304671E-3</v>
      </c>
      <c r="J16" s="765">
        <f>'Budget-Unrestricted MYP'!J16+'Budget-Restricted MYP'!J16</f>
        <v>203093.22</v>
      </c>
      <c r="K16" s="311">
        <f>IF(H16&lt;1," ",IF(J16&lt;1," ",(J16-H16)/H16))</f>
        <v>-8.1310256708091023E-4</v>
      </c>
      <c r="M16" s="1203"/>
      <c r="N16" s="1203"/>
      <c r="O16" s="1203"/>
      <c r="P16" s="1203"/>
      <c r="Q16" s="1203"/>
      <c r="R16" s="1203"/>
      <c r="S16" s="1203"/>
    </row>
    <row r="17" spans="1:19" ht="15.75">
      <c r="A17" s="68"/>
      <c r="B17" s="147" t="s">
        <v>307</v>
      </c>
      <c r="C17" s="280"/>
      <c r="D17" s="346" t="s">
        <v>99</v>
      </c>
      <c r="E17" s="761">
        <f>'Budget-Unrestricted MYP'!E17+'Budget-Restricted MYP'!E17</f>
        <v>63054</v>
      </c>
      <c r="F17" s="763">
        <f>'Budget-Unrestricted MYP'!F17+'Budget-Restricted MYP'!F17</f>
        <v>534875</v>
      </c>
      <c r="G17" s="50">
        <f>IF(E17&lt;1," ",IF(F17&lt;1," ",(F17-E17)/E17))</f>
        <v>7.4828083864623975</v>
      </c>
      <c r="H17" s="761">
        <f>'Budget-Unrestricted MYP'!H17+'Budget-Restricted MYP'!H17</f>
        <v>0</v>
      </c>
      <c r="I17" s="31" t="str">
        <f>IF(F17&lt;1," ",IF(H17&lt;1," ",(H17-F17)/F17))</f>
        <v xml:space="preserve"> </v>
      </c>
      <c r="J17" s="761">
        <f>'Budget-Unrestricted MYP'!J17+'Budget-Restricted MYP'!J17</f>
        <v>0</v>
      </c>
      <c r="K17" s="311" t="str">
        <f>IF(H17&lt;1," ",IF(J17&lt;1," ",(J17-H17)/H17))</f>
        <v xml:space="preserve"> </v>
      </c>
      <c r="M17" s="1203"/>
      <c r="N17" s="1203"/>
      <c r="O17" s="1203"/>
      <c r="P17" s="1203"/>
      <c r="Q17" s="1203"/>
      <c r="R17" s="1203"/>
      <c r="S17" s="1203"/>
    </row>
    <row r="18" spans="1:19" ht="15.75">
      <c r="A18" s="68"/>
      <c r="B18" s="147" t="s">
        <v>308</v>
      </c>
      <c r="C18" s="141"/>
      <c r="D18" s="141"/>
      <c r="E18" s="81"/>
      <c r="F18" s="81"/>
      <c r="G18" s="636"/>
      <c r="H18" s="81"/>
      <c r="I18" s="636"/>
      <c r="J18" s="81"/>
      <c r="K18" s="640"/>
      <c r="M18" s="1203"/>
      <c r="N18" s="1203"/>
      <c r="O18" s="1203"/>
      <c r="P18" s="1203"/>
      <c r="Q18" s="1203"/>
      <c r="R18" s="1203"/>
      <c r="S18" s="1203"/>
    </row>
    <row r="19" spans="1:19" ht="15.75">
      <c r="A19" s="68"/>
      <c r="B19" s="147"/>
      <c r="C19" s="280" t="s">
        <v>309</v>
      </c>
      <c r="D19" s="346">
        <v>8560</v>
      </c>
      <c r="E19" s="761">
        <f>'Budget-Unrestricted MYP'!E19+'Budget-Restricted MYP'!E19</f>
        <v>69488</v>
      </c>
      <c r="F19" s="762">
        <f>'Budget-Unrestricted MYP'!F19+'Budget-Restricted MYP'!F19</f>
        <v>133984.37325999999</v>
      </c>
      <c r="G19" s="50">
        <f>IF(E19&lt;1," ",IF(F19&lt;1," ",(F19-E19)/E19))</f>
        <v>0.92816562946120185</v>
      </c>
      <c r="H19" s="767">
        <f>'Budget-Unrestricted MYP'!H19+'Budget-Restricted MYP'!H19</f>
        <v>133984.37325999999</v>
      </c>
      <c r="I19" s="31">
        <f>IF(F19&lt;1," ",IF(H19&lt;1," ",(H19-F19)/F19))</f>
        <v>0</v>
      </c>
      <c r="J19" s="765">
        <f>'Budget-Unrestricted MYP'!J19+'Budget-Restricted MYP'!J19</f>
        <v>133984.37325999999</v>
      </c>
      <c r="K19" s="311">
        <f>IF(H19&lt;1," ",IF(J19&lt;1," ",(J19-H19)/H19))</f>
        <v>0</v>
      </c>
      <c r="M19" s="1203"/>
      <c r="N19" s="1203"/>
      <c r="O19" s="1203"/>
      <c r="P19" s="1203"/>
      <c r="Q19" s="1203"/>
      <c r="R19" s="1203"/>
      <c r="S19" s="1203"/>
    </row>
    <row r="20" spans="1:19" ht="15.75">
      <c r="A20" s="68"/>
      <c r="B20" s="147"/>
      <c r="C20" s="280" t="s">
        <v>310</v>
      </c>
      <c r="D20" s="346">
        <v>8560</v>
      </c>
      <c r="E20" s="766">
        <f>'Budget-Unrestricted MYP'!E20+'Budget-Restricted MYP'!E20</f>
        <v>1132.1399999999999</v>
      </c>
      <c r="F20" s="763">
        <f>'Budget-Unrestricted MYP'!F20+'Budget-Restricted MYP'!F20</f>
        <v>0</v>
      </c>
      <c r="G20" s="31" t="str">
        <f>IF(E20&lt;1," ",IF(F20&lt;1," ",(F20-E20)/E20))</f>
        <v xml:space="preserve"> </v>
      </c>
      <c r="H20" s="767">
        <f>'Budget-Unrestricted MYP'!H20+'Budget-Restricted MYP'!H20</f>
        <v>0</v>
      </c>
      <c r="I20" s="31" t="str">
        <f>IF(F20&lt;1," ",IF(H20&lt;1," ",(H20-F20)/F20))</f>
        <v xml:space="preserve"> </v>
      </c>
      <c r="J20" s="765">
        <f>'Budget-Unrestricted MYP'!J20+'Budget-Restricted MYP'!J20</f>
        <v>0</v>
      </c>
      <c r="K20" s="311" t="str">
        <f>IF(H20&lt;1," ",IF(J20&lt;1," ",(J20-H20)/H20))</f>
        <v xml:space="preserve"> </v>
      </c>
      <c r="M20" s="1203"/>
      <c r="N20" s="1203"/>
      <c r="O20" s="1203"/>
      <c r="P20" s="1203"/>
      <c r="Q20" s="1203"/>
      <c r="R20" s="1203"/>
      <c r="S20" s="1203"/>
    </row>
    <row r="21" spans="1:19" ht="15.75">
      <c r="A21" s="68"/>
      <c r="B21" s="147"/>
      <c r="C21" s="280" t="s">
        <v>311</v>
      </c>
      <c r="D21" s="346" t="s">
        <v>100</v>
      </c>
      <c r="E21" s="761">
        <f>'Budget-Unrestricted MYP'!E21+'Budget-Restricted MYP'!E21</f>
        <v>14575</v>
      </c>
      <c r="F21" s="762">
        <f>'Budget-Unrestricted MYP'!F21+'Budget-Restricted MYP'!F21</f>
        <v>0</v>
      </c>
      <c r="G21" s="50" t="str">
        <f>IF(E21&lt;1," ",IF(F21&lt;1," ",(F21-E21)/E21))</f>
        <v xml:space="preserve"> </v>
      </c>
      <c r="H21" s="764">
        <f>'Budget-Unrestricted MYP'!H21+'Budget-Restricted MYP'!H21</f>
        <v>0</v>
      </c>
      <c r="I21" s="31" t="str">
        <f>IF(F21&lt;1," ",IF(H21&lt;1," ",(H21-F21)/F21))</f>
        <v xml:space="preserve"> </v>
      </c>
      <c r="J21" s="765">
        <f>'Budget-Unrestricted MYP'!J21+'Budget-Restricted MYP'!J21</f>
        <v>0</v>
      </c>
      <c r="K21" s="311" t="str">
        <f>IF(H21&lt;1," ",IF(J21&lt;1," ",(J21-H21)/H21))</f>
        <v xml:space="preserve"> </v>
      </c>
      <c r="M21" s="1203"/>
      <c r="N21" s="1203"/>
      <c r="O21" s="1203"/>
      <c r="P21" s="1203"/>
      <c r="Q21" s="1203"/>
      <c r="R21" s="1203"/>
      <c r="S21" s="1203"/>
    </row>
    <row r="22" spans="1:19" ht="15.75">
      <c r="A22" s="68"/>
      <c r="B22" s="147" t="s">
        <v>312</v>
      </c>
      <c r="C22" s="141"/>
      <c r="D22" s="141"/>
      <c r="E22" s="81"/>
      <c r="F22" s="81"/>
      <c r="G22" s="636"/>
      <c r="H22" s="81"/>
      <c r="I22" s="636"/>
      <c r="J22" s="81"/>
      <c r="K22" s="640"/>
      <c r="M22" s="1203"/>
      <c r="N22" s="1203"/>
      <c r="O22" s="1203"/>
      <c r="P22" s="1203"/>
      <c r="Q22" s="1203"/>
      <c r="R22" s="1203"/>
      <c r="S22" s="1203"/>
    </row>
    <row r="23" spans="1:19" ht="15.75">
      <c r="A23" s="68"/>
      <c r="B23" s="147"/>
      <c r="C23" s="280" t="s">
        <v>239</v>
      </c>
      <c r="D23" s="346">
        <v>8660</v>
      </c>
      <c r="E23" s="761">
        <f>'Budget-Unrestricted MYP'!E23+'Budget-Restricted MYP'!E23</f>
        <v>0</v>
      </c>
      <c r="F23" s="763">
        <f>'Budget-Unrestricted MYP'!F23+'Budget-Restricted MYP'!F23</f>
        <v>0</v>
      </c>
      <c r="G23" s="50" t="str">
        <f>IF(E23&lt;1," ",IF(F23&lt;1," ",(F23-E23)/E23))</f>
        <v xml:space="preserve"> </v>
      </c>
      <c r="H23" s="764">
        <f>'Budget-Unrestricted MYP'!H23+'Budget-Restricted MYP'!H23</f>
        <v>0</v>
      </c>
      <c r="I23" s="31" t="str">
        <f>IF(F23&lt;1," ",IF(H23&lt;1," ",(H23-F23)/F23))</f>
        <v xml:space="preserve"> </v>
      </c>
      <c r="J23" s="765">
        <f>'Budget-Unrestricted MYP'!J23+'Budget-Restricted MYP'!J23</f>
        <v>0</v>
      </c>
      <c r="K23" s="311" t="str">
        <f>IF(H23&lt;1," ",IF(J23&lt;1," ",(J23-H23)/H23))</f>
        <v xml:space="preserve"> </v>
      </c>
      <c r="M23" s="1203"/>
      <c r="N23" s="1203"/>
      <c r="O23" s="1203"/>
      <c r="P23" s="1203"/>
      <c r="Q23" s="1203"/>
      <c r="R23" s="1203"/>
      <c r="S23" s="1203"/>
    </row>
    <row r="24" spans="1:19" ht="15.75">
      <c r="A24" s="68"/>
      <c r="B24" s="147"/>
      <c r="C24" s="280" t="s">
        <v>313</v>
      </c>
      <c r="D24" s="346">
        <v>8792</v>
      </c>
      <c r="E24" s="761">
        <f>'Budget-Unrestricted MYP'!E24+'Budget-Restricted MYP'!E24</f>
        <v>389407</v>
      </c>
      <c r="F24" s="761">
        <f>'Budget-Unrestricted MYP'!F24+'Budget-Restricted MYP'!F24</f>
        <v>645340</v>
      </c>
      <c r="G24" s="31">
        <f>IF(E24&lt;1," ",IF(F24&lt;1," ",(F24-E24)/E24))</f>
        <v>0.65723780003954735</v>
      </c>
      <c r="H24" s="764">
        <f>'Budget-Unrestricted MYP'!H24+'Budget-Restricted MYP'!H24</f>
        <v>645340</v>
      </c>
      <c r="I24" s="31">
        <f>IF(F24&lt;1," ",IF(H24&lt;1," ",(H24-F24)/F24))</f>
        <v>0</v>
      </c>
      <c r="J24" s="765">
        <f>'Budget-Unrestricted MYP'!J24+'Budget-Restricted MYP'!J24</f>
        <v>645340</v>
      </c>
      <c r="K24" s="311">
        <f>IF(H24&lt;1," ",IF(J24&lt;1," ",(J24-H24)/H24))</f>
        <v>0</v>
      </c>
      <c r="M24" s="1203"/>
      <c r="N24" s="1203"/>
      <c r="O24" s="1203"/>
      <c r="P24" s="1203"/>
      <c r="Q24" s="1203"/>
      <c r="R24" s="1203"/>
      <c r="S24" s="1203"/>
    </row>
    <row r="25" spans="1:19" ht="16.5" thickBot="1">
      <c r="A25" s="68"/>
      <c r="B25" s="899"/>
      <c r="C25" s="932" t="s">
        <v>314</v>
      </c>
      <c r="D25" s="933" t="s">
        <v>101</v>
      </c>
      <c r="E25" s="815">
        <f>'Budget-Unrestricted MYP'!E25+'Budget-Restricted MYP'!E25</f>
        <v>0</v>
      </c>
      <c r="F25" s="768">
        <f>'Budget-Unrestricted MYP'!F25+'Budget-Restricted MYP'!F25</f>
        <v>0</v>
      </c>
      <c r="G25" s="596" t="str">
        <f>IF(E25&lt;1," ",IF(F25&lt;1," ",(F25-E25)/E25))</f>
        <v xml:space="preserve"> </v>
      </c>
      <c r="H25" s="769">
        <f>'Budget-Unrestricted MYP'!H25+'Budget-Restricted MYP'!H25</f>
        <v>0</v>
      </c>
      <c r="I25" s="96" t="str">
        <f>IF(F25&lt;1," ",IF(H25&lt;1," ",(H25-F25)/F25))</f>
        <v xml:space="preserve"> </v>
      </c>
      <c r="J25" s="769">
        <f>'Budget-Unrestricted MYP'!J25+'Budget-Restricted MYP'!J25</f>
        <v>0</v>
      </c>
      <c r="K25" s="312" t="str">
        <f>IF(H25&lt;1," ",IF(J25&lt;1," ",(J25-H25)/H25))</f>
        <v xml:space="preserve"> </v>
      </c>
      <c r="M25" s="1203"/>
      <c r="N25" s="1203"/>
      <c r="O25" s="1203"/>
      <c r="P25" s="1203"/>
      <c r="Q25" s="1203"/>
      <c r="R25" s="1203"/>
      <c r="S25" s="1203"/>
    </row>
    <row r="26" spans="1:19" ht="17.25" thickTop="1" thickBot="1">
      <c r="A26" s="68"/>
      <c r="B26" s="1737" t="s">
        <v>315</v>
      </c>
      <c r="C26" s="1738"/>
      <c r="D26" s="1739"/>
      <c r="E26" s="900">
        <f>SUM(E13:E25)</f>
        <v>4999290.1999999993</v>
      </c>
      <c r="F26" s="900">
        <f>SUM(F13:F25)</f>
        <v>9766367.4332600012</v>
      </c>
      <c r="G26" s="901">
        <f>IF(E26&lt;1," ",IF(F26&lt;1," ",(F26-E26)/E26))</f>
        <v>0.95355081272537501</v>
      </c>
      <c r="H26" s="900">
        <f>SUM(H13:H25)</f>
        <v>9538448.3732600007</v>
      </c>
      <c r="I26" s="901">
        <f>IF(F26&lt;1," ",IF(H26&lt;1," ",(H26-F26)/F26))</f>
        <v>-2.3337137534249153E-2</v>
      </c>
      <c r="J26" s="900">
        <f>SUM(J13:J25)</f>
        <v>9859482.3732600007</v>
      </c>
      <c r="K26" s="902">
        <f>IF(H26&lt;1," ",IF(J26&lt;1," ",(J26-H26)/H26))</f>
        <v>3.3656836776512183E-2</v>
      </c>
      <c r="M26" s="1203"/>
      <c r="N26" s="1203"/>
      <c r="O26" s="1203"/>
      <c r="P26" s="1203"/>
      <c r="Q26" s="1203"/>
      <c r="R26" s="1203"/>
      <c r="S26" s="1203"/>
    </row>
    <row r="27" spans="1:19" ht="16.5" thickTop="1">
      <c r="A27" s="68"/>
      <c r="B27" s="1"/>
      <c r="C27" s="1"/>
      <c r="D27" s="1"/>
      <c r="E27" s="269"/>
      <c r="F27" s="1730"/>
      <c r="G27" s="1730"/>
      <c r="H27" s="1730"/>
      <c r="I27" s="1730"/>
      <c r="J27" s="1730"/>
      <c r="K27" s="1731"/>
      <c r="M27" s="1203"/>
      <c r="N27" s="1203"/>
      <c r="O27" s="1203"/>
      <c r="P27" s="1203"/>
      <c r="Q27" s="1203"/>
      <c r="R27" s="1203"/>
      <c r="S27" s="1203"/>
    </row>
    <row r="28" spans="1:19" ht="15.75">
      <c r="A28" s="1746" t="s">
        <v>3</v>
      </c>
      <c r="B28" s="1747"/>
      <c r="C28" s="1747"/>
      <c r="D28" s="155"/>
      <c r="E28" s="83"/>
      <c r="F28" s="1728"/>
      <c r="G28" s="1728"/>
      <c r="H28" s="1728"/>
      <c r="I28" s="1728"/>
      <c r="J28" s="1728"/>
      <c r="K28" s="1729"/>
      <c r="M28" s="1203"/>
      <c r="N28" s="1203"/>
      <c r="O28" s="1203"/>
      <c r="P28" s="1203"/>
      <c r="Q28" s="1203"/>
      <c r="R28" s="1203"/>
      <c r="S28" s="1203"/>
    </row>
    <row r="29" spans="1:19" ht="15.75">
      <c r="A29" s="68"/>
      <c r="B29" s="147" t="s">
        <v>4</v>
      </c>
      <c r="C29" s="280"/>
      <c r="D29" s="279" t="s">
        <v>102</v>
      </c>
      <c r="E29" s="761">
        <f>'Budget-Unrestricted MYP'!E29+'Budget-Restricted MYP'!E29</f>
        <v>1784275.5752000001</v>
      </c>
      <c r="F29" s="770">
        <f>'Budget-Unrestricted MYP'!F29+'Budget-Restricted MYP'!F29</f>
        <v>3817928</v>
      </c>
      <c r="G29" s="50">
        <f t="shared" ref="G29:G37" si="0">IF(E29&lt;1," ",IF(F29&lt;1," ",(F29-E29)/E29))</f>
        <v>1.139763640250496</v>
      </c>
      <c r="H29" s="764">
        <f>'Budget-Unrestricted MYP'!H29+'Budget-Restricted MYP'!H29</f>
        <v>3947216.53</v>
      </c>
      <c r="I29" s="50">
        <f t="shared" ref="I29:I37" si="1">IF(F29&lt;1," ",IF(H29&lt;1," ",(H29-F29)/F29))</f>
        <v>3.3863532785322246E-2</v>
      </c>
      <c r="J29" s="764">
        <f>'Budget-Unrestricted MYP'!J29+'Budget-Restricted MYP'!J29</f>
        <v>4081030.1585499989</v>
      </c>
      <c r="K29" s="367">
        <f t="shared" ref="K29:K37" si="2">IF(H29&lt;1," ",IF(J29&lt;1," ",(J29-H29)/H29))</f>
        <v>3.3900757035489788E-2</v>
      </c>
      <c r="M29" s="1203"/>
      <c r="N29" s="1203"/>
      <c r="O29" s="1203"/>
      <c r="P29" s="1203"/>
      <c r="Q29" s="1203"/>
      <c r="R29" s="1203"/>
      <c r="S29" s="1203"/>
    </row>
    <row r="30" spans="1:19" ht="15.75">
      <c r="A30" s="68"/>
      <c r="B30" s="147" t="s">
        <v>23</v>
      </c>
      <c r="C30" s="280"/>
      <c r="D30" s="279" t="s">
        <v>103</v>
      </c>
      <c r="E30" s="761">
        <f>'Budget-Unrestricted MYP'!E30+'Budget-Restricted MYP'!E30</f>
        <v>0</v>
      </c>
      <c r="F30" s="770">
        <f>'Budget-Unrestricted MYP'!F30+'Budget-Restricted MYP'!F30</f>
        <v>136650.5</v>
      </c>
      <c r="G30" s="50" t="str">
        <f t="shared" si="0"/>
        <v xml:space="preserve"> </v>
      </c>
      <c r="H30" s="764">
        <f>'Budget-Unrestricted MYP'!H30+'Budget-Restricted MYP'!H30</f>
        <v>141153.26749999999</v>
      </c>
      <c r="I30" s="50">
        <f t="shared" si="1"/>
        <v>3.2950977127782097E-2</v>
      </c>
      <c r="J30" s="764">
        <f>'Budget-Unrestricted MYP'!J30+'Budget-Restricted MYP'!J30</f>
        <v>145813.63186249998</v>
      </c>
      <c r="K30" s="367">
        <f t="shared" si="2"/>
        <v>3.3016340641919585E-2</v>
      </c>
      <c r="M30" s="1203"/>
      <c r="N30" s="1203"/>
      <c r="O30" s="1203"/>
      <c r="P30" s="1203"/>
      <c r="Q30" s="1203"/>
      <c r="R30" s="1203"/>
      <c r="S30" s="1203"/>
    </row>
    <row r="31" spans="1:19" ht="15.75">
      <c r="A31" s="68"/>
      <c r="B31" s="147" t="s">
        <v>24</v>
      </c>
      <c r="C31" s="280"/>
      <c r="D31" s="279" t="s">
        <v>104</v>
      </c>
      <c r="E31" s="761">
        <f>'Budget-Unrestricted MYP'!E31+'Budget-Restricted MYP'!E31</f>
        <v>484821.91777050396</v>
      </c>
      <c r="F31" s="770">
        <f>'Budget-Unrestricted MYP'!F31+'Budget-Restricted MYP'!F31</f>
        <v>1164436.7564999999</v>
      </c>
      <c r="G31" s="50">
        <f t="shared" si="0"/>
        <v>1.4017824149839682</v>
      </c>
      <c r="H31" s="764">
        <f>'Budget-Unrestricted MYP'!H31+'Budget-Restricted MYP'!H31</f>
        <v>1205778.2674274999</v>
      </c>
      <c r="I31" s="50">
        <f t="shared" si="1"/>
        <v>3.5503440351506953E-2</v>
      </c>
      <c r="J31" s="764">
        <f>'Budget-Unrestricted MYP'!J31+'Budget-Restricted MYP'!J31</f>
        <v>1248566.7312374623</v>
      </c>
      <c r="K31" s="367">
        <f t="shared" si="2"/>
        <v>3.5486179313258467E-2</v>
      </c>
      <c r="M31" s="1203"/>
      <c r="N31" s="1203"/>
      <c r="O31" s="1203"/>
      <c r="P31" s="1203"/>
      <c r="Q31" s="1203"/>
      <c r="R31" s="1203"/>
      <c r="S31" s="1203"/>
    </row>
    <row r="32" spans="1:19" ht="15.75">
      <c r="A32" s="68"/>
      <c r="B32" s="147" t="s">
        <v>25</v>
      </c>
      <c r="C32" s="280"/>
      <c r="D32" s="279" t="s">
        <v>105</v>
      </c>
      <c r="E32" s="761">
        <f>'Budget-Unrestricted MYP'!E32+'Budget-Restricted MYP'!E32</f>
        <v>334128.51</v>
      </c>
      <c r="F32" s="770">
        <f>'Budget-Unrestricted MYP'!F32+'Budget-Restricted MYP'!F32</f>
        <v>522371.33</v>
      </c>
      <c r="G32" s="50">
        <f t="shared" si="0"/>
        <v>0.56338448939900398</v>
      </c>
      <c r="H32" s="764">
        <f>'Budget-Unrestricted MYP'!H32+'Budget-Restricted MYP'!H32</f>
        <v>522371.33</v>
      </c>
      <c r="I32" s="50">
        <f t="shared" si="1"/>
        <v>0</v>
      </c>
      <c r="J32" s="764">
        <f>'Budget-Unrestricted MYP'!J32+'Budget-Restricted MYP'!J32</f>
        <v>522371.33</v>
      </c>
      <c r="K32" s="367">
        <f t="shared" si="2"/>
        <v>0</v>
      </c>
      <c r="M32" s="1203"/>
      <c r="N32" s="1203"/>
      <c r="O32" s="1203"/>
      <c r="P32" s="1203"/>
      <c r="Q32" s="1203"/>
      <c r="R32" s="1203"/>
      <c r="S32" s="1203"/>
    </row>
    <row r="33" spans="1:19" ht="15.75">
      <c r="A33" s="68"/>
      <c r="B33" s="147" t="s">
        <v>26</v>
      </c>
      <c r="C33" s="280"/>
      <c r="D33" s="279" t="s">
        <v>106</v>
      </c>
      <c r="E33" s="761">
        <f>'Budget-Unrestricted MYP'!E33+'Budget-Restricted MYP'!E33</f>
        <v>2440878.21</v>
      </c>
      <c r="F33" s="770">
        <f>'Budget-Unrestricted MYP'!F33+'Budget-Restricted MYP'!F33</f>
        <v>4783554.3687866004</v>
      </c>
      <c r="G33" s="50">
        <f t="shared" si="0"/>
        <v>0.95976773818084127</v>
      </c>
      <c r="H33" s="764">
        <f>'Budget-Unrestricted MYP'!H33+'Budget-Restricted MYP'!H33</f>
        <v>4757434.2904866003</v>
      </c>
      <c r="I33" s="50">
        <f t="shared" si="1"/>
        <v>-5.4603912250768055E-3</v>
      </c>
      <c r="J33" s="764">
        <f>'Budget-Unrestricted MYP'!J33+'Budget-Restricted MYP'!J33</f>
        <v>4820467.4691866003</v>
      </c>
      <c r="K33" s="367">
        <f t="shared" si="2"/>
        <v>1.3249406056127132E-2</v>
      </c>
      <c r="M33" s="1203"/>
      <c r="N33" s="1203"/>
      <c r="O33" s="1203"/>
      <c r="P33" s="1203"/>
      <c r="Q33" s="1203"/>
      <c r="R33" s="1203"/>
      <c r="S33" s="1203"/>
    </row>
    <row r="34" spans="1:19" ht="15.75">
      <c r="A34" s="68"/>
      <c r="B34" s="147" t="s">
        <v>5</v>
      </c>
      <c r="C34" s="280"/>
      <c r="D34" s="279" t="s">
        <v>107</v>
      </c>
      <c r="E34" s="761">
        <f>'Budget-Unrestricted MYP'!E34+'Budget-Restricted MYP'!E34</f>
        <v>14362.290000000005</v>
      </c>
      <c r="F34" s="770">
        <f>'Budget-Unrestricted MYP'!F34+'Budget-Restricted MYP'!F34</f>
        <v>14362.290000000005</v>
      </c>
      <c r="G34" s="50">
        <f t="shared" si="0"/>
        <v>0</v>
      </c>
      <c r="H34" s="764">
        <f>'Budget-Unrestricted MYP'!H34+'Budget-Restricted MYP'!H34</f>
        <v>14362.290000000005</v>
      </c>
      <c r="I34" s="50">
        <f t="shared" si="1"/>
        <v>0</v>
      </c>
      <c r="J34" s="764">
        <f>'Budget-Unrestricted MYP'!J34+'Budget-Restricted MYP'!J34</f>
        <v>14362.290000000005</v>
      </c>
      <c r="K34" s="367">
        <f t="shared" si="2"/>
        <v>0</v>
      </c>
      <c r="M34" s="1203"/>
      <c r="N34" s="1203"/>
      <c r="O34" s="1203"/>
      <c r="P34" s="1203"/>
      <c r="Q34" s="1203"/>
      <c r="R34" s="1203"/>
      <c r="S34" s="1203"/>
    </row>
    <row r="35" spans="1:19" ht="15.75">
      <c r="A35" s="68"/>
      <c r="B35" s="147" t="s">
        <v>27</v>
      </c>
      <c r="C35" s="280"/>
      <c r="D35" s="279" t="s">
        <v>108</v>
      </c>
      <c r="E35" s="761">
        <f>'Budget-Unrestricted MYP'!E35+'Budget-Restricted MYP'!E35</f>
        <v>2499</v>
      </c>
      <c r="F35" s="770">
        <f>'Budget-Unrestricted MYP'!F35+'Budget-Restricted MYP'!F35</f>
        <v>2499</v>
      </c>
      <c r="G35" s="50">
        <f t="shared" si="0"/>
        <v>0</v>
      </c>
      <c r="H35" s="764">
        <f>'Budget-Unrestricted MYP'!H35+'Budget-Restricted MYP'!H35</f>
        <v>2499</v>
      </c>
      <c r="I35" s="50">
        <f t="shared" si="1"/>
        <v>0</v>
      </c>
      <c r="J35" s="764">
        <f>'Budget-Unrestricted MYP'!J35+'Budget-Restricted MYP'!J35</f>
        <v>2499</v>
      </c>
      <c r="K35" s="367">
        <f t="shared" si="2"/>
        <v>0</v>
      </c>
      <c r="M35" s="1203"/>
      <c r="N35" s="1203"/>
      <c r="O35" s="1203"/>
      <c r="P35" s="1203"/>
      <c r="Q35" s="1203"/>
      <c r="R35" s="1203"/>
      <c r="S35" s="1203"/>
    </row>
    <row r="36" spans="1:19" ht="16.5" thickBot="1">
      <c r="A36" s="68"/>
      <c r="B36" s="899" t="s">
        <v>149</v>
      </c>
      <c r="C36" s="932"/>
      <c r="D36" s="629" t="s">
        <v>114</v>
      </c>
      <c r="E36" s="895">
        <f>'Budget-Unrestricted MYP'!E36+'Budget-Restricted MYP'!E36</f>
        <v>0</v>
      </c>
      <c r="F36" s="942">
        <f>'Budget-Unrestricted MYP'!F36+'Budget-Restricted MYP'!F36</f>
        <v>0</v>
      </c>
      <c r="G36" s="96" t="str">
        <f t="shared" si="0"/>
        <v xml:space="preserve"> </v>
      </c>
      <c r="H36" s="814">
        <f>'Budget-Unrestricted MYP'!H36+'Budget-Restricted MYP'!H36</f>
        <v>0</v>
      </c>
      <c r="I36" s="96" t="str">
        <f t="shared" si="1"/>
        <v xml:space="preserve"> </v>
      </c>
      <c r="J36" s="815">
        <f>'Budget-Unrestricted MYP'!J36+'Budget-Restricted MYP'!J36</f>
        <v>0</v>
      </c>
      <c r="K36" s="312" t="str">
        <f t="shared" si="2"/>
        <v xml:space="preserve"> </v>
      </c>
      <c r="M36" s="1203"/>
      <c r="N36" s="1203"/>
      <c r="O36" s="1203"/>
      <c r="P36" s="1203"/>
      <c r="Q36" s="1203"/>
      <c r="R36" s="1203"/>
      <c r="S36" s="1203"/>
    </row>
    <row r="37" spans="1:19" ht="17.25" thickTop="1" thickBot="1">
      <c r="A37" s="68"/>
      <c r="B37" s="1776" t="s">
        <v>28</v>
      </c>
      <c r="C37" s="1777"/>
      <c r="D37" s="1777"/>
      <c r="E37" s="900">
        <f>SUM(E29:E36)</f>
        <v>5060965.5029705036</v>
      </c>
      <c r="F37" s="900">
        <f>ROUND(SUM(F29:F36),3)</f>
        <v>10441802.244999999</v>
      </c>
      <c r="G37" s="901">
        <f t="shared" si="0"/>
        <v>1.0632035999595819</v>
      </c>
      <c r="H37" s="900">
        <f>SUM(H29:H36)</f>
        <v>10590814.975414099</v>
      </c>
      <c r="I37" s="901">
        <f t="shared" si="1"/>
        <v>1.427078649046949E-2</v>
      </c>
      <c r="J37" s="900">
        <f>SUM(J29:J36)</f>
        <v>10835110.61083656</v>
      </c>
      <c r="K37" s="902">
        <f t="shared" si="2"/>
        <v>2.3066745664953779E-2</v>
      </c>
      <c r="M37" s="1203"/>
      <c r="N37" s="1203"/>
      <c r="O37" s="1203"/>
      <c r="P37" s="1203"/>
      <c r="Q37" s="1203"/>
      <c r="R37" s="1203"/>
      <c r="S37" s="1203"/>
    </row>
    <row r="38" spans="1:19" ht="17.25" thickTop="1" thickBot="1">
      <c r="A38" s="68"/>
      <c r="B38" s="1"/>
      <c r="C38" s="1"/>
      <c r="D38" s="168"/>
      <c r="E38" s="277"/>
      <c r="F38" s="1755"/>
      <c r="G38" s="1755"/>
      <c r="H38" s="1755"/>
      <c r="I38" s="1755"/>
      <c r="J38" s="1755"/>
      <c r="K38" s="1756"/>
      <c r="M38" s="1203"/>
      <c r="N38" s="1203"/>
      <c r="O38" s="1203"/>
      <c r="P38" s="1203"/>
      <c r="Q38" s="1203"/>
      <c r="R38" s="1203"/>
      <c r="S38" s="1203"/>
    </row>
    <row r="39" spans="1:19" ht="17.25" thickTop="1" thickBot="1">
      <c r="A39" s="1734" t="s">
        <v>208</v>
      </c>
      <c r="B39" s="1735"/>
      <c r="C39" s="1735"/>
      <c r="D39" s="1736"/>
      <c r="E39" s="917">
        <f>SUM(E26-E37)</f>
        <v>-61675.302970504388</v>
      </c>
      <c r="F39" s="917">
        <f>SUM(F26-F37)</f>
        <v>-675434.81173999794</v>
      </c>
      <c r="G39" s="918" t="str">
        <f>IF(E39&lt;1," ",IF(F39&lt;1," ",(F39-E39)/E39))</f>
        <v xml:space="preserve"> </v>
      </c>
      <c r="H39" s="917">
        <f>SUM(H26-H37)</f>
        <v>-1052366.6021540985</v>
      </c>
      <c r="I39" s="918" t="str">
        <f>IF(F39&lt;1," ",IF(H39&lt;1," ",(H39-F39)/F39))</f>
        <v xml:space="preserve"> </v>
      </c>
      <c r="J39" s="917">
        <f>SUM(J26-J37)</f>
        <v>-975628.23757655919</v>
      </c>
      <c r="K39" s="919" t="str">
        <f>IF(H39&lt;1," ",IF(J39&lt;1," ",(J39-H39)/H39))</f>
        <v xml:space="preserve"> </v>
      </c>
      <c r="M39" s="1203"/>
      <c r="N39" s="1203"/>
      <c r="O39" s="1203"/>
      <c r="P39" s="1203"/>
      <c r="Q39" s="1203"/>
      <c r="R39" s="1203"/>
      <c r="S39" s="1203"/>
    </row>
    <row r="40" spans="1:19" ht="16.5" thickTop="1">
      <c r="A40" s="68"/>
      <c r="B40" s="1"/>
      <c r="C40" s="1"/>
      <c r="D40" s="344"/>
      <c r="E40" s="84"/>
      <c r="F40" s="1726"/>
      <c r="G40" s="1726"/>
      <c r="H40" s="1726"/>
      <c r="I40" s="1726"/>
      <c r="J40" s="1726"/>
      <c r="K40" s="1727"/>
      <c r="M40" s="1203"/>
      <c r="N40" s="1203"/>
      <c r="O40" s="1203"/>
      <c r="P40" s="1203"/>
      <c r="Q40" s="1203"/>
      <c r="R40" s="1203"/>
      <c r="S40" s="1203"/>
    </row>
    <row r="41" spans="1:19" ht="15.75">
      <c r="A41" s="306" t="s">
        <v>29</v>
      </c>
      <c r="B41" s="1"/>
      <c r="C41" s="155"/>
      <c r="D41" s="345"/>
      <c r="E41" s="83"/>
      <c r="F41" s="1728"/>
      <c r="G41" s="1728"/>
      <c r="H41" s="1728"/>
      <c r="I41" s="1728"/>
      <c r="J41" s="1728"/>
      <c r="K41" s="1729"/>
      <c r="M41" s="1203"/>
      <c r="N41" s="1203"/>
      <c r="O41" s="1203"/>
      <c r="P41" s="1203"/>
      <c r="Q41" s="1203"/>
      <c r="R41" s="1203"/>
      <c r="S41" s="1203"/>
    </row>
    <row r="42" spans="1:19" ht="15.75">
      <c r="A42" s="68"/>
      <c r="B42" s="147" t="s">
        <v>127</v>
      </c>
      <c r="C42" s="280"/>
      <c r="D42" s="310">
        <v>8900</v>
      </c>
      <c r="E42" s="832">
        <f>'Budget-Unrestricted MYP'!E42+'Budget-Restricted MYP'!E42</f>
        <v>0</v>
      </c>
      <c r="F42" s="770">
        <f>'Budget-Unrestricted MYP'!F42+'Budget-Restricted MYP'!F42</f>
        <v>0</v>
      </c>
      <c r="G42" s="50" t="str">
        <f>IF(E42&lt;1," ",IF(F42&lt;1," ",(F42-E42)/E42))</f>
        <v xml:space="preserve"> </v>
      </c>
      <c r="H42" s="764">
        <f>'Budget-Unrestricted MYP'!H42+'Budget-Restricted MYP'!H42</f>
        <v>0</v>
      </c>
      <c r="I42" s="50" t="str">
        <f>IF(F42&lt;1," ",IF(H42&lt;1," ",(H42-F42)/F42))</f>
        <v xml:space="preserve"> </v>
      </c>
      <c r="J42" s="764">
        <f>'Budget-Unrestricted MYP'!J42+'Budget-Restricted MYP'!J42</f>
        <v>0</v>
      </c>
      <c r="K42" s="367" t="str">
        <f>IF(H42&lt;1," ",IF(J42&lt;1," ",(J42-H42)/H42))</f>
        <v xml:space="preserve"> </v>
      </c>
      <c r="M42" s="1203"/>
      <c r="N42" s="1203"/>
      <c r="O42" s="1203"/>
      <c r="P42" s="1203"/>
      <c r="Q42" s="1203"/>
      <c r="R42" s="1203"/>
      <c r="S42" s="1203"/>
    </row>
    <row r="43" spans="1:19" ht="16.5" thickBot="1">
      <c r="A43" s="68"/>
      <c r="B43" s="899" t="s">
        <v>30</v>
      </c>
      <c r="C43" s="932"/>
      <c r="D43" s="928">
        <v>7600</v>
      </c>
      <c r="E43" s="943">
        <f>'Budget-Unrestricted MYP'!E43+'Budget-Restricted MYP'!E43</f>
        <v>-224488.86752776563</v>
      </c>
      <c r="F43" s="942">
        <f>'Budget-Unrestricted MYP'!F43+'Budget-Restricted MYP'!F43</f>
        <v>-945000</v>
      </c>
      <c r="G43" s="96" t="str">
        <f>IF(E43&lt;1," ",IF(F43&lt;1," ",(F43-E43)/E43))</f>
        <v xml:space="preserve"> </v>
      </c>
      <c r="H43" s="814">
        <f>'Budget-Unrestricted MYP'!H43+'Budget-Restricted MYP'!H43</f>
        <v>-975000</v>
      </c>
      <c r="I43" s="96" t="str">
        <f>IF(F43&lt;1," ",IF(H43&lt;1," ",(H43-F43)/F43))</f>
        <v xml:space="preserve"> </v>
      </c>
      <c r="J43" s="815">
        <f>'Budget-Unrestricted MYP'!J43+'Budget-Restricted MYP'!J43</f>
        <v>-985000</v>
      </c>
      <c r="K43" s="312" t="str">
        <f>IF(H43&lt;1," ",IF(J43&lt;1," ",(J43-H43)/H43))</f>
        <v xml:space="preserve"> </v>
      </c>
      <c r="M43" s="1203"/>
      <c r="N43" s="1203"/>
      <c r="O43" s="1203"/>
      <c r="P43" s="1203"/>
      <c r="Q43" s="1203"/>
      <c r="R43" s="1203"/>
      <c r="S43" s="1203"/>
    </row>
    <row r="44" spans="1:19" ht="17.25" thickTop="1" thickBot="1">
      <c r="A44" s="68"/>
      <c r="B44" s="1776" t="s">
        <v>31</v>
      </c>
      <c r="C44" s="1777"/>
      <c r="D44" s="1777"/>
      <c r="E44" s="900">
        <f>E42-E43</f>
        <v>224488.86752776563</v>
      </c>
      <c r="F44" s="900">
        <f>F42-F43</f>
        <v>945000</v>
      </c>
      <c r="G44" s="901">
        <f>IF(E44&lt;1," ",IF(F44&lt;1," ",(F44-E44)/E44))</f>
        <v>3.2095628634373985</v>
      </c>
      <c r="H44" s="900">
        <f>H42-H43</f>
        <v>975000</v>
      </c>
      <c r="I44" s="901">
        <f>IF(F44&lt;1," ",IF(H44&lt;1," ",(H44-F44)/F44))</f>
        <v>3.1746031746031744E-2</v>
      </c>
      <c r="J44" s="900">
        <f>J42-J43</f>
        <v>985000</v>
      </c>
      <c r="K44" s="902">
        <f>IF(H44&lt;1," ",IF(J44&lt;1," ",(J44-H44)/H44))</f>
        <v>1.0256410256410256E-2</v>
      </c>
      <c r="M44" s="1203"/>
      <c r="N44" s="1203"/>
      <c r="O44" s="1203"/>
      <c r="P44" s="1203"/>
      <c r="Q44" s="1203"/>
      <c r="R44" s="1203"/>
      <c r="S44" s="1203"/>
    </row>
    <row r="45" spans="1:19" ht="17.25" thickTop="1" thickBot="1">
      <c r="A45" s="68"/>
      <c r="B45" s="1"/>
      <c r="C45" s="927"/>
      <c r="D45" s="556"/>
      <c r="E45" s="269"/>
      <c r="F45" s="269"/>
      <c r="G45" s="52"/>
      <c r="H45" s="269"/>
      <c r="I45" s="52"/>
      <c r="J45" s="269"/>
      <c r="K45" s="313"/>
      <c r="M45" s="1203"/>
      <c r="N45" s="1203"/>
      <c r="O45" s="1203"/>
      <c r="P45" s="1203"/>
      <c r="Q45" s="1203"/>
      <c r="R45" s="1203"/>
      <c r="S45" s="1203"/>
    </row>
    <row r="46" spans="1:19" ht="17.25" thickTop="1" thickBot="1">
      <c r="A46" s="1778" t="s">
        <v>32</v>
      </c>
      <c r="B46" s="1779"/>
      <c r="C46" s="1779"/>
      <c r="D46" s="1779"/>
      <c r="E46" s="917">
        <f>E39+E44</f>
        <v>162813.56455726124</v>
      </c>
      <c r="F46" s="917">
        <f>ROUND(F39+F44,0)</f>
        <v>269565</v>
      </c>
      <c r="G46" s="918">
        <f>IF(E46&lt;1," ",IF(F46&lt;1," ",(F46-E46)/E46))</f>
        <v>0.65566671753074035</v>
      </c>
      <c r="H46" s="917">
        <f>H39+H44</f>
        <v>-77366.602154098451</v>
      </c>
      <c r="I46" s="918" t="str">
        <f>IF(F46&lt;1," ",IF(H46&lt;1," ",(H46-F46)/F46))</f>
        <v xml:space="preserve"> </v>
      </c>
      <c r="J46" s="917">
        <f>J39+J44</f>
        <v>9371.762423440814</v>
      </c>
      <c r="K46" s="919" t="str">
        <f>IF(H46&lt;1," ",IF(J46&lt;1," ",(J46-H46)/H46))</f>
        <v xml:space="preserve"> </v>
      </c>
      <c r="M46" s="1203"/>
      <c r="N46" s="1203"/>
      <c r="O46" s="1203"/>
      <c r="P46" s="1203"/>
      <c r="Q46" s="1203"/>
      <c r="R46" s="1203"/>
      <c r="S46" s="1203"/>
    </row>
    <row r="47" spans="1:19" ht="16.5" thickTop="1">
      <c r="A47" s="306"/>
      <c r="B47" s="82"/>
      <c r="C47" s="1227"/>
      <c r="D47" s="1227"/>
      <c r="E47" s="1228"/>
      <c r="F47" s="1228"/>
      <c r="G47" s="1053"/>
      <c r="H47" s="1228"/>
      <c r="I47" s="1053"/>
      <c r="J47" s="1228"/>
      <c r="K47" s="313"/>
      <c r="M47" s="1203"/>
      <c r="N47" s="1203"/>
      <c r="O47" s="1203"/>
      <c r="P47" s="1203"/>
      <c r="Q47" s="1203"/>
      <c r="R47" s="1203"/>
      <c r="S47" s="1203"/>
    </row>
    <row r="48" spans="1:19" ht="15.75">
      <c r="A48" s="306" t="s">
        <v>6</v>
      </c>
      <c r="B48" s="1"/>
      <c r="C48" s="155"/>
      <c r="D48" s="345"/>
      <c r="E48" s="269"/>
      <c r="F48" s="1730"/>
      <c r="G48" s="1730"/>
      <c r="H48" s="1730"/>
      <c r="I48" s="1730"/>
      <c r="J48" s="1730"/>
      <c r="K48" s="1731"/>
      <c r="M48" s="1203"/>
      <c r="N48" s="1203"/>
      <c r="O48" s="1203"/>
      <c r="P48" s="1203"/>
      <c r="Q48" s="1203"/>
      <c r="R48" s="1203"/>
      <c r="S48" s="1203"/>
    </row>
    <row r="49" spans="1:19" ht="15.75">
      <c r="A49" s="68"/>
      <c r="B49" s="293" t="s">
        <v>162</v>
      </c>
      <c r="C49" s="294"/>
      <c r="D49" s="295">
        <v>9791</v>
      </c>
      <c r="E49" s="824">
        <f>'Budget-Unrestricted MYP'!E49+'Budget-Restricted MYP'!E49</f>
        <v>30877</v>
      </c>
      <c r="F49" s="713">
        <f>'Budget-Unrestricted MYP'!F49+'Budget-Restricted MYP'!F49</f>
        <v>193690.83966911718</v>
      </c>
      <c r="G49" s="276">
        <f t="shared" ref="G49:G55" si="3">IF(E49&lt;1," ",IF(F49&lt;1," ",(F49-E49)/E49))</f>
        <v>5.272981172688965</v>
      </c>
      <c r="H49" s="714">
        <f>'Budget-Unrestricted MYP'!H49+'Budget-Restricted MYP'!H49</f>
        <v>463256.02864251914</v>
      </c>
      <c r="I49" s="276">
        <f t="shared" ref="I49:I55" si="4">IF(F49&lt;1," ",IF(H49&lt;1," ",(H49-F49)/F49))</f>
        <v>1.3917291568042207</v>
      </c>
      <c r="J49" s="714">
        <f>'Budget-Unrestricted MYP'!J49+'Budget-Restricted MYP'!J49</f>
        <v>385889.42357342079</v>
      </c>
      <c r="K49" s="314">
        <f t="shared" ref="K49:K55" si="5">IF(H49&lt;1," ",IF(J49&lt;1," ",(J49-H49)/H49))</f>
        <v>-0.16700614840524797</v>
      </c>
      <c r="M49" s="1203"/>
      <c r="N49" s="1203"/>
      <c r="O49" s="1203"/>
      <c r="P49" s="1203"/>
      <c r="Q49" s="1203"/>
      <c r="R49" s="1203"/>
      <c r="S49" s="1203"/>
    </row>
    <row r="50" spans="1:19" ht="15.75">
      <c r="A50" s="68"/>
      <c r="B50" s="315" t="s">
        <v>136</v>
      </c>
      <c r="C50" s="316"/>
      <c r="D50" s="317">
        <v>9792</v>
      </c>
      <c r="E50" s="761">
        <f>'Budget-Unrestricted MYP'!E50+'Budget-Restricted MYP'!E50</f>
        <v>0</v>
      </c>
      <c r="F50" s="765">
        <f>'Budget-Unrestricted MYP'!F50+'Budget-Restricted MYP'!F50</f>
        <v>0</v>
      </c>
      <c r="G50" s="31" t="str">
        <f t="shared" si="3"/>
        <v xml:space="preserve"> </v>
      </c>
      <c r="H50" s="765">
        <f>'Budget-Unrestricted MYP'!H50+'Budget-Restricted MYP'!H50</f>
        <v>0</v>
      </c>
      <c r="I50" s="31" t="str">
        <f t="shared" si="4"/>
        <v xml:space="preserve"> </v>
      </c>
      <c r="J50" s="765">
        <f>'Budget-Unrestricted MYP'!J50+'Budget-Restricted MYP'!J50</f>
        <v>0</v>
      </c>
      <c r="K50" s="311" t="str">
        <f t="shared" si="5"/>
        <v xml:space="preserve"> </v>
      </c>
      <c r="M50" s="1203"/>
      <c r="N50" s="1203"/>
      <c r="O50" s="1203"/>
      <c r="P50" s="1203"/>
      <c r="Q50" s="1203"/>
      <c r="R50" s="1203"/>
      <c r="S50" s="1203"/>
    </row>
    <row r="51" spans="1:19" ht="15.75">
      <c r="A51" s="68"/>
      <c r="B51" s="1740" t="str">
        <f>'Budget-Restricted MYP'!B51</f>
        <v xml:space="preserve">  Beg Fund Balance at Unaudited Actuals</v>
      </c>
      <c r="C51" s="1741"/>
      <c r="D51" s="1790"/>
      <c r="E51" s="761">
        <f>'Budget-Unrestricted MYP'!E51+'Budget-Restricted MYP'!E51</f>
        <v>0</v>
      </c>
      <c r="F51" s="765">
        <f>'Budget-Unrestricted MYP'!F51+'Budget-Restricted MYP'!F51</f>
        <v>0</v>
      </c>
      <c r="G51" s="31" t="str">
        <f t="shared" si="3"/>
        <v xml:space="preserve"> </v>
      </c>
      <c r="H51" s="765">
        <f>'Budget-Unrestricted MYP'!H51+'Budget-Restricted MYP'!H51</f>
        <v>0</v>
      </c>
      <c r="I51" s="31" t="str">
        <f t="shared" si="4"/>
        <v xml:space="preserve"> </v>
      </c>
      <c r="J51" s="765">
        <f>'Budget-Unrestricted MYP'!J51+'Budget-Restricted MYP'!J51</f>
        <v>0</v>
      </c>
      <c r="K51" s="311" t="str">
        <f t="shared" si="5"/>
        <v xml:space="preserve"> </v>
      </c>
      <c r="M51" s="1203"/>
      <c r="N51" s="1203"/>
      <c r="O51" s="1203"/>
      <c r="P51" s="1203"/>
      <c r="Q51" s="1203"/>
      <c r="R51" s="1203"/>
      <c r="S51" s="1203"/>
    </row>
    <row r="52" spans="1:19" ht="15.75">
      <c r="A52" s="68"/>
      <c r="B52" s="315" t="s">
        <v>302</v>
      </c>
      <c r="C52" s="316"/>
      <c r="D52" s="317">
        <v>9793</v>
      </c>
      <c r="E52" s="761">
        <f>'Budget-Unrestricted MYP'!E52+'Budget-Restricted MYP'!E52</f>
        <v>0</v>
      </c>
      <c r="F52" s="765">
        <f>'Budget-Unrestricted MYP'!F52+'Budget-Restricted MYP'!F52</f>
        <v>0</v>
      </c>
      <c r="G52" s="31" t="str">
        <f t="shared" si="3"/>
        <v xml:space="preserve"> </v>
      </c>
      <c r="H52" s="765">
        <f>'Budget-Unrestricted MYP'!H52+'Budget-Restricted MYP'!H52</f>
        <v>0</v>
      </c>
      <c r="I52" s="31" t="str">
        <f t="shared" si="4"/>
        <v xml:space="preserve"> </v>
      </c>
      <c r="J52" s="765">
        <f>'Budget-Unrestricted MYP'!J52+'Budget-Restricted MYP'!J52</f>
        <v>0</v>
      </c>
      <c r="K52" s="311" t="str">
        <f t="shared" si="5"/>
        <v xml:space="preserve"> </v>
      </c>
      <c r="M52" s="1203"/>
      <c r="N52" s="1203"/>
      <c r="O52" s="1203"/>
      <c r="P52" s="1203"/>
      <c r="Q52" s="1203"/>
      <c r="R52" s="1203"/>
      <c r="S52" s="1203"/>
    </row>
    <row r="53" spans="1:19" ht="15.75">
      <c r="A53" s="68"/>
      <c r="B53" s="315" t="s">
        <v>301</v>
      </c>
      <c r="C53" s="316"/>
      <c r="D53" s="317">
        <v>9795</v>
      </c>
      <c r="E53" s="761">
        <f>'Budget-Unrestricted MYP'!E53+'Budget-Restricted MYP'!E53</f>
        <v>0</v>
      </c>
      <c r="F53" s="765">
        <f>'Budget-Unrestricted MYP'!F53+'Budget-Restricted MYP'!F53</f>
        <v>0</v>
      </c>
      <c r="G53" s="31" t="str">
        <f t="shared" si="3"/>
        <v xml:space="preserve"> </v>
      </c>
      <c r="H53" s="765">
        <f>'Budget-Unrestricted MYP'!H53+'Budget-Restricted MYP'!H53</f>
        <v>0</v>
      </c>
      <c r="I53" s="31" t="str">
        <f t="shared" si="4"/>
        <v xml:space="preserve"> </v>
      </c>
      <c r="J53" s="765">
        <f>'Budget-Unrestricted MYP'!J53+'Budget-Restricted MYP'!J53</f>
        <v>0</v>
      </c>
      <c r="K53" s="311" t="str">
        <f t="shared" si="5"/>
        <v xml:space="preserve"> </v>
      </c>
      <c r="M53" s="1203"/>
      <c r="N53" s="1203"/>
      <c r="O53" s="1203"/>
      <c r="P53" s="1203"/>
      <c r="Q53" s="1203"/>
      <c r="R53" s="1203"/>
      <c r="S53" s="1203"/>
    </row>
    <row r="54" spans="1:19" ht="16.5" thickBot="1">
      <c r="A54" s="68"/>
      <c r="B54" s="910" t="str">
        <f>'Budget-Restricted MYP'!B54</f>
        <v xml:space="preserve">  Beginning Fund Balance as per Audit Report +/- Restatements</v>
      </c>
      <c r="C54" s="504"/>
      <c r="D54" s="911"/>
      <c r="E54" s="895">
        <f>'Budget-Unrestricted MYP'!E54+'Budget-Restricted MYP'!E54</f>
        <v>30877</v>
      </c>
      <c r="F54" s="815">
        <f>'Budget-Unrestricted MYP'!F54+'Budget-Restricted MYP'!F54</f>
        <v>0</v>
      </c>
      <c r="G54" s="96" t="str">
        <f t="shared" si="3"/>
        <v xml:space="preserve"> </v>
      </c>
      <c r="H54" s="815">
        <f>'Budget-Unrestricted MYP'!H54+'Budget-Restricted MYP'!H54</f>
        <v>0</v>
      </c>
      <c r="I54" s="96" t="str">
        <f t="shared" si="4"/>
        <v xml:space="preserve"> </v>
      </c>
      <c r="J54" s="815">
        <f>'Budget-Unrestricted MYP'!J54+'Budget-Restricted MYP'!J54</f>
        <v>0</v>
      </c>
      <c r="K54" s="312" t="str">
        <f t="shared" si="5"/>
        <v xml:space="preserve"> </v>
      </c>
      <c r="M54" s="1203"/>
      <c r="N54" s="1203"/>
      <c r="O54" s="1203"/>
      <c r="P54" s="1203"/>
      <c r="Q54" s="1203"/>
      <c r="R54" s="1203"/>
      <c r="S54" s="1203"/>
    </row>
    <row r="55" spans="1:19" ht="17.25" thickTop="1" thickBot="1">
      <c r="A55" s="68"/>
      <c r="B55" s="912" t="s">
        <v>33</v>
      </c>
      <c r="C55" s="913"/>
      <c r="D55" s="914">
        <v>9790</v>
      </c>
      <c r="E55" s="900">
        <f>'Budget-Unrestricted MYP'!E55+'Budget-Restricted MYP'!E55</f>
        <v>193690.83966911718</v>
      </c>
      <c r="F55" s="900">
        <f>'Budget-Unrestricted MYP'!F55+'Budget-Restricted MYP'!F55</f>
        <v>463256.02864251914</v>
      </c>
      <c r="G55" s="901">
        <f t="shared" si="3"/>
        <v>1.3917291568042207</v>
      </c>
      <c r="H55" s="900">
        <f>'Budget-Unrestricted MYP'!H55+'Budget-Restricted MYP'!H55</f>
        <v>385889.42357342079</v>
      </c>
      <c r="I55" s="901">
        <f t="shared" si="4"/>
        <v>-0.16700614840524797</v>
      </c>
      <c r="J55" s="900">
        <f>'Budget-Unrestricted MYP'!J55+'Budget-Restricted MYP'!J55</f>
        <v>395261.18817983521</v>
      </c>
      <c r="K55" s="902">
        <f t="shared" si="5"/>
        <v>2.4286140106224791E-2</v>
      </c>
      <c r="M55" s="1203"/>
      <c r="N55" s="1203"/>
      <c r="O55" s="1203"/>
      <c r="P55" s="1203"/>
      <c r="Q55" s="1203"/>
      <c r="R55" s="1203"/>
      <c r="S55" s="1203"/>
    </row>
    <row r="56" spans="1:19" ht="16.5" thickTop="1">
      <c r="A56" s="68"/>
      <c r="B56" s="1"/>
      <c r="C56" s="1"/>
      <c r="D56" s="168"/>
      <c r="E56" s="169"/>
      <c r="F56" s="169"/>
      <c r="G56" s="52"/>
      <c r="H56" s="169"/>
      <c r="I56" s="52"/>
      <c r="J56" s="169"/>
      <c r="K56" s="313"/>
      <c r="M56" s="1203"/>
      <c r="N56" s="1203"/>
      <c r="O56" s="1203"/>
      <c r="P56" s="1203"/>
      <c r="Q56" s="1203"/>
      <c r="R56" s="1203"/>
      <c r="S56" s="1203"/>
    </row>
    <row r="57" spans="1:19" ht="15.75">
      <c r="A57" s="324" t="s">
        <v>142</v>
      </c>
      <c r="B57" s="152"/>
      <c r="C57" s="99"/>
      <c r="D57" s="557" t="s">
        <v>2</v>
      </c>
      <c r="E57" s="558"/>
      <c r="F57" s="296"/>
      <c r="G57" s="52"/>
      <c r="H57" s="169"/>
      <c r="I57" s="52"/>
      <c r="J57" s="169"/>
      <c r="K57" s="313"/>
      <c r="M57" s="1203"/>
      <c r="N57" s="1203"/>
      <c r="O57" s="1203"/>
      <c r="P57" s="1203"/>
      <c r="Q57" s="1203"/>
      <c r="R57" s="1203"/>
      <c r="S57" s="1203"/>
    </row>
    <row r="58" spans="1:19" ht="15.75">
      <c r="A58" s="68"/>
      <c r="B58" s="348" t="s">
        <v>7</v>
      </c>
      <c r="C58" s="505" t="s">
        <v>143</v>
      </c>
      <c r="D58" s="355"/>
      <c r="E58" s="368"/>
      <c r="F58" s="1788"/>
      <c r="G58" s="1788"/>
      <c r="H58" s="1788"/>
      <c r="I58" s="1788"/>
      <c r="J58" s="1788"/>
      <c r="K58" s="1789"/>
      <c r="M58" s="1203"/>
      <c r="N58" s="1203"/>
      <c r="O58" s="1203"/>
      <c r="P58" s="1203"/>
      <c r="Q58" s="1203"/>
      <c r="R58" s="1203"/>
      <c r="S58" s="1203"/>
    </row>
    <row r="59" spans="1:19" ht="15.75">
      <c r="A59" s="68"/>
      <c r="B59" s="351"/>
      <c r="C59" s="349" t="s">
        <v>34</v>
      </c>
      <c r="D59" s="289">
        <v>9711</v>
      </c>
      <c r="E59" s="765">
        <f>'Budget-Unrestricted MYP'!E59+'Budget-Restricted MYP'!E59</f>
        <v>0</v>
      </c>
      <c r="F59" s="765">
        <f>'Budget-Unrestricted MYP'!F59+'Budget-Restricted MYP'!F59</f>
        <v>0</v>
      </c>
      <c r="G59" s="31" t="str">
        <f>IF(E59&lt;1," ",IF(F59&lt;1," ",(F59-E59)/E59))</f>
        <v xml:space="preserve"> </v>
      </c>
      <c r="H59" s="765">
        <f>'Budget-Unrestricted MYP'!H59+'Budget-Restricted MYP'!H59</f>
        <v>0</v>
      </c>
      <c r="I59" s="31" t="str">
        <f>IF(F59&lt;1," ",IF(H59&lt;1," ",(H59-F59)/F59))</f>
        <v xml:space="preserve"> </v>
      </c>
      <c r="J59" s="765">
        <f>'Budget-Unrestricted MYP'!J59+'Budget-Restricted MYP'!J59</f>
        <v>0</v>
      </c>
      <c r="K59" s="311" t="str">
        <f>IF(H59&lt;1," ",IF(J59&lt;1," ",(J59-H59)/H59))</f>
        <v xml:space="preserve"> </v>
      </c>
      <c r="M59" s="1203"/>
      <c r="N59" s="1203"/>
      <c r="O59" s="1203"/>
      <c r="P59" s="1203"/>
      <c r="Q59" s="1203"/>
      <c r="R59" s="1203"/>
      <c r="S59" s="1203"/>
    </row>
    <row r="60" spans="1:19" ht="15.75">
      <c r="A60" s="68"/>
      <c r="B60" s="348"/>
      <c r="C60" s="349" t="s">
        <v>10</v>
      </c>
      <c r="D60" s="289">
        <v>9712</v>
      </c>
      <c r="E60" s="765">
        <f>'Budget-Unrestricted MYP'!E60+'Budget-Restricted MYP'!E60</f>
        <v>0</v>
      </c>
      <c r="F60" s="765">
        <f>'Budget-Unrestricted MYP'!F60+'Budget-Restricted MYP'!F60</f>
        <v>0</v>
      </c>
      <c r="G60" s="31" t="str">
        <f>IF(E60&lt;1," ",IF(F60&lt;1," ",(F60-E60)/E60))</f>
        <v xml:space="preserve"> </v>
      </c>
      <c r="H60" s="765">
        <f>'Budget-Unrestricted MYP'!H60+'Budget-Restricted MYP'!H60</f>
        <v>0</v>
      </c>
      <c r="I60" s="31" t="str">
        <f>IF(F60&lt;1," ",IF(H60&lt;1," ",(H60-F60)/F60))</f>
        <v xml:space="preserve"> </v>
      </c>
      <c r="J60" s="765">
        <f>'Budget-Unrestricted MYP'!J60+'Budget-Restricted MYP'!J60</f>
        <v>0</v>
      </c>
      <c r="K60" s="311" t="str">
        <f>IF(H60&lt;1," ",IF(J60&lt;1," ",(J60-H60)/H60))</f>
        <v xml:space="preserve"> </v>
      </c>
      <c r="M60" s="1203"/>
      <c r="N60" s="1203"/>
      <c r="O60" s="1203"/>
      <c r="P60" s="1203"/>
      <c r="Q60" s="1203"/>
      <c r="R60" s="1203"/>
      <c r="S60" s="1203"/>
    </row>
    <row r="61" spans="1:19" ht="15.75">
      <c r="A61" s="68"/>
      <c r="B61" s="348"/>
      <c r="C61" s="349" t="s">
        <v>11</v>
      </c>
      <c r="D61" s="289">
        <v>9713</v>
      </c>
      <c r="E61" s="765">
        <f>'Budget-Unrestricted MYP'!E61+'Budget-Restricted MYP'!E61</f>
        <v>0</v>
      </c>
      <c r="F61" s="765">
        <f>'Budget-Unrestricted MYP'!F61+'Budget-Restricted MYP'!F61</f>
        <v>0</v>
      </c>
      <c r="G61" s="31" t="str">
        <f>IF(E61&lt;1," ",IF(F61&lt;1," ",(F61-E61)/E61))</f>
        <v xml:space="preserve"> </v>
      </c>
      <c r="H61" s="765">
        <f>'Budget-Unrestricted MYP'!H61+'Budget-Restricted MYP'!H61</f>
        <v>0</v>
      </c>
      <c r="I61" s="31" t="str">
        <f>IF(F61&lt;1," ",IF(H61&lt;1," ",(H61-F61)/F61))</f>
        <v xml:space="preserve"> </v>
      </c>
      <c r="J61" s="765">
        <f>'Budget-Unrestricted MYP'!J61+'Budget-Restricted MYP'!J61</f>
        <v>0</v>
      </c>
      <c r="K61" s="311" t="str">
        <f>IF(H61&lt;1," ",IF(J61&lt;1," ",(J61-H61)/H61))</f>
        <v xml:space="preserve"> </v>
      </c>
      <c r="M61" s="1203"/>
      <c r="N61" s="1203"/>
      <c r="O61" s="1203"/>
      <c r="P61" s="1203"/>
      <c r="Q61" s="1203"/>
      <c r="R61" s="1203"/>
      <c r="S61" s="1203"/>
    </row>
    <row r="62" spans="1:19" ht="15.75">
      <c r="A62" s="68"/>
      <c r="B62" s="348"/>
      <c r="C62" s="349" t="s">
        <v>144</v>
      </c>
      <c r="D62" s="289">
        <v>9719</v>
      </c>
      <c r="E62" s="878">
        <f>'Budget-Unrestricted MYP'!E62+'Budget-Restricted MYP'!E62</f>
        <v>0</v>
      </c>
      <c r="F62" s="878">
        <f>'Budget-Unrestricted MYP'!F62+'Budget-Restricted MYP'!F62</f>
        <v>0</v>
      </c>
      <c r="G62" s="51" t="str">
        <f>IF(E62&lt;1," ",IF(F62&lt;1," ",(F62-E62)/E62))</f>
        <v xml:space="preserve"> </v>
      </c>
      <c r="H62" s="878">
        <f>'Budget-Unrestricted MYP'!H62+'Budget-Restricted MYP'!H62</f>
        <v>0</v>
      </c>
      <c r="I62" s="51" t="str">
        <f>IF(F62&lt;1," ",IF(H62&lt;1," ",(H62-F62)/F62))</f>
        <v xml:space="preserve"> </v>
      </c>
      <c r="J62" s="878">
        <f>'Budget-Unrestricted MYP'!J62+'Budget-Restricted MYP'!J62</f>
        <v>0</v>
      </c>
      <c r="K62" s="325" t="str">
        <f>IF(H62&lt;1," ",IF(J62&lt;1," ",(J62-H62)/H62))</f>
        <v xml:space="preserve"> </v>
      </c>
      <c r="M62" s="1203"/>
      <c r="N62" s="1203"/>
      <c r="O62" s="1203"/>
      <c r="P62" s="1203"/>
      <c r="Q62" s="1203"/>
      <c r="R62" s="1203"/>
      <c r="S62" s="1203"/>
    </row>
    <row r="63" spans="1:19" ht="15.75">
      <c r="A63" s="68"/>
      <c r="B63" s="348" t="s">
        <v>8</v>
      </c>
      <c r="C63" s="350" t="s">
        <v>145</v>
      </c>
      <c r="D63" s="289">
        <v>9740</v>
      </c>
      <c r="E63" s="878">
        <f>'Budget-Unrestricted MYP'!E63+'Budget-Restricted MYP'!E63</f>
        <v>0</v>
      </c>
      <c r="F63" s="878">
        <f>'Budget-Unrestricted MYP'!F63+'Budget-Restricted MYP'!F63</f>
        <v>78152</v>
      </c>
      <c r="G63" s="51" t="str">
        <f>IF(E63&lt;1," ",IF(F63&lt;1," ",(F63-E63)/E63))</f>
        <v xml:space="preserve"> </v>
      </c>
      <c r="H63" s="878">
        <f>'Budget-Unrestricted MYP'!H63+'Budget-Restricted MYP'!H63</f>
        <v>0</v>
      </c>
      <c r="I63" s="51" t="str">
        <f>IF(F63&lt;1," ",IF(H63&lt;1," ",(H63-F63)/F63))</f>
        <v xml:space="preserve"> </v>
      </c>
      <c r="J63" s="878">
        <f>'Budget-Unrestricted MYP'!J63+'Budget-Restricted MYP'!J63</f>
        <v>0</v>
      </c>
      <c r="K63" s="325" t="str">
        <f>IF(H63&lt;1," ",IF(J63&lt;1," ",(J63-H63)/H63))</f>
        <v xml:space="preserve"> </v>
      </c>
      <c r="M63" s="1203"/>
      <c r="N63" s="1203"/>
      <c r="O63" s="1203"/>
      <c r="P63" s="1203"/>
      <c r="Q63" s="1203"/>
      <c r="R63" s="1203"/>
      <c r="S63" s="1203"/>
    </row>
    <row r="64" spans="1:19" ht="15.75">
      <c r="A64" s="68"/>
      <c r="B64" s="348" t="s">
        <v>9</v>
      </c>
      <c r="C64" s="354" t="s">
        <v>349</v>
      </c>
      <c r="D64" s="989"/>
      <c r="E64" s="832"/>
      <c r="F64" s="832"/>
      <c r="G64" s="636"/>
      <c r="H64" s="832"/>
      <c r="I64" s="636"/>
      <c r="J64" s="832"/>
      <c r="K64" s="640"/>
      <c r="M64" s="1203"/>
      <c r="N64" s="1203"/>
      <c r="O64" s="1203"/>
      <c r="P64" s="1203"/>
      <c r="Q64" s="1203"/>
      <c r="R64" s="1203"/>
      <c r="S64" s="1203"/>
    </row>
    <row r="65" spans="1:29" ht="15.75">
      <c r="A65" s="68"/>
      <c r="B65" s="348"/>
      <c r="C65" s="349" t="s">
        <v>146</v>
      </c>
      <c r="D65" s="290">
        <v>9750</v>
      </c>
      <c r="E65" s="878">
        <f>'Budget-Unrestricted MYP'!E65+'Budget-Restricted MYP'!E65</f>
        <v>0</v>
      </c>
      <c r="F65" s="878">
        <f>'Budget-Unrestricted MYP'!F65+'Budget-Restricted MYP'!F65</f>
        <v>0</v>
      </c>
      <c r="G65" s="51" t="str">
        <f>IF(E65&lt;1," ",IF(F65&lt;1," ",(F65-E65)/E65))</f>
        <v xml:space="preserve"> </v>
      </c>
      <c r="H65" s="878">
        <f>'Budget-Unrestricted MYP'!H65+'Budget-Restricted MYP'!H65</f>
        <v>0</v>
      </c>
      <c r="I65" s="51" t="str">
        <f>IF(F65&lt;1," ",IF(H65&lt;1," ",(H65-F65)/F65))</f>
        <v xml:space="preserve"> </v>
      </c>
      <c r="J65" s="878">
        <f>'Budget-Unrestricted MYP'!J65+'Budget-Restricted MYP'!J65</f>
        <v>0</v>
      </c>
      <c r="K65" s="325" t="str">
        <f>IF(H65&lt;1," ",IF(J65&lt;1," ",(J65-H65)/H65))</f>
        <v xml:space="preserve"> </v>
      </c>
      <c r="M65" s="1203"/>
      <c r="N65" s="1203"/>
      <c r="O65" s="1203"/>
      <c r="P65" s="1203"/>
      <c r="Q65" s="1203"/>
      <c r="R65" s="1203"/>
      <c r="S65" s="1203"/>
    </row>
    <row r="66" spans="1:29" ht="15.75">
      <c r="A66" s="68"/>
      <c r="B66" s="348"/>
      <c r="C66" s="349" t="s">
        <v>147</v>
      </c>
      <c r="D66" s="290">
        <v>9760</v>
      </c>
      <c r="E66" s="878">
        <f>'Budget-Unrestricted MYP'!E66+'Budget-Restricted MYP'!E66</f>
        <v>0</v>
      </c>
      <c r="F66" s="878">
        <f>'Budget-Unrestricted MYP'!F66+'Budget-Restricted MYP'!F66</f>
        <v>0</v>
      </c>
      <c r="G66" s="51" t="str">
        <f>IF(E66&lt;1," ",IF(F66&lt;1," ",(F66-E66)/E66))</f>
        <v xml:space="preserve"> </v>
      </c>
      <c r="H66" s="878">
        <f>'Budget-Unrestricted MYP'!H66+'Budget-Restricted MYP'!H66</f>
        <v>0</v>
      </c>
      <c r="I66" s="51" t="str">
        <f>IF(F66&lt;1," ",IF(H66&lt;1," ",(H66-F66)/F66))</f>
        <v xml:space="preserve"> </v>
      </c>
      <c r="J66" s="878">
        <f>'Budget-Unrestricted MYP'!J66+'Budget-Restricted MYP'!J66</f>
        <v>0</v>
      </c>
      <c r="K66" s="325" t="str">
        <f>IF(H66&lt;1," ",IF(J66&lt;1," ",(J66-H66)/H66))</f>
        <v xml:space="preserve"> </v>
      </c>
      <c r="M66" s="1203"/>
      <c r="N66" s="1203"/>
      <c r="O66" s="1203"/>
      <c r="P66" s="1203"/>
      <c r="Q66" s="1203"/>
      <c r="R66" s="1203"/>
      <c r="S66" s="1203"/>
    </row>
    <row r="67" spans="1:29" ht="15.75">
      <c r="A67" s="68"/>
      <c r="B67" s="348" t="s">
        <v>38</v>
      </c>
      <c r="C67" s="350" t="s">
        <v>148</v>
      </c>
      <c r="D67" s="289">
        <v>9780</v>
      </c>
      <c r="E67" s="878">
        <f>'Budget-Unrestricted MYP'!E67+'Budget-Restricted MYP'!E67</f>
        <v>0</v>
      </c>
      <c r="F67" s="878">
        <f>'Budget-Unrestricted MYP'!F67+'Budget-Restricted MYP'!F67</f>
        <v>0</v>
      </c>
      <c r="G67" s="51" t="str">
        <f>IF(E67&lt;1," ",IF(F67&lt;1," ",(F67-E67)/E67))</f>
        <v xml:space="preserve"> </v>
      </c>
      <c r="H67" s="878">
        <f>'Budget-Unrestricted MYP'!H67+'Budget-Restricted MYP'!H67</f>
        <v>0</v>
      </c>
      <c r="I67" s="51" t="str">
        <f>IF(F67&lt;1," ",IF(H67&lt;1," ",(H67-F67)/F67))</f>
        <v xml:space="preserve"> </v>
      </c>
      <c r="J67" s="878">
        <f>'Budget-Unrestricted MYP'!J67+'Budget-Restricted MYP'!J67</f>
        <v>0</v>
      </c>
      <c r="K67" s="325" t="str">
        <f>IF(H67&lt;1," ",IF(J67&lt;1," ",(J67-H67)/H67))</f>
        <v xml:space="preserve"> </v>
      </c>
      <c r="M67" s="1203"/>
      <c r="N67" s="1203"/>
      <c r="O67" s="1203"/>
      <c r="P67" s="1203"/>
      <c r="Q67" s="1203"/>
      <c r="R67" s="1203"/>
      <c r="S67" s="1203"/>
    </row>
    <row r="68" spans="1:29" ht="15.75">
      <c r="A68" s="68"/>
      <c r="B68" s="348" t="s">
        <v>40</v>
      </c>
      <c r="C68" s="354" t="s">
        <v>352</v>
      </c>
      <c r="D68" s="604"/>
      <c r="E68" s="832"/>
      <c r="F68" s="832"/>
      <c r="G68" s="636"/>
      <c r="H68" s="832"/>
      <c r="I68" s="636"/>
      <c r="J68" s="832"/>
      <c r="K68" s="640"/>
      <c r="M68" s="134" t="s">
        <v>413</v>
      </c>
    </row>
    <row r="69" spans="1:29" ht="15.75">
      <c r="A69" s="68"/>
      <c r="B69" s="348"/>
      <c r="C69" s="349" t="s">
        <v>350</v>
      </c>
      <c r="D69" s="290">
        <v>9789</v>
      </c>
      <c r="E69" s="878">
        <f>'Budget-Unrestricted MYP'!E69+'Budget-Restricted MYP'!E69</f>
        <v>0</v>
      </c>
      <c r="F69" s="878">
        <f>'Budget-Unrestricted MYP'!F69+'Budget-Restricted MYP'!F69</f>
        <v>0</v>
      </c>
      <c r="G69" s="51" t="str">
        <f>IF(E69&lt;1," ",IF(F69&lt;1," ",(F69-E69)/E69))</f>
        <v xml:space="preserve"> </v>
      </c>
      <c r="H69" s="878">
        <f>'Budget-Unrestricted MYP'!H69+'Budget-Restricted MYP'!H69</f>
        <v>0</v>
      </c>
      <c r="I69" s="51" t="str">
        <f>IF(F69&lt;1," ",IF(H69&lt;1," ",(H69-F69)/F69))</f>
        <v xml:space="preserve"> </v>
      </c>
      <c r="J69" s="878">
        <f>'Budget-Unrestricted MYP'!J69+'Budget-Restricted MYP'!J69</f>
        <v>0</v>
      </c>
      <c r="K69" s="325" t="str">
        <f>IF(H69&lt;1," ",IF(J69&lt;1," ",(J69-H69)/H69))</f>
        <v xml:space="preserve"> </v>
      </c>
      <c r="M69" s="1783" t="s">
        <v>416</v>
      </c>
      <c r="N69" s="1783"/>
      <c r="O69" s="1783"/>
      <c r="P69" s="1783"/>
      <c r="Q69" s="1783" t="s">
        <v>417</v>
      </c>
      <c r="R69" s="1783"/>
      <c r="S69" s="1783"/>
    </row>
    <row r="70" spans="1:29" ht="16.5" thickBot="1">
      <c r="A70" s="68"/>
      <c r="B70" s="899"/>
      <c r="C70" s="905" t="s">
        <v>351</v>
      </c>
      <c r="D70" s="629">
        <v>9790</v>
      </c>
      <c r="E70" s="878">
        <f>'Budget-Unrestricted MYP'!E70+'Budget-Restricted MYP'!E70</f>
        <v>193690.83966911718</v>
      </c>
      <c r="F70" s="878">
        <f>'Budget-Unrestricted MYP'!F70+'Budget-Restricted MYP'!F70</f>
        <v>385104.05864251911</v>
      </c>
      <c r="G70" s="51">
        <f>IF(E70&lt;1," ",IF(F70&lt;1," ",(F70-E70)/E70))</f>
        <v>0.98824094779285321</v>
      </c>
      <c r="H70" s="878">
        <f>'Budget-Unrestricted MYP'!H70+'Budget-Restricted MYP'!H70</f>
        <v>385889.17357342079</v>
      </c>
      <c r="I70" s="51">
        <f>IF(F70&lt;1," ",IF(H70&lt;1," ",(H70-F70)/F70))</f>
        <v>2.0387085341795263E-3</v>
      </c>
      <c r="J70" s="878">
        <f>'Budget-Unrestricted MYP'!J70+'Budget-Restricted MYP'!J70</f>
        <v>395260.76817983523</v>
      </c>
      <c r="K70" s="325">
        <f>IF(H70&lt;1," ",IF(J70&lt;1," ",(J70-H70)/H70))</f>
        <v>2.4285715299113882E-2</v>
      </c>
      <c r="M70" s="1334">
        <v>0.05</v>
      </c>
      <c r="N70" s="136" t="s">
        <v>414</v>
      </c>
      <c r="O70" s="1335">
        <v>71000</v>
      </c>
      <c r="P70" s="136" t="s">
        <v>415</v>
      </c>
      <c r="Q70" s="1336">
        <v>0</v>
      </c>
      <c r="R70" s="204" t="s">
        <v>418</v>
      </c>
      <c r="S70" s="1336">
        <v>300</v>
      </c>
      <c r="W70" s="134" t="s">
        <v>413</v>
      </c>
    </row>
    <row r="71" spans="1:29" ht="17.25" thickTop="1" thickBot="1">
      <c r="A71" s="240"/>
      <c r="B71" s="1784" t="s">
        <v>318</v>
      </c>
      <c r="C71" s="1785"/>
      <c r="D71" s="1785"/>
      <c r="E71" s="944">
        <f>(E69+E70)/(+E37+E43)</f>
        <v>4.0047922127796329E-2</v>
      </c>
      <c r="F71" s="944">
        <f>(F69+F70)/(+F37+F43)</f>
        <v>4.0550919004897018E-2</v>
      </c>
      <c r="G71" s="908"/>
      <c r="H71" s="944">
        <f>(H69+H70)/(+H37+H43)</f>
        <v>4.013067790510421E-2</v>
      </c>
      <c r="I71" s="908"/>
      <c r="J71" s="944">
        <f>(J69+J70)/(+J37+J43)</f>
        <v>4.0127546156181297E-2</v>
      </c>
      <c r="K71" s="1084"/>
      <c r="M71" s="1334">
        <v>0.04</v>
      </c>
      <c r="N71" s="136" t="s">
        <v>414</v>
      </c>
      <c r="O71" s="1335">
        <v>71000</v>
      </c>
      <c r="P71" s="136" t="s">
        <v>415</v>
      </c>
      <c r="Q71" s="1336">
        <v>301</v>
      </c>
      <c r="R71" s="204" t="s">
        <v>418</v>
      </c>
      <c r="S71" s="1336">
        <v>1000</v>
      </c>
      <c r="W71" s="1783" t="s">
        <v>416</v>
      </c>
      <c r="X71" s="1783"/>
      <c r="Y71" s="1783"/>
      <c r="Z71" s="1783"/>
      <c r="AA71" s="1783" t="s">
        <v>417</v>
      </c>
      <c r="AB71" s="1783"/>
      <c r="AC71" s="1783"/>
    </row>
    <row r="72" spans="1:29" ht="15.75">
      <c r="A72" s="1"/>
      <c r="B72" s="1"/>
      <c r="C72" s="1"/>
      <c r="D72" s="1"/>
      <c r="E72" s="25"/>
      <c r="F72" s="25"/>
      <c r="G72" s="52"/>
      <c r="H72" s="25"/>
      <c r="I72" s="52"/>
      <c r="J72" s="25"/>
      <c r="K72" s="52"/>
      <c r="M72" s="1334">
        <v>0.03</v>
      </c>
      <c r="Q72" s="1336">
        <v>1001</v>
      </c>
      <c r="R72" s="204" t="s">
        <v>418</v>
      </c>
      <c r="S72" s="1336">
        <v>30000</v>
      </c>
      <c r="W72" s="1334">
        <v>0.05</v>
      </c>
      <c r="X72" s="136" t="s">
        <v>414</v>
      </c>
      <c r="Y72" s="1335">
        <v>71000</v>
      </c>
      <c r="Z72" s="136" t="s">
        <v>415</v>
      </c>
      <c r="AA72" s="1336">
        <v>0</v>
      </c>
      <c r="AB72" s="204" t="s">
        <v>418</v>
      </c>
      <c r="AC72" s="1336">
        <v>300</v>
      </c>
    </row>
    <row r="73" spans="1:29" ht="15.75">
      <c r="A73" s="1"/>
      <c r="B73" s="136" t="s">
        <v>467</v>
      </c>
      <c r="C73" s="134"/>
      <c r="D73" s="134"/>
      <c r="E73" s="1225">
        <f>IF('Budget-ADA'!J76&lt;300.99,0.05,(IF(AND('Budget-ADA'!J76 &gt;=301,'Budget-ADA'!J76&lt;=1000.99),0.04,IF(AND('Budget-ADA'!J76 &gt;=1001,'Budget-ADA'!J76&lt;=30000.99),0.03,0.02))))</f>
        <v>0.04</v>
      </c>
      <c r="F73" s="1225">
        <f>IF('Budget-ADA'!L76&lt;300.99,0.05,(IF(AND('Budget-ADA'!L76 &gt;=301,'Budget-ADA'!L76&lt;=1000.99),0.04,IF(AND('Budget-ADA'!L76 &gt;=1001,'Budget-ADA'!L76&lt;=30000.99),0.03,0.02))))</f>
        <v>0.04</v>
      </c>
      <c r="G73" s="134"/>
      <c r="H73" s="1225">
        <f>IF('Budget-ADA'!O76&lt;300.99,0.05,(IF(AND('Budget-ADA'!O76 &gt;=301,'Budget-ADA'!O76&lt;=1000.99),0.04,IF(AND('Budget-ADA'!O76 &gt;=1001,'Budget-ADA'!O76&lt;=30000.99),0.03,0.02))))</f>
        <v>0.04</v>
      </c>
      <c r="I73" s="134"/>
      <c r="J73" s="1225">
        <f>IF('Budget-ADA'!R76&lt;300.99,0.05,(IF(AND('Budget-ADA'!R76 &gt;=301,'Budget-ADA'!R76&lt;=1000.99),0.04,IF(AND('Budget-ADA'!R76 &gt;=1001,'Budget-ADA'!R76&lt;=30000.99),0.03,0.02))))</f>
        <v>0.04</v>
      </c>
      <c r="K73" s="134"/>
      <c r="M73" s="1334">
        <v>0.02</v>
      </c>
      <c r="Q73" s="1336">
        <v>30001</v>
      </c>
      <c r="R73" s="204" t="s">
        <v>418</v>
      </c>
      <c r="S73" s="1336">
        <v>400000</v>
      </c>
      <c r="W73" s="1334"/>
      <c r="X73" s="136"/>
      <c r="Y73" s="1335"/>
      <c r="Z73" s="136"/>
      <c r="AA73" s="1336"/>
      <c r="AB73" s="204"/>
      <c r="AC73" s="1336"/>
    </row>
    <row r="74" spans="1:29">
      <c r="B74" s="136" t="s">
        <v>466</v>
      </c>
      <c r="C74" s="134"/>
      <c r="E74" s="1404"/>
      <c r="F74" s="1404"/>
      <c r="G74" s="134"/>
      <c r="H74" s="1404"/>
      <c r="I74" s="134"/>
      <c r="J74" s="1404"/>
      <c r="M74" s="1334">
        <v>0.01</v>
      </c>
      <c r="Q74" s="1336">
        <v>400001</v>
      </c>
      <c r="R74" s="204" t="s">
        <v>419</v>
      </c>
      <c r="S74" s="1337"/>
      <c r="W74" s="1334">
        <v>0.04</v>
      </c>
      <c r="X74" s="136" t="s">
        <v>414</v>
      </c>
      <c r="Y74" s="1335">
        <v>71000</v>
      </c>
      <c r="Z74" s="136" t="s">
        <v>415</v>
      </c>
      <c r="AA74" s="1336">
        <v>301</v>
      </c>
      <c r="AB74" s="204" t="s">
        <v>418</v>
      </c>
      <c r="AC74" s="1336">
        <v>1000</v>
      </c>
    </row>
    <row r="75" spans="1:29">
      <c r="B75" s="134" t="s">
        <v>420</v>
      </c>
      <c r="C75" s="134"/>
      <c r="D75" s="134"/>
      <c r="E75" s="1226" t="str">
        <f>IF(E74="",IF(E71&gt;=E73,"Met","Not Met"),IF(E71&gt;=E74,"Met","Not Met"))</f>
        <v>Met</v>
      </c>
      <c r="F75" s="1226" t="str">
        <f>IF(F74="",IF(F71&gt;=F73,"Met","Not Met"),IF(F71&gt;=F74,"Met","Not Met"))</f>
        <v>Met</v>
      </c>
      <c r="G75" s="134"/>
      <c r="H75" s="1226" t="str">
        <f>IF(H74="",IF(H71&gt;=H73,"Met","Not Met"),IF(H71&gt;=H74,"Met","Not Met"))</f>
        <v>Met</v>
      </c>
      <c r="I75" s="134"/>
      <c r="J75" s="1226" t="str">
        <f>IF(J74="",IF(J71&gt;=J73,"Met","Not Met"),IF(J71&gt;=J74,"Met","Not Met"))</f>
        <v>Met</v>
      </c>
      <c r="K75" s="134"/>
      <c r="M75" s="1334"/>
      <c r="Q75" s="1336"/>
      <c r="R75" s="204"/>
      <c r="S75" s="1337"/>
      <c r="W75" s="1334">
        <v>0.03</v>
      </c>
      <c r="AA75" s="1336">
        <v>1001</v>
      </c>
      <c r="AB75" s="204" t="s">
        <v>418</v>
      </c>
      <c r="AC75" s="1336">
        <v>30000</v>
      </c>
    </row>
    <row r="76" spans="1:29" ht="9" customHeight="1" thickBot="1">
      <c r="B76" s="134"/>
      <c r="C76" s="134"/>
      <c r="D76" s="134"/>
      <c r="E76" s="1226"/>
      <c r="F76" s="1226"/>
      <c r="G76" s="134"/>
      <c r="H76" s="1226"/>
      <c r="I76" s="134"/>
      <c r="J76" s="1226"/>
      <c r="K76" s="134"/>
      <c r="M76" s="1334"/>
      <c r="Q76" s="1336"/>
      <c r="R76" s="204"/>
      <c r="S76" s="1337"/>
      <c r="W76" s="1334"/>
      <c r="AA76" s="1336"/>
      <c r="AB76" s="204"/>
      <c r="AC76" s="1336"/>
    </row>
    <row r="77" spans="1:29" s="2" customFormat="1" ht="16.5" thickBot="1">
      <c r="A77"/>
      <c r="B77" s="1797" t="s">
        <v>490</v>
      </c>
      <c r="C77" s="1798"/>
      <c r="D77" s="1798"/>
      <c r="E77" s="1798"/>
      <c r="F77" s="1798"/>
      <c r="G77" s="1798"/>
      <c r="H77" s="1798"/>
      <c r="I77" s="1798"/>
      <c r="J77" s="1798"/>
      <c r="K77" s="1799"/>
      <c r="M77" s="1334"/>
      <c r="N77"/>
      <c r="O77"/>
      <c r="P77"/>
      <c r="Q77" s="1336"/>
      <c r="R77" s="204"/>
      <c r="S77" s="1337"/>
    </row>
    <row r="78" spans="1:29" s="2" customFormat="1" ht="42" customHeight="1">
      <c r="A78"/>
      <c r="B78" s="1794"/>
      <c r="C78" s="1795"/>
      <c r="D78" s="1795"/>
      <c r="E78" s="1795"/>
      <c r="F78" s="1795"/>
      <c r="G78" s="1795"/>
      <c r="H78" s="1795"/>
      <c r="I78" s="1795"/>
      <c r="J78" s="1795"/>
      <c r="K78" s="1796"/>
      <c r="M78" s="1334"/>
      <c r="N78"/>
      <c r="O78"/>
      <c r="P78"/>
      <c r="Q78" s="1336"/>
      <c r="R78" s="204"/>
      <c r="S78" s="1337"/>
    </row>
    <row r="79" spans="1:29">
      <c r="M79" s="1334"/>
      <c r="N79" s="136"/>
      <c r="O79" s="1335"/>
      <c r="P79" s="136"/>
      <c r="Q79" s="1336"/>
      <c r="R79" s="204"/>
      <c r="S79" s="1336"/>
      <c r="W79" s="1334">
        <v>0.02</v>
      </c>
      <c r="AA79" s="1336">
        <v>30001</v>
      </c>
      <c r="AB79" s="204" t="s">
        <v>418</v>
      </c>
      <c r="AC79" s="1336">
        <v>400000</v>
      </c>
    </row>
    <row r="80" spans="1:29">
      <c r="B80" s="136" t="s">
        <v>423</v>
      </c>
      <c r="E80" s="1258">
        <f>ROUND(-MIN('Budget-Unrestricted MYP'!E46/('Budget-Unrestricted MYP'!E37+'Budget-Unrestricted MYP'!E43),0),3)</f>
        <v>0</v>
      </c>
      <c r="F80" s="1258">
        <f>ROUND(-MIN('Budget-Unrestricted MYP'!F46/('Budget-Unrestricted MYP'!F37+'Budget-Unrestricted MYP'!F43),0),3)</f>
        <v>0</v>
      </c>
      <c r="H80" s="1258">
        <f>ROUND(-MIN('Budget-Unrestricted MYP'!H46/('Budget-Unrestricted MYP'!H37+'Budget-Unrestricted MYP'!H43),0),3)</f>
        <v>0</v>
      </c>
      <c r="I80" s="887"/>
      <c r="J80" s="1258">
        <f>ROUND(-MIN('Budget-Unrestricted MYP'!J46/('Budget-Unrestricted MYP'!J37+'Budget-Unrestricted MYP'!J43),0),3)</f>
        <v>0</v>
      </c>
      <c r="N80" s="136"/>
      <c r="O80" s="1335"/>
      <c r="P80" s="136"/>
      <c r="Q80" s="1336"/>
      <c r="R80" s="204"/>
      <c r="S80" s="1336"/>
      <c r="W80" s="1334">
        <v>0.01</v>
      </c>
      <c r="AA80" s="1336">
        <v>400001</v>
      </c>
      <c r="AB80" s="204" t="s">
        <v>419</v>
      </c>
      <c r="AC80" s="1337"/>
    </row>
    <row r="81" spans="2:29">
      <c r="B81" s="134" t="s">
        <v>424</v>
      </c>
      <c r="E81" s="1259">
        <f>ROUND(E71/3,3)</f>
        <v>1.2999999999999999E-2</v>
      </c>
      <c r="F81" s="1259">
        <f>ROUND(F71/3,3)</f>
        <v>1.4E-2</v>
      </c>
      <c r="H81" s="1259">
        <f>ROUND(H71/3,3)</f>
        <v>1.2999999999999999E-2</v>
      </c>
      <c r="I81" s="887"/>
      <c r="J81" s="1259">
        <f>ROUND(J71/3,3)</f>
        <v>1.2999999999999999E-2</v>
      </c>
      <c r="M81" s="1338" t="s">
        <v>421</v>
      </c>
      <c r="N81" s="136"/>
      <c r="O81" s="1335"/>
      <c r="P81" s="136"/>
      <c r="Q81" s="1336"/>
      <c r="R81" s="204"/>
      <c r="S81" s="1336"/>
      <c r="W81" s="1334"/>
      <c r="AA81" s="1336"/>
      <c r="AB81" s="204"/>
      <c r="AC81" s="1337"/>
    </row>
    <row r="82" spans="2:29">
      <c r="B82" s="134" t="s">
        <v>425</v>
      </c>
      <c r="E82" s="1226" t="str">
        <f>IF(E80&lt;=E81,"Met","Not Met")</f>
        <v>Met</v>
      </c>
      <c r="F82" s="1226" t="str">
        <f>IF(F80&lt;=F81,"Met","Not Met")</f>
        <v>Met</v>
      </c>
      <c r="H82" s="1226" t="str">
        <f>IF(H80&lt;=H81,"Met","Not Met")</f>
        <v>Met</v>
      </c>
      <c r="J82" s="1226" t="str">
        <f>IF(J80&lt;=J81,"Met","Not Met")</f>
        <v>Met</v>
      </c>
      <c r="M82" s="1786" t="s">
        <v>422</v>
      </c>
      <c r="N82" s="1787"/>
      <c r="O82" s="1787"/>
      <c r="P82" s="1787"/>
      <c r="Q82" s="1787"/>
      <c r="R82" s="1787"/>
      <c r="S82" s="1787"/>
    </row>
    <row r="83" spans="2:29" ht="8.25" customHeight="1" thickBot="1">
      <c r="B83" s="134"/>
      <c r="E83" s="1226"/>
      <c r="F83" s="1226"/>
      <c r="H83" s="1226"/>
      <c r="J83" s="1226"/>
      <c r="M83" s="1786"/>
      <c r="N83" s="1787"/>
      <c r="O83" s="1787"/>
      <c r="P83" s="1787"/>
      <c r="Q83" s="1787"/>
      <c r="R83" s="1787"/>
      <c r="S83" s="1787"/>
    </row>
    <row r="84" spans="2:29" ht="13.5" thickBot="1">
      <c r="B84" s="1797" t="s">
        <v>493</v>
      </c>
      <c r="C84" s="1798"/>
      <c r="D84" s="1798"/>
      <c r="E84" s="1798"/>
      <c r="F84" s="1798"/>
      <c r="G84" s="1798"/>
      <c r="H84" s="1798"/>
      <c r="I84" s="1798"/>
      <c r="J84" s="1798"/>
      <c r="K84" s="1799"/>
      <c r="M84" s="1787"/>
      <c r="N84" s="1787"/>
      <c r="O84" s="1787"/>
      <c r="P84" s="1787"/>
      <c r="Q84" s="1787"/>
      <c r="R84" s="1787"/>
      <c r="S84" s="1787"/>
    </row>
    <row r="85" spans="2:29" ht="52.5" customHeight="1">
      <c r="B85" s="1791"/>
      <c r="C85" s="1792"/>
      <c r="D85" s="1792"/>
      <c r="E85" s="1792"/>
      <c r="F85" s="1792"/>
      <c r="G85" s="1792"/>
      <c r="H85" s="1792"/>
      <c r="I85" s="1792"/>
      <c r="J85" s="1792"/>
      <c r="K85" s="1793"/>
      <c r="M85" s="1787"/>
      <c r="N85" s="1787"/>
      <c r="O85" s="1787"/>
      <c r="P85" s="1787"/>
      <c r="Q85" s="1787"/>
      <c r="R85" s="1787"/>
      <c r="S85" s="1787"/>
    </row>
  </sheetData>
  <sheetProtection password="D94D" sheet="1"/>
  <mergeCells count="30">
    <mergeCell ref="F27:K27"/>
    <mergeCell ref="A28:C28"/>
    <mergeCell ref="M82:S85"/>
    <mergeCell ref="A39:D39"/>
    <mergeCell ref="F58:K58"/>
    <mergeCell ref="F38:K38"/>
    <mergeCell ref="F40:K40"/>
    <mergeCell ref="F41:K41"/>
    <mergeCell ref="F48:K48"/>
    <mergeCell ref="B51:D51"/>
    <mergeCell ref="B85:K85"/>
    <mergeCell ref="B78:K78"/>
    <mergeCell ref="B77:K77"/>
    <mergeCell ref="B84:K84"/>
    <mergeCell ref="W71:Z71"/>
    <mergeCell ref="AA71:AC71"/>
    <mergeCell ref="M69:P69"/>
    <mergeCell ref="Q69:S69"/>
    <mergeCell ref="A1:D1"/>
    <mergeCell ref="A2:D2"/>
    <mergeCell ref="A3:D3"/>
    <mergeCell ref="B44:D44"/>
    <mergeCell ref="A46:D46"/>
    <mergeCell ref="B71:D71"/>
    <mergeCell ref="F28:K28"/>
    <mergeCell ref="B26:D26"/>
    <mergeCell ref="B37:D37"/>
    <mergeCell ref="A8:C8"/>
    <mergeCell ref="F11:K11"/>
    <mergeCell ref="F12:K12"/>
  </mergeCells>
  <conditionalFormatting sqref="A1:D3">
    <cfRule type="containsText" dxfId="348" priority="12" stopIfTrue="1" operator="containsText" text="Enter">
      <formula>NOT(ISERROR(SEARCH("Enter",A1)))</formula>
    </cfRule>
  </conditionalFormatting>
  <conditionalFormatting sqref="E82:F83 H82:H83 J82:J83 E75:F76 H75:H76 J75:J76">
    <cfRule type="containsText" dxfId="347" priority="11" stopIfTrue="1" operator="containsText" text="Met">
      <formula>NOT(ISERROR(SEARCH("Met",E75)))</formula>
    </cfRule>
  </conditionalFormatting>
  <conditionalFormatting sqref="E82:F83 H82:H83 J82:J83 E75:F76 H75:H76 J75:J76">
    <cfRule type="containsText" dxfId="346" priority="10" stopIfTrue="1" operator="containsText" text="Not Met">
      <formula>NOT(ISERROR(SEARCH("Not Met",E75)))</formula>
    </cfRule>
  </conditionalFormatting>
  <conditionalFormatting sqref="B73">
    <cfRule type="expression" dxfId="345" priority="9" stopIfTrue="1">
      <formula>$E$74=""</formula>
    </cfRule>
  </conditionalFormatting>
  <conditionalFormatting sqref="B74">
    <cfRule type="expression" dxfId="344" priority="8" stopIfTrue="1">
      <formula>$E$74&lt;&gt;0</formula>
    </cfRule>
  </conditionalFormatting>
  <conditionalFormatting sqref="E73">
    <cfRule type="expression" dxfId="343" priority="6" stopIfTrue="1">
      <formula>$E$74=""</formula>
    </cfRule>
  </conditionalFormatting>
  <conditionalFormatting sqref="J73">
    <cfRule type="expression" dxfId="342" priority="5" stopIfTrue="1">
      <formula>$F$74=""</formula>
    </cfRule>
  </conditionalFormatting>
  <conditionalFormatting sqref="F73">
    <cfRule type="expression" dxfId="341" priority="4" stopIfTrue="1">
      <formula>$F$74=""</formula>
    </cfRule>
  </conditionalFormatting>
  <conditionalFormatting sqref="H73">
    <cfRule type="expression" dxfId="340" priority="3" stopIfTrue="1">
      <formula>$H$74=""</formula>
    </cfRule>
  </conditionalFormatting>
  <conditionalFormatting sqref="B78">
    <cfRule type="containsText" dxfId="339" priority="2" stopIfTrue="1" operator="containsText" text="Met">
      <formula>NOT(ISERROR(SEARCH("Met",B78)))</formula>
    </cfRule>
  </conditionalFormatting>
  <conditionalFormatting sqref="B78">
    <cfRule type="containsText" dxfId="338" priority="1" stopIfTrue="1" operator="containsText" text="Not Met">
      <formula>NOT(ISERROR(SEARCH("Not Met",B78)))</formula>
    </cfRule>
  </conditionalFormatting>
  <pageMargins left="0.7" right="0.7" top="0.75" bottom="0.75" header="0.3" footer="0.3"/>
  <pageSetup scale="65" fitToHeight="0" orientation="landscape" r:id="rId1"/>
  <headerFooter>
    <oddHeader>&amp;RPage &amp;P of &amp;N</oddHeader>
    <oddFooter>Page &amp;P of &amp;N</oddFooter>
  </headerFooter>
  <rowBreaks count="1" manualBreakCount="1">
    <brk id="47" max="10"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theme="6" tint="-0.249977111117893"/>
    <pageSetUpPr fitToPage="1"/>
  </sheetPr>
  <dimension ref="A1:L34"/>
  <sheetViews>
    <sheetView showGridLines="0" zoomScaleNormal="100" workbookViewId="0">
      <selection activeCell="F9" sqref="F9"/>
    </sheetView>
  </sheetViews>
  <sheetFormatPr defaultColWidth="9.28515625" defaultRowHeight="12.75"/>
  <cols>
    <col min="1" max="1" width="3.7109375" customWidth="1"/>
    <col min="2" max="2" width="25.7109375" customWidth="1"/>
    <col min="4" max="4" width="16.7109375" customWidth="1"/>
    <col min="5" max="10" width="14.7109375" customWidth="1"/>
    <col min="11" max="11" width="11.7109375" customWidth="1"/>
    <col min="12" max="12" width="83.42578125" style="1203" customWidth="1"/>
    <col min="13" max="34" width="9.28515625" customWidth="1"/>
  </cols>
  <sheetData>
    <row r="1" spans="1:11" ht="18">
      <c r="A1" s="137" t="s">
        <v>119</v>
      </c>
      <c r="B1" s="137"/>
      <c r="H1" s="136"/>
      <c r="I1" s="136"/>
    </row>
    <row r="2" spans="1:11">
      <c r="A2" s="170" t="str">
        <f>'Budget-ADA'!I4</f>
        <v>Fiscal Year 2022-23 Budget</v>
      </c>
    </row>
    <row r="3" spans="1:11" ht="13.5" customHeight="1">
      <c r="A3" s="1645" t="str">
        <f>IF('BUDGET-CERTIFICATION'!$H$1="","CHARTER NAME: Enter Charter Name on BUDGET-CERTIFICATION Worksheet",(CONCATENATE("CHARTER NAME: ",'BUDGET-CERTIFICATION'!$H$1)))</f>
        <v>CHARTER NAME: Elite Academic Academy - Virtual Prep Lucerne</v>
      </c>
      <c r="B3" s="1645"/>
      <c r="C3" s="1645"/>
      <c r="D3" s="1645"/>
      <c r="E3" s="1645"/>
      <c r="F3" s="1645"/>
      <c r="G3" s="171"/>
      <c r="H3" s="171"/>
      <c r="I3" s="171"/>
    </row>
    <row r="4" spans="1:11">
      <c r="A4" s="1579" t="str">
        <f>Instructions!H1</f>
        <v>Form Orignated 5/16/2022</v>
      </c>
    </row>
    <row r="5" spans="1:11" ht="12.75" customHeight="1">
      <c r="A5" s="1814" t="s">
        <v>325</v>
      </c>
      <c r="B5" s="1814"/>
      <c r="C5" s="1814"/>
      <c r="D5" s="1814"/>
      <c r="E5" s="1814"/>
      <c r="F5" s="1814"/>
      <c r="G5" s="1814"/>
      <c r="H5" s="1814"/>
      <c r="I5" s="369"/>
      <c r="J5" s="369"/>
      <c r="K5" s="369"/>
    </row>
    <row r="6" spans="1:11">
      <c r="A6" s="1814"/>
      <c r="B6" s="1814"/>
      <c r="C6" s="1814"/>
      <c r="D6" s="1814"/>
      <c r="E6" s="1814"/>
      <c r="F6" s="1814"/>
      <c r="G6" s="1814"/>
      <c r="H6" s="1814"/>
      <c r="I6" s="369"/>
      <c r="J6" s="369"/>
      <c r="K6" s="369"/>
    </row>
    <row r="7" spans="1:11">
      <c r="A7" s="1814"/>
      <c r="B7" s="1814"/>
      <c r="C7" s="1814"/>
      <c r="D7" s="1814"/>
      <c r="E7" s="1814"/>
      <c r="F7" s="1814"/>
      <c r="G7" s="1814"/>
      <c r="H7" s="1814"/>
    </row>
    <row r="8" spans="1:11" ht="12.75" customHeight="1">
      <c r="A8" s="1815" t="s">
        <v>326</v>
      </c>
      <c r="B8" s="1815"/>
      <c r="C8" s="1815"/>
      <c r="D8" s="1815"/>
      <c r="E8" s="1815"/>
      <c r="F8" s="1815"/>
      <c r="G8" s="1815"/>
      <c r="H8" s="1815"/>
    </row>
    <row r="10" spans="1:11" ht="19.5" customHeight="1" thickBot="1">
      <c r="A10" s="1277"/>
      <c r="B10" s="134" t="s">
        <v>248</v>
      </c>
    </row>
    <row r="11" spans="1:11" ht="19.5" customHeight="1" thickBot="1">
      <c r="A11" s="204"/>
      <c r="B11" s="134"/>
    </row>
    <row r="12" spans="1:11" ht="13.5" thickTop="1">
      <c r="A12" s="1339"/>
      <c r="B12" s="1340"/>
      <c r="C12" s="1341"/>
      <c r="D12" s="1342" t="s">
        <v>241</v>
      </c>
      <c r="E12" s="1808" t="str">
        <f>'Budget-Assumptions'!G6</f>
        <v>2022-23</v>
      </c>
      <c r="F12" s="1809"/>
      <c r="G12" s="1810" t="str">
        <f>'Budget-Assumptions'!H6</f>
        <v>2023-24</v>
      </c>
      <c r="H12" s="1811"/>
      <c r="I12" s="1810" t="str">
        <f>'Budget-Assumptions'!J6</f>
        <v>2024-25</v>
      </c>
      <c r="J12" s="1811"/>
      <c r="K12" s="1343" t="s">
        <v>120</v>
      </c>
    </row>
    <row r="13" spans="1:11">
      <c r="A13" s="1344"/>
      <c r="C13" s="1345" t="s">
        <v>123</v>
      </c>
      <c r="D13" s="1346" t="s">
        <v>506</v>
      </c>
      <c r="E13" s="1812" t="s">
        <v>121</v>
      </c>
      <c r="F13" s="1813"/>
      <c r="G13" s="1812" t="s">
        <v>121</v>
      </c>
      <c r="H13" s="1813"/>
      <c r="I13" s="1812" t="s">
        <v>121</v>
      </c>
      <c r="J13" s="1813"/>
      <c r="K13" s="1347" t="s">
        <v>237</v>
      </c>
    </row>
    <row r="14" spans="1:11" ht="13.5" thickBot="1">
      <c r="A14" s="1344" t="s">
        <v>122</v>
      </c>
      <c r="C14" s="1348" t="s">
        <v>243</v>
      </c>
      <c r="D14" s="1349" t="s">
        <v>240</v>
      </c>
      <c r="E14" s="1350" t="s">
        <v>238</v>
      </c>
      <c r="F14" s="1351" t="s">
        <v>239</v>
      </c>
      <c r="G14" s="1350" t="s">
        <v>238</v>
      </c>
      <c r="H14" s="1351" t="s">
        <v>239</v>
      </c>
      <c r="I14" s="1350" t="s">
        <v>238</v>
      </c>
      <c r="J14" s="1351" t="s">
        <v>239</v>
      </c>
      <c r="K14" s="1352"/>
    </row>
    <row r="15" spans="1:11" ht="18" customHeight="1" thickBot="1">
      <c r="A15" s="172" t="s">
        <v>131</v>
      </c>
      <c r="B15" s="173"/>
      <c r="C15" s="202"/>
      <c r="D15" s="29"/>
      <c r="E15" s="210"/>
      <c r="F15" s="212"/>
      <c r="G15" s="210"/>
      <c r="H15" s="212"/>
      <c r="I15" s="210"/>
      <c r="J15" s="212"/>
      <c r="K15" s="213"/>
    </row>
    <row r="16" spans="1:11" ht="18" customHeight="1" thickBot="1">
      <c r="A16" s="172" t="s">
        <v>132</v>
      </c>
      <c r="B16" s="173"/>
      <c r="C16" s="202">
        <v>1</v>
      </c>
      <c r="D16" s="29">
        <v>62498</v>
      </c>
      <c r="E16" s="210">
        <v>62498</v>
      </c>
      <c r="F16" s="212">
        <v>1102</v>
      </c>
      <c r="G16" s="210"/>
      <c r="H16" s="212"/>
      <c r="I16" s="210"/>
      <c r="J16" s="212"/>
      <c r="K16" s="213" t="s">
        <v>533</v>
      </c>
    </row>
    <row r="17" spans="1:12" ht="18" customHeight="1" thickBot="1">
      <c r="A17" s="172" t="s">
        <v>134</v>
      </c>
      <c r="B17" s="173"/>
      <c r="C17" s="202"/>
      <c r="D17" s="29"/>
      <c r="E17" s="210"/>
      <c r="F17" s="212"/>
      <c r="G17" s="210"/>
      <c r="H17" s="212"/>
      <c r="I17" s="210"/>
      <c r="J17" s="212"/>
      <c r="K17" s="213"/>
    </row>
    <row r="18" spans="1:12" ht="18" customHeight="1" thickBot="1">
      <c r="A18" s="172" t="s">
        <v>133</v>
      </c>
      <c r="B18" s="173"/>
      <c r="C18" s="202"/>
      <c r="D18" s="194"/>
      <c r="E18" s="211"/>
      <c r="F18" s="212"/>
      <c r="G18" s="211"/>
      <c r="H18" s="212"/>
      <c r="I18" s="211"/>
      <c r="J18" s="212"/>
      <c r="K18" s="213"/>
    </row>
    <row r="19" spans="1:12" ht="18" customHeight="1" thickBot="1">
      <c r="A19" s="172" t="s">
        <v>126</v>
      </c>
      <c r="B19" s="173"/>
      <c r="C19" s="202"/>
      <c r="D19" s="29"/>
      <c r="E19" s="210"/>
      <c r="F19" s="212"/>
      <c r="G19" s="210"/>
      <c r="H19" s="212"/>
      <c r="I19" s="210"/>
      <c r="J19" s="212"/>
      <c r="K19" s="213"/>
    </row>
    <row r="20" spans="1:12" ht="18" customHeight="1" thickBot="1">
      <c r="A20" s="172" t="s">
        <v>130</v>
      </c>
      <c r="B20" s="173"/>
      <c r="C20" s="202"/>
      <c r="D20" s="29"/>
      <c r="E20" s="210"/>
      <c r="F20" s="212"/>
      <c r="G20" s="210"/>
      <c r="H20" s="212"/>
      <c r="I20" s="210"/>
      <c r="J20" s="212"/>
      <c r="K20" s="213"/>
    </row>
    <row r="21" spans="1:12" ht="18" customHeight="1" thickBot="1">
      <c r="A21" s="174" t="s">
        <v>468</v>
      </c>
      <c r="B21" s="173"/>
      <c r="C21" s="202"/>
      <c r="D21" s="29"/>
      <c r="E21" s="210"/>
      <c r="F21" s="212"/>
      <c r="G21" s="210"/>
      <c r="H21" s="212"/>
      <c r="I21" s="210"/>
      <c r="J21" s="212"/>
      <c r="K21" s="213"/>
    </row>
    <row r="22" spans="1:12" ht="18" customHeight="1" thickBot="1">
      <c r="A22" s="174" t="s">
        <v>468</v>
      </c>
      <c r="B22" s="174"/>
      <c r="C22" s="202"/>
      <c r="D22" s="29"/>
      <c r="E22" s="210"/>
      <c r="F22" s="212"/>
      <c r="G22" s="210"/>
      <c r="H22" s="212"/>
      <c r="I22" s="210"/>
      <c r="J22" s="212"/>
      <c r="K22" s="213"/>
    </row>
    <row r="23" spans="1:12" ht="18" customHeight="1" thickBot="1">
      <c r="A23" s="174" t="s">
        <v>468</v>
      </c>
      <c r="B23" s="173"/>
      <c r="C23" s="202"/>
      <c r="D23" s="29"/>
      <c r="E23" s="210"/>
      <c r="F23" s="212"/>
      <c r="G23" s="210"/>
      <c r="H23" s="212"/>
      <c r="I23" s="210"/>
      <c r="J23" s="212"/>
      <c r="K23" s="213"/>
    </row>
    <row r="24" spans="1:12" ht="18" customHeight="1" thickBot="1">
      <c r="A24" s="174" t="s">
        <v>469</v>
      </c>
      <c r="B24" s="173"/>
      <c r="C24" s="202"/>
      <c r="D24" s="29"/>
      <c r="E24" s="210"/>
      <c r="F24" s="212"/>
      <c r="G24" s="210"/>
      <c r="H24" s="212"/>
      <c r="I24" s="210"/>
      <c r="J24" s="212"/>
      <c r="K24" s="213"/>
    </row>
    <row r="25" spans="1:12" ht="18" customHeight="1" thickBot="1">
      <c r="A25" s="174" t="s">
        <v>161</v>
      </c>
      <c r="B25" s="173"/>
      <c r="C25" s="202"/>
      <c r="D25" s="1363"/>
      <c r="E25" s="1364"/>
      <c r="F25" s="1365"/>
      <c r="G25" s="1364"/>
      <c r="H25" s="1365"/>
      <c r="I25" s="1364"/>
      <c r="J25" s="1365"/>
      <c r="K25" s="213"/>
    </row>
    <row r="26" spans="1:12" s="134" customFormat="1" ht="18" customHeight="1" thickBot="1">
      <c r="A26" s="1360"/>
      <c r="B26" s="1361" t="s">
        <v>0</v>
      </c>
      <c r="C26" s="1362"/>
      <c r="D26" s="1366">
        <f>SUM(D15:D25)</f>
        <v>62498</v>
      </c>
      <c r="E26" s="1367">
        <f t="shared" ref="E26:J26" si="0">SUM(E15:E25)</f>
        <v>62498</v>
      </c>
      <c r="F26" s="1368">
        <f t="shared" si="0"/>
        <v>1102</v>
      </c>
      <c r="G26" s="1367">
        <f t="shared" si="0"/>
        <v>0</v>
      </c>
      <c r="H26" s="1368">
        <f t="shared" si="0"/>
        <v>0</v>
      </c>
      <c r="I26" s="1367">
        <f t="shared" si="0"/>
        <v>0</v>
      </c>
      <c r="J26" s="1368">
        <f t="shared" si="0"/>
        <v>0</v>
      </c>
      <c r="K26" s="1369"/>
      <c r="L26" s="1224"/>
    </row>
    <row r="27" spans="1:12" ht="9.75" customHeight="1">
      <c r="A27" s="1344"/>
      <c r="C27" s="175"/>
      <c r="D27" s="175"/>
      <c r="E27" s="175"/>
      <c r="F27" s="175"/>
      <c r="G27" s="175"/>
      <c r="H27" s="175"/>
      <c r="I27" s="175"/>
      <c r="J27" s="175"/>
      <c r="K27" s="1353"/>
    </row>
    <row r="28" spans="1:12" ht="18" customHeight="1" thickBot="1">
      <c r="A28" s="1354" t="s">
        <v>124</v>
      </c>
      <c r="B28" s="176"/>
      <c r="C28" s="1355"/>
      <c r="D28" s="1355"/>
      <c r="E28" s="1355"/>
      <c r="F28" s="1355"/>
      <c r="G28" s="1355"/>
      <c r="H28" s="1355"/>
      <c r="I28" s="1355"/>
      <c r="J28" s="1355"/>
      <c r="K28" s="1356"/>
    </row>
    <row r="29" spans="1:12" ht="18" customHeight="1" thickBot="1">
      <c r="A29" s="1800"/>
      <c r="B29" s="1801"/>
      <c r="C29" s="1801"/>
      <c r="D29" s="1801"/>
      <c r="E29" s="1801"/>
      <c r="F29" s="1801"/>
      <c r="G29" s="1801"/>
      <c r="H29" s="1801"/>
      <c r="I29" s="1801"/>
      <c r="J29" s="1801"/>
      <c r="K29" s="1802"/>
    </row>
    <row r="30" spans="1:12" ht="18" customHeight="1" thickBot="1">
      <c r="A30" s="1800"/>
      <c r="B30" s="1803"/>
      <c r="C30" s="1803"/>
      <c r="D30" s="1803"/>
      <c r="E30" s="1803"/>
      <c r="F30" s="1803"/>
      <c r="G30" s="1803"/>
      <c r="H30" s="1803"/>
      <c r="I30" s="1803"/>
      <c r="J30" s="1803"/>
      <c r="K30" s="1804"/>
    </row>
    <row r="31" spans="1:12" ht="18" customHeight="1" thickBot="1">
      <c r="A31" s="1800"/>
      <c r="B31" s="1801"/>
      <c r="C31" s="1801"/>
      <c r="D31" s="1801"/>
      <c r="E31" s="1801"/>
      <c r="F31" s="1801"/>
      <c r="G31" s="1801"/>
      <c r="H31" s="1801"/>
      <c r="I31" s="1801"/>
      <c r="J31" s="1801"/>
      <c r="K31" s="1802"/>
    </row>
    <row r="32" spans="1:12" ht="18" customHeight="1">
      <c r="A32" s="1357" t="s">
        <v>125</v>
      </c>
      <c r="B32" s="1358"/>
      <c r="C32" s="1358"/>
      <c r="D32" s="1358"/>
      <c r="E32" s="1358"/>
      <c r="F32" s="1358"/>
      <c r="G32" s="1358"/>
      <c r="H32" s="1358"/>
      <c r="I32" s="1358"/>
      <c r="J32" s="1358"/>
      <c r="K32" s="1359"/>
    </row>
    <row r="33" spans="1:11" ht="81" customHeight="1" thickBot="1">
      <c r="A33" s="1805" t="s">
        <v>535</v>
      </c>
      <c r="B33" s="1806"/>
      <c r="C33" s="1806"/>
      <c r="D33" s="1806"/>
      <c r="E33" s="1806"/>
      <c r="F33" s="1806"/>
      <c r="G33" s="1806"/>
      <c r="H33" s="1806"/>
      <c r="I33" s="1806"/>
      <c r="J33" s="1806"/>
      <c r="K33" s="1807"/>
    </row>
    <row r="34" spans="1:11" ht="13.5" thickTop="1"/>
  </sheetData>
  <sheetProtection password="D94D" sheet="1"/>
  <mergeCells count="13">
    <mergeCell ref="A29:K29"/>
    <mergeCell ref="A30:K30"/>
    <mergeCell ref="A31:K31"/>
    <mergeCell ref="A33:K33"/>
    <mergeCell ref="A3:F3"/>
    <mergeCell ref="E12:F12"/>
    <mergeCell ref="G12:H12"/>
    <mergeCell ref="I12:J12"/>
    <mergeCell ref="E13:F13"/>
    <mergeCell ref="G13:H13"/>
    <mergeCell ref="I13:J13"/>
    <mergeCell ref="A5:H7"/>
    <mergeCell ref="A8:H8"/>
  </mergeCells>
  <conditionalFormatting sqref="A3">
    <cfRule type="containsText" dxfId="337" priority="1" stopIfTrue="1" operator="containsText" text="Enter">
      <formula>NOT(ISERROR(SEARCH("Enter",A3)))</formula>
    </cfRule>
  </conditionalFormatting>
  <printOptions horizontalCentered="1"/>
  <pageMargins left="0.5" right="0.5" top="0.75" bottom="0.75" header="0.5" footer="0.5"/>
  <pageSetup scale="83" fitToHeight="0" orientation="landscape"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tabColor theme="6" tint="-0.249977111117893"/>
  </sheetPr>
  <dimension ref="A1:AG65"/>
  <sheetViews>
    <sheetView showGridLines="0" zoomScale="70" zoomScaleNormal="70" zoomScaleSheetLayoutView="70" workbookViewId="0">
      <pane xSplit="4" ySplit="7" topLeftCell="E8" activePane="bottomRight" state="frozen"/>
      <selection pane="topRight" activeCell="E1" sqref="E1"/>
      <selection pane="bottomLeft" activeCell="A8" sqref="A8"/>
      <selection pane="bottomRight" activeCell="E32" sqref="E32"/>
    </sheetView>
  </sheetViews>
  <sheetFormatPr defaultRowHeight="12.75"/>
  <cols>
    <col min="1" max="1" width="2.5703125" customWidth="1"/>
    <col min="2" max="2" width="45.7109375" customWidth="1"/>
    <col min="3" max="3" width="14.7109375" customWidth="1"/>
    <col min="4" max="4" width="12.7109375" customWidth="1"/>
    <col min="5" max="5" width="13.28515625" style="175" customWidth="1"/>
    <col min="6" max="6" width="8.7109375" customWidth="1"/>
    <col min="7" max="7" width="13.28515625" style="175" customWidth="1"/>
    <col min="8" max="8" width="8.7109375" customWidth="1"/>
    <col min="9" max="9" width="13.28515625" style="175" customWidth="1"/>
    <col min="10" max="10" width="8.7109375" customWidth="1"/>
    <col min="11" max="11" width="13.28515625" style="175" customWidth="1"/>
    <col min="12" max="12" width="8.7109375" customWidth="1"/>
    <col min="13" max="13" width="13.28515625" style="175" customWidth="1"/>
    <col min="14" max="14" width="8.7109375" customWidth="1"/>
    <col min="15" max="15" width="13.28515625" style="175" customWidth="1"/>
    <col min="16" max="16" width="8.7109375" customWidth="1"/>
    <col min="17" max="17" width="13.28515625" style="175" customWidth="1"/>
    <col min="18" max="18" width="8.7109375" customWidth="1"/>
    <col min="19" max="19" width="13.42578125" style="175" customWidth="1"/>
    <col min="20" max="20" width="9.28515625" customWidth="1"/>
    <col min="21" max="21" width="13.42578125" style="175" customWidth="1"/>
    <col min="22" max="22" width="9.28515625" customWidth="1"/>
    <col min="23" max="23" width="13.42578125" style="175" customWidth="1"/>
    <col min="24" max="24" width="9.28515625" customWidth="1"/>
    <col min="25" max="25" width="13.42578125" style="175" customWidth="1"/>
    <col min="26" max="26" width="9.28515625" customWidth="1"/>
    <col min="27" max="27" width="13.42578125" style="175" customWidth="1"/>
    <col min="28" max="28" width="9.28515625" customWidth="1"/>
    <col min="29" max="29" width="13.42578125" style="175" customWidth="1"/>
    <col min="30" max="30" width="17" style="175" customWidth="1"/>
    <col min="31" max="32" width="13.7109375" style="175" customWidth="1"/>
    <col min="33" max="33" width="70.5703125" hidden="1" customWidth="1"/>
  </cols>
  <sheetData>
    <row r="1" spans="1:33" ht="16.5" thickBot="1">
      <c r="A1" s="177"/>
      <c r="B1" s="177"/>
      <c r="C1" s="177"/>
      <c r="D1" s="177"/>
      <c r="E1" s="1021"/>
      <c r="F1" s="1825" t="str">
        <f>IF('BUDGET-CERTIFICATION'!$H$1="","CHARTER NAME: Enter Charter Name on BUDGET-CERTIFICATION Worksheet",(CONCATENATE("CHARTER NAME: ",'BUDGET-CERTIFICATION'!$H$1)))</f>
        <v>CHARTER NAME: Elite Academic Academy - Virtual Prep Lucerne</v>
      </c>
      <c r="G1" s="1825"/>
      <c r="H1" s="1825"/>
      <c r="I1" s="1825"/>
      <c r="J1" s="1825"/>
      <c r="K1" s="1825"/>
      <c r="L1" s="1825"/>
      <c r="M1" s="1030"/>
      <c r="N1" s="179"/>
      <c r="O1" s="1031"/>
      <c r="P1" s="179"/>
      <c r="Q1" s="1021"/>
      <c r="R1" s="179"/>
      <c r="S1" s="1030"/>
      <c r="T1" s="1825" t="str">
        <f>IF('BUDGET-CERTIFICATION'!$H$1="","CHARTER NAME: Enter Charter Name on BUDGET-CERTIFICATION Worksheet",(CONCATENATE("CHARTER NAME: ",'BUDGET-CERTIFICATION'!$H$1)))</f>
        <v>CHARTER NAME: Elite Academic Academy - Virtual Prep Lucerne</v>
      </c>
      <c r="U1" s="1825"/>
      <c r="V1" s="1825"/>
      <c r="W1" s="1825"/>
      <c r="X1" s="1825"/>
      <c r="Y1" s="1825"/>
      <c r="Z1" s="1825"/>
      <c r="AD1" s="1024"/>
      <c r="AE1" s="1024"/>
      <c r="AF1" s="1024"/>
      <c r="AG1" s="1203"/>
    </row>
    <row r="2" spans="1:33" ht="15.75">
      <c r="B2" s="184" t="s">
        <v>117</v>
      </c>
      <c r="C2" s="97">
        <v>44727</v>
      </c>
      <c r="D2" s="185"/>
      <c r="G2" s="1818" t="str">
        <f>""&amp;'Budget-ADA'!K7&amp;"  Budget Cash Flow"</f>
        <v>2022-23  Budget Cash Flow</v>
      </c>
      <c r="H2" s="1818"/>
      <c r="I2" s="1818"/>
      <c r="J2" s="1818"/>
      <c r="K2" s="1818"/>
      <c r="M2" s="1030"/>
      <c r="O2" s="1021"/>
      <c r="Q2" s="1024"/>
      <c r="U2" s="1021"/>
      <c r="W2" s="1030" t="str">
        <f>+G2</f>
        <v>2022-23  Budget Cash Flow</v>
      </c>
      <c r="Y2" s="1021"/>
      <c r="AA2" s="1030"/>
      <c r="AC2" s="1024"/>
      <c r="AD2" s="1024"/>
      <c r="AE2" s="1024"/>
      <c r="AF2" s="1024"/>
      <c r="AG2" s="1203"/>
    </row>
    <row r="3" spans="1:33" ht="16.5" thickBot="1">
      <c r="A3" s="1586" t="str">
        <f>Instructions!H1</f>
        <v>Form Orignated 5/16/2022</v>
      </c>
      <c r="B3" s="183"/>
      <c r="C3" s="23"/>
      <c r="D3" s="23"/>
      <c r="E3" s="21"/>
      <c r="F3" s="25"/>
      <c r="G3" s="1024"/>
      <c r="H3" s="25"/>
      <c r="I3" s="1024"/>
      <c r="J3" s="25"/>
      <c r="K3" s="1024"/>
      <c r="L3" s="25"/>
      <c r="M3" s="1024"/>
      <c r="N3" s="25"/>
      <c r="O3" s="1024"/>
      <c r="P3" s="25"/>
      <c r="Q3" s="1024"/>
      <c r="R3" s="25"/>
      <c r="S3" s="1024"/>
      <c r="T3" s="25"/>
      <c r="U3" s="1024"/>
      <c r="V3" s="25"/>
      <c r="W3" s="1024"/>
      <c r="X3" s="25"/>
      <c r="Y3" s="1024"/>
      <c r="Z3" s="25"/>
      <c r="AA3" s="1024"/>
      <c r="AB3" s="25"/>
      <c r="AC3" s="1024"/>
      <c r="AD3" s="1024"/>
      <c r="AE3" s="1024"/>
      <c r="AF3" s="1024"/>
      <c r="AG3" s="1203"/>
    </row>
    <row r="4" spans="1:33" ht="15.75">
      <c r="A4" s="404"/>
      <c r="B4" s="72"/>
      <c r="C4" s="72"/>
      <c r="D4" s="530"/>
      <c r="E4" s="1022" t="s">
        <v>79</v>
      </c>
      <c r="F4" s="405" t="s">
        <v>80</v>
      </c>
      <c r="G4" s="1025" t="s">
        <v>81</v>
      </c>
      <c r="H4" s="405" t="s">
        <v>80</v>
      </c>
      <c r="I4" s="1025" t="s">
        <v>83</v>
      </c>
      <c r="J4" s="405" t="s">
        <v>80</v>
      </c>
      <c r="K4" s="1025" t="s">
        <v>84</v>
      </c>
      <c r="L4" s="405" t="s">
        <v>80</v>
      </c>
      <c r="M4" s="1025" t="s">
        <v>85</v>
      </c>
      <c r="N4" s="405" t="s">
        <v>80</v>
      </c>
      <c r="O4" s="1025" t="s">
        <v>86</v>
      </c>
      <c r="P4" s="405" t="s">
        <v>80</v>
      </c>
      <c r="Q4" s="1025" t="s">
        <v>87</v>
      </c>
      <c r="R4" s="1005" t="s">
        <v>80</v>
      </c>
      <c r="S4" s="1025" t="s">
        <v>88</v>
      </c>
      <c r="T4" s="405" t="s">
        <v>80</v>
      </c>
      <c r="U4" s="1025" t="s">
        <v>89</v>
      </c>
      <c r="V4" s="405" t="s">
        <v>80</v>
      </c>
      <c r="W4" s="1025" t="s">
        <v>90</v>
      </c>
      <c r="X4" s="405" t="s">
        <v>80</v>
      </c>
      <c r="Y4" s="1025" t="s">
        <v>91</v>
      </c>
      <c r="Z4" s="405" t="s">
        <v>80</v>
      </c>
      <c r="AA4" s="1025" t="s">
        <v>92</v>
      </c>
      <c r="AB4" s="405" t="s">
        <v>80</v>
      </c>
      <c r="AC4" s="1025" t="s">
        <v>93</v>
      </c>
      <c r="AD4" s="1033"/>
      <c r="AE4" s="1033" t="s">
        <v>19</v>
      </c>
      <c r="AF4" s="1033"/>
      <c r="AG4" s="1203"/>
    </row>
    <row r="5" spans="1:33" ht="16.5" thickBot="1">
      <c r="A5" s="187"/>
      <c r="B5" s="23"/>
      <c r="C5" s="23"/>
      <c r="D5" s="531"/>
      <c r="E5" s="1023" t="s">
        <v>93</v>
      </c>
      <c r="F5" s="61" t="s">
        <v>94</v>
      </c>
      <c r="G5" s="1026" t="s">
        <v>93</v>
      </c>
      <c r="H5" s="61" t="s">
        <v>94</v>
      </c>
      <c r="I5" s="1026" t="s">
        <v>93</v>
      </c>
      <c r="J5" s="61" t="s">
        <v>94</v>
      </c>
      <c r="K5" s="1026" t="s">
        <v>93</v>
      </c>
      <c r="L5" s="61" t="s">
        <v>94</v>
      </c>
      <c r="M5" s="1026" t="s">
        <v>93</v>
      </c>
      <c r="N5" s="61" t="s">
        <v>94</v>
      </c>
      <c r="O5" s="1026" t="s">
        <v>93</v>
      </c>
      <c r="P5" s="61" t="s">
        <v>94</v>
      </c>
      <c r="Q5" s="1026" t="s">
        <v>93</v>
      </c>
      <c r="R5" s="1006" t="s">
        <v>94</v>
      </c>
      <c r="S5" s="1026" t="s">
        <v>93</v>
      </c>
      <c r="T5" s="61" t="s">
        <v>94</v>
      </c>
      <c r="U5" s="1026" t="s">
        <v>93</v>
      </c>
      <c r="V5" s="61" t="s">
        <v>94</v>
      </c>
      <c r="W5" s="1026" t="s">
        <v>93</v>
      </c>
      <c r="X5" s="61" t="s">
        <v>94</v>
      </c>
      <c r="Y5" s="1026" t="s">
        <v>93</v>
      </c>
      <c r="Z5" s="61" t="s">
        <v>94</v>
      </c>
      <c r="AA5" s="1026" t="s">
        <v>93</v>
      </c>
      <c r="AB5" s="61" t="s">
        <v>94</v>
      </c>
      <c r="AC5" s="1026" t="s">
        <v>95</v>
      </c>
      <c r="AD5" s="1034" t="s">
        <v>0</v>
      </c>
      <c r="AE5" s="1034" t="s">
        <v>16</v>
      </c>
      <c r="AF5" s="1034" t="s">
        <v>96</v>
      </c>
      <c r="AG5" s="1203"/>
    </row>
    <row r="6" spans="1:33" ht="17.25" thickTop="1" thickBot="1">
      <c r="A6" s="190" t="s">
        <v>97</v>
      </c>
      <c r="B6" s="181"/>
      <c r="D6" s="532" t="str">
        <f>""&amp;'Budget-DEBT'!$D$12&amp;" Cash="</f>
        <v>July 1, Cash=</v>
      </c>
      <c r="E6" s="529">
        <v>244991</v>
      </c>
      <c r="F6" s="62"/>
      <c r="G6" s="391">
        <f>+E60</f>
        <v>188704.76566444989</v>
      </c>
      <c r="H6" s="62"/>
      <c r="I6" s="391">
        <f>+G60</f>
        <v>132418.53132889979</v>
      </c>
      <c r="J6" s="62"/>
      <c r="K6" s="391">
        <f>+I60</f>
        <v>76132.296993349679</v>
      </c>
      <c r="L6" s="62"/>
      <c r="M6" s="391">
        <f>+K60</f>
        <v>19846.062657799572</v>
      </c>
      <c r="N6" s="62"/>
      <c r="O6" s="391">
        <f>+M60</f>
        <v>19276.979324466316</v>
      </c>
      <c r="P6" s="62"/>
      <c r="Q6" s="391">
        <f>+O60</f>
        <v>18707.89599113306</v>
      </c>
      <c r="R6" s="1007"/>
      <c r="S6" s="391">
        <f>+Q60</f>
        <v>18138.812657799805</v>
      </c>
      <c r="T6" s="62"/>
      <c r="U6" s="391">
        <f>+S60</f>
        <v>17569.729324466549</v>
      </c>
      <c r="V6" s="62"/>
      <c r="W6" s="391">
        <f>+U60</f>
        <v>17000.645991133293</v>
      </c>
      <c r="X6" s="62"/>
      <c r="Y6" s="391">
        <f>+W60</f>
        <v>16431.562657800037</v>
      </c>
      <c r="Z6" s="62"/>
      <c r="AA6" s="391">
        <f>+Y60</f>
        <v>15862.479324466782</v>
      </c>
      <c r="AB6" s="62"/>
      <c r="AC6" s="391">
        <f>+AA60</f>
        <v>514556.18797339872</v>
      </c>
      <c r="AD6" s="58"/>
      <c r="AE6" s="58"/>
      <c r="AF6" s="58"/>
      <c r="AG6" s="1203"/>
    </row>
    <row r="7" spans="1:33" ht="16.5" thickTop="1">
      <c r="A7" s="406"/>
      <c r="B7" s="370"/>
      <c r="C7" s="65"/>
      <c r="D7" s="65"/>
      <c r="E7" s="1082"/>
      <c r="F7" s="63"/>
      <c r="G7" s="1027"/>
      <c r="H7" s="63"/>
      <c r="I7" s="1027"/>
      <c r="J7" s="63"/>
      <c r="K7" s="1027"/>
      <c r="L7" s="63"/>
      <c r="M7" s="1027"/>
      <c r="N7" s="63"/>
      <c r="O7" s="1027"/>
      <c r="P7" s="63"/>
      <c r="Q7" s="1027"/>
      <c r="R7" s="63"/>
      <c r="S7" s="1027"/>
      <c r="T7" s="63"/>
      <c r="U7" s="1027"/>
      <c r="V7" s="63"/>
      <c r="W7" s="1027"/>
      <c r="X7" s="63"/>
      <c r="Y7" s="1027"/>
      <c r="Z7" s="63"/>
      <c r="AA7" s="1027"/>
      <c r="AB7" s="63"/>
      <c r="AC7" s="1027"/>
      <c r="AD7" s="1027"/>
      <c r="AE7" s="1027"/>
      <c r="AF7" s="1039"/>
      <c r="AG7" s="1203"/>
    </row>
    <row r="8" spans="1:33" ht="15.75">
      <c r="A8" s="67" t="s">
        <v>98</v>
      </c>
      <c r="B8" s="525"/>
      <c r="C8" s="375"/>
      <c r="D8" s="375"/>
      <c r="E8" s="548"/>
      <c r="F8" s="166"/>
      <c r="G8" s="1028"/>
      <c r="H8" s="166"/>
      <c r="I8" s="1028"/>
      <c r="J8" s="166"/>
      <c r="K8" s="1028"/>
      <c r="L8" s="166"/>
      <c r="M8" s="1028"/>
      <c r="N8" s="166"/>
      <c r="O8" s="1028"/>
      <c r="P8" s="166"/>
      <c r="Q8" s="1028"/>
      <c r="R8" s="166"/>
      <c r="S8" s="1028"/>
      <c r="T8" s="166"/>
      <c r="U8" s="1028"/>
      <c r="V8" s="166"/>
      <c r="W8" s="1028"/>
      <c r="X8" s="166"/>
      <c r="Y8" s="1028"/>
      <c r="Z8" s="166"/>
      <c r="AA8" s="1028"/>
      <c r="AB8" s="166"/>
      <c r="AC8" s="1028"/>
      <c r="AD8" s="1028"/>
      <c r="AE8" s="1028"/>
      <c r="AF8" s="1036"/>
      <c r="AG8" s="1203"/>
    </row>
    <row r="9" spans="1:33" ht="15.75">
      <c r="A9" s="408" t="s">
        <v>306</v>
      </c>
      <c r="B9" s="141"/>
      <c r="C9" s="141"/>
      <c r="D9" s="378"/>
      <c r="E9" s="383"/>
      <c r="F9" s="388"/>
      <c r="G9" s="1029"/>
      <c r="H9" s="388"/>
      <c r="I9" s="1029"/>
      <c r="J9" s="388"/>
      <c r="K9" s="1029"/>
      <c r="L9" s="388"/>
      <c r="M9" s="1029"/>
      <c r="N9" s="388"/>
      <c r="O9" s="1029"/>
      <c r="P9" s="388"/>
      <c r="Q9" s="1029"/>
      <c r="R9" s="388"/>
      <c r="S9" s="1032"/>
      <c r="T9" s="388"/>
      <c r="U9" s="1029"/>
      <c r="V9" s="388"/>
      <c r="W9" s="1029"/>
      <c r="X9" s="388"/>
      <c r="Y9" s="1029"/>
      <c r="Z9" s="388"/>
      <c r="AA9" s="1029"/>
      <c r="AB9" s="388"/>
      <c r="AC9" s="1032"/>
      <c r="AD9" s="1032"/>
      <c r="AE9" s="1032"/>
      <c r="AF9" s="389"/>
      <c r="AG9" s="1203"/>
    </row>
    <row r="10" spans="1:33" ht="15.75">
      <c r="A10" s="408"/>
      <c r="B10" s="280" t="s">
        <v>155</v>
      </c>
      <c r="C10" s="279">
        <v>8011</v>
      </c>
      <c r="D10" s="378"/>
      <c r="E10" s="379">
        <f>+'Budget-Summary MYP'!F13/12</f>
        <v>674219.67166666675</v>
      </c>
      <c r="F10" s="341">
        <f>IF($AE10&lt;1," ",IF(E10&lt;1," ",(E10)/$AE10))</f>
        <v>8.3333333333333343E-2</v>
      </c>
      <c r="G10" s="392">
        <f>+E10</f>
        <v>674219.67166666675</v>
      </c>
      <c r="H10" s="341">
        <f>IF($AE10&lt;1," ",IF(G10&lt;1," ",(G10)/$AE10))</f>
        <v>8.3333333333333343E-2</v>
      </c>
      <c r="I10" s="392">
        <f>+G10</f>
        <v>674219.67166666675</v>
      </c>
      <c r="J10" s="341">
        <f>IF($AE10&lt;1," ",IF(I10&lt;1," ",(I10)/$AE10))</f>
        <v>8.3333333333333343E-2</v>
      </c>
      <c r="K10" s="392">
        <f>+I10</f>
        <v>674219.67166666675</v>
      </c>
      <c r="L10" s="341">
        <f>IF($AE10&lt;1," ",IF(K10&lt;1," ",(K10)/$AE10))</f>
        <v>8.3333333333333343E-2</v>
      </c>
      <c r="M10" s="392">
        <f>+K10</f>
        <v>674219.67166666675</v>
      </c>
      <c r="N10" s="534">
        <f>IF($AE10&lt;1," ",IF(M10&lt;1," ",(M10)/$AE10))</f>
        <v>8.3333333333333343E-2</v>
      </c>
      <c r="O10" s="392">
        <f>+M10</f>
        <v>674219.67166666675</v>
      </c>
      <c r="P10" s="341">
        <f>IF($AE10&lt;1," ",IF(O10&lt;1," ",(O10)/$AE10))</f>
        <v>8.3333333333333343E-2</v>
      </c>
      <c r="Q10" s="392">
        <f>+O10</f>
        <v>674219.67166666675</v>
      </c>
      <c r="R10" s="534">
        <f>IF($AE10&lt;1," ",IF(Q10&lt;1," ",(Q10)/$AE10))</f>
        <v>8.3333333333333343E-2</v>
      </c>
      <c r="S10" s="392">
        <f>+Q10</f>
        <v>674219.67166666675</v>
      </c>
      <c r="T10" s="341">
        <f>IF($AE10&lt;1," ",IF(S10&lt;1," ",(S10)/$AE10))</f>
        <v>8.3333333333333343E-2</v>
      </c>
      <c r="U10" s="392">
        <f>+S10</f>
        <v>674219.67166666675</v>
      </c>
      <c r="V10" s="341">
        <f>IF($AE10&lt;1," ",IF(U10&lt;1," ",(U10)/$AE10))</f>
        <v>8.3333333333333343E-2</v>
      </c>
      <c r="W10" s="392">
        <f>+U10</f>
        <v>674219.67166666675</v>
      </c>
      <c r="X10" s="341">
        <f>IF($AE10&lt;1," ",IF(W10&lt;1," ",(W10)/$AE10))</f>
        <v>8.3333333333333343E-2</v>
      </c>
      <c r="Y10" s="392">
        <f>+W10</f>
        <v>674219.67166666675</v>
      </c>
      <c r="Z10" s="341">
        <f>IF($AE10&lt;1," ",IF(Y10&lt;1," ",(Y10)/$AE10))</f>
        <v>8.3333333333333343E-2</v>
      </c>
      <c r="AA10" s="392">
        <f>+Y10</f>
        <v>674219.67166666675</v>
      </c>
      <c r="AB10" s="341">
        <f>IF($AE10&lt;1," ",IF(AA10&lt;1," ",(AA10)/$AE10))</f>
        <v>8.3333333333333343E-2</v>
      </c>
      <c r="AC10" s="1562">
        <f>AE10-(E10+G10+I10+K10+M10+O10+Q10+S10+U10+W10+Y10+AA10)</f>
        <v>0</v>
      </c>
      <c r="AD10" s="381">
        <f>+E10+G10+I10+K10+M10+O10+Q10+S10+U10+W10+Y10+AA10+AC10</f>
        <v>8090636.0600000015</v>
      </c>
      <c r="AE10" s="381">
        <f>'Budget-Summary MYP'!F13</f>
        <v>8090636.0600000005</v>
      </c>
      <c r="AF10" s="381">
        <f>+AE10-AD10</f>
        <v>0</v>
      </c>
      <c r="AG10" s="1203"/>
    </row>
    <row r="11" spans="1:33" ht="15.75">
      <c r="A11" s="408"/>
      <c r="B11" s="280" t="s">
        <v>156</v>
      </c>
      <c r="C11" s="279">
        <v>8012</v>
      </c>
      <c r="D11" s="378"/>
      <c r="E11" s="379">
        <f>+'Budget-Summary MYP'!F14/12</f>
        <v>13116.666666666666</v>
      </c>
      <c r="F11" s="341">
        <f>IF($AE11&lt;1," ",IF(E11&lt;1," ",(E11)/$AE11))</f>
        <v>8.3333333333333329E-2</v>
      </c>
      <c r="G11" s="392">
        <f t="shared" ref="G11:AA22" si="0">+E11</f>
        <v>13116.666666666666</v>
      </c>
      <c r="H11" s="341">
        <f>IF($AE11&lt;1," ",IF(G11&lt;1," ",(G11)/$AE11))</f>
        <v>8.3333333333333329E-2</v>
      </c>
      <c r="I11" s="392">
        <f t="shared" si="0"/>
        <v>13116.666666666666</v>
      </c>
      <c r="J11" s="341">
        <f>IF($AE11&lt;1," ",IF(I11&lt;1," ",(I11)/$AE11))</f>
        <v>8.3333333333333329E-2</v>
      </c>
      <c r="K11" s="392">
        <f t="shared" si="0"/>
        <v>13116.666666666666</v>
      </c>
      <c r="L11" s="341">
        <f>IF($AE11&lt;1," ",IF(K11&lt;1," ",(K11)/$AE11))</f>
        <v>8.3333333333333329E-2</v>
      </c>
      <c r="M11" s="392">
        <f t="shared" si="0"/>
        <v>13116.666666666666</v>
      </c>
      <c r="N11" s="534">
        <f>IF($AE11&lt;1," ",IF(M11&lt;1," ",(M11)/$AE11))</f>
        <v>8.3333333333333329E-2</v>
      </c>
      <c r="O11" s="392">
        <f t="shared" si="0"/>
        <v>13116.666666666666</v>
      </c>
      <c r="P11" s="341">
        <f>IF($AE11&lt;1," ",IF(O11&lt;1," ",(O11)/$AE11))</f>
        <v>8.3333333333333329E-2</v>
      </c>
      <c r="Q11" s="392">
        <f t="shared" si="0"/>
        <v>13116.666666666666</v>
      </c>
      <c r="R11" s="534">
        <f>IF($AE11&lt;1," ",IF(Q11&lt;1," ",(Q11)/$AE11))</f>
        <v>8.3333333333333329E-2</v>
      </c>
      <c r="S11" s="392">
        <f t="shared" si="0"/>
        <v>13116.666666666666</v>
      </c>
      <c r="T11" s="341">
        <f>IF($AE11&lt;1," ",IF(S11&lt;1," ",(S11)/$AE11))</f>
        <v>8.3333333333333329E-2</v>
      </c>
      <c r="U11" s="392">
        <f t="shared" si="0"/>
        <v>13116.666666666666</v>
      </c>
      <c r="V11" s="341">
        <f>IF($AE11&lt;1," ",IF(U11&lt;1," ",(U11)/$AE11))</f>
        <v>8.3333333333333329E-2</v>
      </c>
      <c r="W11" s="392">
        <f t="shared" si="0"/>
        <v>13116.666666666666</v>
      </c>
      <c r="X11" s="341">
        <f>IF($AE11&lt;1," ",IF(W11&lt;1," ",(W11)/$AE11))</f>
        <v>8.3333333333333329E-2</v>
      </c>
      <c r="Y11" s="392">
        <f t="shared" si="0"/>
        <v>13116.666666666666</v>
      </c>
      <c r="Z11" s="341">
        <f>IF($AE11&lt;1," ",IF(Y11&lt;1," ",(Y11)/$AE11))</f>
        <v>8.3333333333333329E-2</v>
      </c>
      <c r="AA11" s="392">
        <f t="shared" si="0"/>
        <v>13116.666666666666</v>
      </c>
      <c r="AB11" s="341">
        <f>IF($AE11&lt;1," ",IF(AA11&lt;1," ",(AA11)/$AE11))</f>
        <v>8.3333333333333329E-2</v>
      </c>
      <c r="AC11" s="1562">
        <f t="shared" ref="AC11:AC22" si="1">AE11-(E11+G11+I11+K11+M11+O11+Q11+S11+U11+W11+Y11+AA11)</f>
        <v>0</v>
      </c>
      <c r="AD11" s="381">
        <f>+E11+G11+I11+K11+M11+O11+Q11+S11+U11+W11+Y11+AA11+AC11</f>
        <v>157400</v>
      </c>
      <c r="AE11" s="381">
        <f>'Budget-Summary MYP'!F14</f>
        <v>157400</v>
      </c>
      <c r="AF11" s="381">
        <f>+AE11-AD11</f>
        <v>0</v>
      </c>
      <c r="AG11" s="1203"/>
    </row>
    <row r="12" spans="1:33" ht="15.75">
      <c r="A12" s="408"/>
      <c r="B12" s="280" t="s">
        <v>304</v>
      </c>
      <c r="C12" s="279">
        <v>8019</v>
      </c>
      <c r="D12" s="347"/>
      <c r="E12" s="379">
        <f>+'Budget-Summary MYP'!F15/12</f>
        <v>0</v>
      </c>
      <c r="F12" s="341" t="str">
        <f>IF($AE12&lt;1," ",IF(E12&lt;1," ",(E12)/$AE12))</f>
        <v xml:space="preserve"> </v>
      </c>
      <c r="G12" s="392">
        <f t="shared" si="0"/>
        <v>0</v>
      </c>
      <c r="H12" s="341" t="str">
        <f>IF($AE12&lt;1," ",IF(G12&lt;1," ",(G12)/$AE12))</f>
        <v xml:space="preserve"> </v>
      </c>
      <c r="I12" s="392">
        <f t="shared" si="0"/>
        <v>0</v>
      </c>
      <c r="J12" s="341" t="str">
        <f>IF($AE12&lt;1," ",IF(I12&lt;1," ",(I12)/$AE12))</f>
        <v xml:space="preserve"> </v>
      </c>
      <c r="K12" s="392">
        <f t="shared" si="0"/>
        <v>0</v>
      </c>
      <c r="L12" s="341" t="str">
        <f>IF($AE12&lt;1," ",IF(K12&lt;1," ",(K12)/$AE12))</f>
        <v xml:space="preserve"> </v>
      </c>
      <c r="M12" s="392">
        <f t="shared" si="0"/>
        <v>0</v>
      </c>
      <c r="N12" s="534" t="str">
        <f>IF($AE12&lt;1," ",IF(M12&lt;1," ",(M12)/$AE12))</f>
        <v xml:space="preserve"> </v>
      </c>
      <c r="O12" s="392">
        <f t="shared" si="0"/>
        <v>0</v>
      </c>
      <c r="P12" s="341" t="str">
        <f>IF($AE12&lt;1," ",IF(O12&lt;1," ",(O12)/$AE12))</f>
        <v xml:space="preserve"> </v>
      </c>
      <c r="Q12" s="392">
        <f t="shared" si="0"/>
        <v>0</v>
      </c>
      <c r="R12" s="534" t="str">
        <f>IF($AE12&lt;1," ",IF(Q12&lt;1," ",(Q12)/$AE12))</f>
        <v xml:space="preserve"> </v>
      </c>
      <c r="S12" s="392">
        <f t="shared" si="0"/>
        <v>0</v>
      </c>
      <c r="T12" s="341" t="str">
        <f>IF($AE12&lt;1," ",IF(S12&lt;1," ",(S12)/$AE12))</f>
        <v xml:space="preserve"> </v>
      </c>
      <c r="U12" s="392">
        <f t="shared" si="0"/>
        <v>0</v>
      </c>
      <c r="V12" s="341" t="str">
        <f>IF($AE12&lt;1," ",IF(U12&lt;1," ",(U12)/$AE12))</f>
        <v xml:space="preserve"> </v>
      </c>
      <c r="W12" s="392">
        <f t="shared" si="0"/>
        <v>0</v>
      </c>
      <c r="X12" s="341" t="str">
        <f>IF($AE12&lt;1," ",IF(W12&lt;1," ",(W12)/$AE12))</f>
        <v xml:space="preserve"> </v>
      </c>
      <c r="Y12" s="392">
        <f t="shared" si="0"/>
        <v>0</v>
      </c>
      <c r="Z12" s="341" t="str">
        <f>IF($AE12&lt;1," ",IF(Y12&lt;1," ",(Y12)/$AE12))</f>
        <v xml:space="preserve"> </v>
      </c>
      <c r="AA12" s="392">
        <f t="shared" si="0"/>
        <v>0</v>
      </c>
      <c r="AB12" s="341" t="str">
        <f>IF($AE12&lt;1," ",IF(AA12&lt;1," ",(AA12)/$AE12))</f>
        <v xml:space="preserve"> </v>
      </c>
      <c r="AC12" s="1562">
        <f t="shared" si="1"/>
        <v>0</v>
      </c>
      <c r="AD12" s="381">
        <f>+E12+G12+I12+K12+M12+O12+Q12+S12+U12+W12+Y12+AA12+AC12</f>
        <v>0</v>
      </c>
      <c r="AE12" s="382">
        <f>'Budget-Summary MYP'!F15</f>
        <v>0</v>
      </c>
      <c r="AF12" s="381">
        <f>+AE12-AD12</f>
        <v>0</v>
      </c>
      <c r="AG12" s="1203"/>
    </row>
    <row r="13" spans="1:33" ht="15.75">
      <c r="A13" s="408"/>
      <c r="B13" s="280" t="s">
        <v>305</v>
      </c>
      <c r="C13" s="279">
        <v>8096</v>
      </c>
      <c r="D13" s="347"/>
      <c r="E13" s="379">
        <f>+'Budget-Summary MYP'!F16/12</f>
        <v>17011</v>
      </c>
      <c r="F13" s="341">
        <f>IF($AE13&lt;1," ",IF(E13&lt;1," ",(E13)/$AE13))</f>
        <v>8.3333333333333329E-2</v>
      </c>
      <c r="G13" s="392">
        <f t="shared" si="0"/>
        <v>17011</v>
      </c>
      <c r="H13" s="341">
        <f>IF($AE13&lt;1," ",IF(G13&lt;1," ",(G13)/$AE13))</f>
        <v>8.3333333333333329E-2</v>
      </c>
      <c r="I13" s="392">
        <f t="shared" si="0"/>
        <v>17011</v>
      </c>
      <c r="J13" s="341">
        <f>IF($AE13&lt;1," ",IF(I13&lt;1," ",(I13)/$AE13))</f>
        <v>8.3333333333333329E-2</v>
      </c>
      <c r="K13" s="392">
        <f t="shared" si="0"/>
        <v>17011</v>
      </c>
      <c r="L13" s="341">
        <f>IF($AE13&lt;1," ",IF(K13&lt;1," ",(K13)/$AE13))</f>
        <v>8.3333333333333329E-2</v>
      </c>
      <c r="M13" s="392">
        <f t="shared" si="0"/>
        <v>17011</v>
      </c>
      <c r="N13" s="534">
        <f>IF($AE13&lt;1," ",IF(M13&lt;1," ",(M13)/$AE13))</f>
        <v>8.3333333333333329E-2</v>
      </c>
      <c r="O13" s="392">
        <f t="shared" si="0"/>
        <v>17011</v>
      </c>
      <c r="P13" s="341">
        <f>IF($AE13&lt;1," ",IF(O13&lt;1," ",(O13)/$AE13))</f>
        <v>8.3333333333333329E-2</v>
      </c>
      <c r="Q13" s="392">
        <f t="shared" si="0"/>
        <v>17011</v>
      </c>
      <c r="R13" s="534">
        <f>IF($AE13&lt;1," ",IF(Q13&lt;1," ",(Q13)/$AE13))</f>
        <v>8.3333333333333329E-2</v>
      </c>
      <c r="S13" s="392">
        <f t="shared" si="0"/>
        <v>17011</v>
      </c>
      <c r="T13" s="341">
        <f>IF($AE13&lt;1," ",IF(S13&lt;1," ",(S13)/$AE13))</f>
        <v>8.3333333333333329E-2</v>
      </c>
      <c r="U13" s="392">
        <f t="shared" si="0"/>
        <v>17011</v>
      </c>
      <c r="V13" s="341">
        <f>IF($AE13&lt;1," ",IF(U13&lt;1," ",(U13)/$AE13))</f>
        <v>8.3333333333333329E-2</v>
      </c>
      <c r="W13" s="392">
        <f t="shared" si="0"/>
        <v>17011</v>
      </c>
      <c r="X13" s="341">
        <f>IF($AE13&lt;1," ",IF(W13&lt;1," ",(W13)/$AE13))</f>
        <v>8.3333333333333329E-2</v>
      </c>
      <c r="Y13" s="392">
        <f t="shared" si="0"/>
        <v>17011</v>
      </c>
      <c r="Z13" s="341">
        <f>IF($AE13&lt;1," ",IF(Y13&lt;1," ",(Y13)/$AE13))</f>
        <v>8.3333333333333329E-2</v>
      </c>
      <c r="AA13" s="392">
        <f t="shared" si="0"/>
        <v>17011</v>
      </c>
      <c r="AB13" s="341">
        <f>IF($AE13&lt;1," ",IF(AA13&lt;1," ",(AA13)/$AE13))</f>
        <v>8.3333333333333329E-2</v>
      </c>
      <c r="AC13" s="1562">
        <f t="shared" si="1"/>
        <v>0</v>
      </c>
      <c r="AD13" s="381">
        <f>+E13+G13+I13+K13+M13+O13+Q13+S13+U13+W13+Y13+AA13+AC13</f>
        <v>204132</v>
      </c>
      <c r="AE13" s="381">
        <f>'Budget-Summary MYP'!F16</f>
        <v>204132</v>
      </c>
      <c r="AF13" s="381">
        <f>+AE13-AD13</f>
        <v>0</v>
      </c>
      <c r="AG13" s="1203"/>
    </row>
    <row r="14" spans="1:33" ht="15.75">
      <c r="A14" s="407" t="s">
        <v>307</v>
      </c>
      <c r="B14" s="278"/>
      <c r="C14" s="279" t="s">
        <v>99</v>
      </c>
      <c r="D14" s="378"/>
      <c r="E14" s="379">
        <f>+'Budget-Summary MYP'!F17/12</f>
        <v>44572.916666666664</v>
      </c>
      <c r="F14" s="341">
        <f>IF($AE14&lt;1," ",IF(E14&lt;1," ",(E14)/$AE14))</f>
        <v>8.3333333333333329E-2</v>
      </c>
      <c r="G14" s="392">
        <f t="shared" si="0"/>
        <v>44572.916666666664</v>
      </c>
      <c r="H14" s="341">
        <f>IF($AE14&lt;1," ",IF(G14&lt;1," ",(G14)/$AE14))</f>
        <v>8.3333333333333329E-2</v>
      </c>
      <c r="I14" s="392">
        <f t="shared" si="0"/>
        <v>44572.916666666664</v>
      </c>
      <c r="J14" s="341">
        <f>IF($AE14&lt;1," ",IF(I14&lt;1," ",(I14)/$AE14))</f>
        <v>8.3333333333333329E-2</v>
      </c>
      <c r="K14" s="392">
        <f t="shared" si="0"/>
        <v>44572.916666666664</v>
      </c>
      <c r="L14" s="341">
        <f>IF($AE14&lt;1," ",IF(K14&lt;1," ",(K14)/$AE14))</f>
        <v>8.3333333333333329E-2</v>
      </c>
      <c r="M14" s="392">
        <f t="shared" si="0"/>
        <v>44572.916666666664</v>
      </c>
      <c r="N14" s="534">
        <f>IF($AE14&lt;1," ",IF(M14&lt;1," ",(M14)/$AE14))</f>
        <v>8.3333333333333329E-2</v>
      </c>
      <c r="O14" s="392">
        <f t="shared" si="0"/>
        <v>44572.916666666664</v>
      </c>
      <c r="P14" s="341">
        <f>IF($AE14&lt;1," ",IF(O14&lt;1," ",(O14)/$AE14))</f>
        <v>8.3333333333333329E-2</v>
      </c>
      <c r="Q14" s="392">
        <f t="shared" si="0"/>
        <v>44572.916666666664</v>
      </c>
      <c r="R14" s="534">
        <f>IF($AE14&lt;1," ",IF(Q14&lt;1," ",(Q14)/$AE14))</f>
        <v>8.3333333333333329E-2</v>
      </c>
      <c r="S14" s="392">
        <f t="shared" si="0"/>
        <v>44572.916666666664</v>
      </c>
      <c r="T14" s="341">
        <f>IF($AE14&lt;1," ",IF(S14&lt;1," ",(S14)/$AE14))</f>
        <v>8.3333333333333329E-2</v>
      </c>
      <c r="U14" s="392">
        <f t="shared" si="0"/>
        <v>44572.916666666664</v>
      </c>
      <c r="V14" s="341">
        <f>IF($AE14&lt;1," ",IF(U14&lt;1," ",(U14)/$AE14))</f>
        <v>8.3333333333333329E-2</v>
      </c>
      <c r="W14" s="392">
        <f t="shared" si="0"/>
        <v>44572.916666666664</v>
      </c>
      <c r="X14" s="341">
        <f>IF($AE14&lt;1," ",IF(W14&lt;1," ",(W14)/$AE14))</f>
        <v>8.3333333333333329E-2</v>
      </c>
      <c r="Y14" s="392">
        <f t="shared" si="0"/>
        <v>44572.916666666664</v>
      </c>
      <c r="Z14" s="341">
        <f>IF($AE14&lt;1," ",IF(Y14&lt;1," ",(Y14)/$AE14))</f>
        <v>8.3333333333333329E-2</v>
      </c>
      <c r="AA14" s="392">
        <f t="shared" si="0"/>
        <v>44572.916666666664</v>
      </c>
      <c r="AB14" s="341">
        <f>IF($AE14&lt;1," ",IF(AA14&lt;1," ",(AA14)/$AE14))</f>
        <v>8.3333333333333329E-2</v>
      </c>
      <c r="AC14" s="1562">
        <f t="shared" si="1"/>
        <v>0</v>
      </c>
      <c r="AD14" s="381">
        <f>+E14+G14+I14+K14+M14+O14+Q14+S14+U14+W14+Y14+AA14+AC14</f>
        <v>534875.00000000012</v>
      </c>
      <c r="AE14" s="381">
        <f>'Budget-Summary MYP'!F17</f>
        <v>534875</v>
      </c>
      <c r="AF14" s="381">
        <f t="shared" ref="AF14:AF22" si="2">+AE14-AD14</f>
        <v>0</v>
      </c>
      <c r="AG14" s="1203"/>
    </row>
    <row r="15" spans="1:33" ht="15.75">
      <c r="A15" s="408" t="s">
        <v>308</v>
      </c>
      <c r="B15" s="141"/>
      <c r="C15" s="141"/>
      <c r="D15" s="378"/>
      <c r="E15" s="383"/>
      <c r="F15" s="341"/>
      <c r="G15" s="513"/>
      <c r="H15" s="341"/>
      <c r="I15" s="513"/>
      <c r="J15" s="341"/>
      <c r="K15" s="513"/>
      <c r="L15" s="341"/>
      <c r="M15" s="513"/>
      <c r="N15" s="341"/>
      <c r="O15" s="513"/>
      <c r="P15" s="341"/>
      <c r="Q15" s="513"/>
      <c r="R15" s="341"/>
      <c r="S15" s="513"/>
      <c r="T15" s="341"/>
      <c r="U15" s="513"/>
      <c r="V15" s="341"/>
      <c r="W15" s="513"/>
      <c r="X15" s="341"/>
      <c r="Y15" s="513"/>
      <c r="Z15" s="341"/>
      <c r="AA15" s="513"/>
      <c r="AB15" s="341"/>
      <c r="AC15" s="1563"/>
      <c r="AD15" s="381"/>
      <c r="AE15" s="381"/>
      <c r="AF15" s="381"/>
      <c r="AG15" s="1203"/>
    </row>
    <row r="16" spans="1:33" ht="15.75">
      <c r="A16" s="408"/>
      <c r="B16" s="141" t="s">
        <v>309</v>
      </c>
      <c r="C16" s="279">
        <v>8560</v>
      </c>
      <c r="D16" s="378"/>
      <c r="E16" s="379">
        <f>+'Budget-Summary MYP'!F19/12</f>
        <v>11165.364438333332</v>
      </c>
      <c r="F16" s="341">
        <f>IF($AE16&lt;1," ",IF(E16&lt;1," ",(E16)/$AE16))</f>
        <v>8.3333333333333329E-2</v>
      </c>
      <c r="G16" s="392">
        <f t="shared" si="0"/>
        <v>11165.364438333332</v>
      </c>
      <c r="H16" s="341">
        <f>IF($AE16&lt;1," ",IF(G16&lt;1," ",(G16)/$AE16))</f>
        <v>8.3333333333333329E-2</v>
      </c>
      <c r="I16" s="392">
        <f t="shared" si="0"/>
        <v>11165.364438333332</v>
      </c>
      <c r="J16" s="341">
        <f>IF($AE16&lt;1," ",IF(I16&lt;1," ",(I16)/$AE16))</f>
        <v>8.3333333333333329E-2</v>
      </c>
      <c r="K16" s="392">
        <f t="shared" si="0"/>
        <v>11165.364438333332</v>
      </c>
      <c r="L16" s="341">
        <f>IF($AE16&lt;1," ",IF(K16&lt;1," ",(K16)/$AE16))</f>
        <v>8.3333333333333329E-2</v>
      </c>
      <c r="M16" s="392">
        <f t="shared" si="0"/>
        <v>11165.364438333332</v>
      </c>
      <c r="N16" s="534">
        <f>IF($AE16&lt;1," ",IF(M16&lt;1," ",(M16)/$AE16))</f>
        <v>8.3333333333333329E-2</v>
      </c>
      <c r="O16" s="392">
        <f t="shared" si="0"/>
        <v>11165.364438333332</v>
      </c>
      <c r="P16" s="341">
        <f>IF($AE16&lt;1," ",IF(O16&lt;1," ",(O16)/$AE16))</f>
        <v>8.3333333333333329E-2</v>
      </c>
      <c r="Q16" s="392">
        <f t="shared" si="0"/>
        <v>11165.364438333332</v>
      </c>
      <c r="R16" s="534">
        <f>IF($AE16&lt;1," ",IF(Q16&lt;1," ",(Q16)/$AE16))</f>
        <v>8.3333333333333329E-2</v>
      </c>
      <c r="S16" s="392">
        <f t="shared" si="0"/>
        <v>11165.364438333332</v>
      </c>
      <c r="T16" s="341">
        <f>IF($AE16&lt;1," ",IF(S16&lt;1," ",(S16)/$AE16))</f>
        <v>8.3333333333333329E-2</v>
      </c>
      <c r="U16" s="392">
        <f t="shared" si="0"/>
        <v>11165.364438333332</v>
      </c>
      <c r="V16" s="341">
        <f>IF($AE16&lt;1," ",IF(U16&lt;1," ",(U16)/$AE16))</f>
        <v>8.3333333333333329E-2</v>
      </c>
      <c r="W16" s="392">
        <f t="shared" si="0"/>
        <v>11165.364438333332</v>
      </c>
      <c r="X16" s="341">
        <f>IF($AE16&lt;1," ",IF(W16&lt;1," ",(W16)/$AE16))</f>
        <v>8.3333333333333329E-2</v>
      </c>
      <c r="Y16" s="392">
        <f t="shared" si="0"/>
        <v>11165.364438333332</v>
      </c>
      <c r="Z16" s="341">
        <f>IF($AE16&lt;1," ",IF(Y16&lt;1," ",(Y16)/$AE16))</f>
        <v>8.3333333333333329E-2</v>
      </c>
      <c r="AA16" s="392">
        <f t="shared" si="0"/>
        <v>11165.364438333332</v>
      </c>
      <c r="AB16" s="341">
        <f>IF($AE16&lt;1," ",IF(AA16&lt;1," ",(AA16)/$AE16))</f>
        <v>8.3333333333333329E-2</v>
      </c>
      <c r="AC16" s="1562">
        <f t="shared" si="1"/>
        <v>0</v>
      </c>
      <c r="AD16" s="381">
        <f>+E16+G16+I16+K16+M16+O16+Q16+S16+U16+W16+Y16+AA16+AC16</f>
        <v>133984.37325999999</v>
      </c>
      <c r="AE16" s="381">
        <f>'Budget-Summary MYP'!F19</f>
        <v>133984.37325999999</v>
      </c>
      <c r="AF16" s="381">
        <f t="shared" si="2"/>
        <v>0</v>
      </c>
      <c r="AG16" s="1203"/>
    </row>
    <row r="17" spans="1:33" ht="15.75">
      <c r="A17" s="408"/>
      <c r="B17" s="141" t="s">
        <v>310</v>
      </c>
      <c r="C17" s="279">
        <v>8560</v>
      </c>
      <c r="D17" s="378"/>
      <c r="E17" s="379">
        <f>+'Budget-Summary MYP'!F20/12</f>
        <v>0</v>
      </c>
      <c r="F17" s="341" t="str">
        <f>IF($AE17&lt;1," ",IF(E17&lt;1," ",(E17)/$AE17))</f>
        <v xml:space="preserve"> </v>
      </c>
      <c r="G17" s="392">
        <f t="shared" si="0"/>
        <v>0</v>
      </c>
      <c r="H17" s="341" t="str">
        <f>IF($AE17&lt;1," ",IF(G17&lt;1," ",(G17)/$AE17))</f>
        <v xml:space="preserve"> </v>
      </c>
      <c r="I17" s="392">
        <f t="shared" si="0"/>
        <v>0</v>
      </c>
      <c r="J17" s="341" t="str">
        <f>IF($AE17&lt;1," ",IF(I17&lt;1," ",(I17)/$AE17))</f>
        <v xml:space="preserve"> </v>
      </c>
      <c r="K17" s="392">
        <f t="shared" si="0"/>
        <v>0</v>
      </c>
      <c r="L17" s="341" t="str">
        <f>IF($AE17&lt;1," ",IF(K17&lt;1," ",(K17)/$AE17))</f>
        <v xml:space="preserve"> </v>
      </c>
      <c r="M17" s="392">
        <f t="shared" si="0"/>
        <v>0</v>
      </c>
      <c r="N17" s="534" t="str">
        <f>IF($AE17&lt;1," ",IF(M17&lt;1," ",(M17)/$AE17))</f>
        <v xml:space="preserve"> </v>
      </c>
      <c r="O17" s="392">
        <f t="shared" si="0"/>
        <v>0</v>
      </c>
      <c r="P17" s="341" t="str">
        <f>IF($AE17&lt;1," ",IF(O17&lt;1," ",(O17)/$AE17))</f>
        <v xml:space="preserve"> </v>
      </c>
      <c r="Q17" s="392">
        <f t="shared" si="0"/>
        <v>0</v>
      </c>
      <c r="R17" s="534" t="str">
        <f>IF($AE17&lt;1," ",IF(Q17&lt;1," ",(Q17)/$AE17))</f>
        <v xml:space="preserve"> </v>
      </c>
      <c r="S17" s="392">
        <f t="shared" si="0"/>
        <v>0</v>
      </c>
      <c r="T17" s="341" t="str">
        <f>IF($AE17&lt;1," ",IF(S17&lt;1," ",(S17)/$AE17))</f>
        <v xml:space="preserve"> </v>
      </c>
      <c r="U17" s="392">
        <f t="shared" si="0"/>
        <v>0</v>
      </c>
      <c r="V17" s="341" t="str">
        <f>IF($AE17&lt;1," ",IF(U17&lt;1," ",(U17)/$AE17))</f>
        <v xml:space="preserve"> </v>
      </c>
      <c r="W17" s="392">
        <f t="shared" si="0"/>
        <v>0</v>
      </c>
      <c r="X17" s="341" t="str">
        <f>IF($AE17&lt;1," ",IF(W17&lt;1," ",(W17)/$AE17))</f>
        <v xml:space="preserve"> </v>
      </c>
      <c r="Y17" s="392">
        <f t="shared" si="0"/>
        <v>0</v>
      </c>
      <c r="Z17" s="341" t="str">
        <f>IF($AE17&lt;1," ",IF(Y17&lt;1," ",(Y17)/$AE17))</f>
        <v xml:space="preserve"> </v>
      </c>
      <c r="AA17" s="392">
        <f t="shared" si="0"/>
        <v>0</v>
      </c>
      <c r="AB17" s="341" t="str">
        <f>IF($AE17&lt;1," ",IF(AA17&lt;1," ",(AA17)/$AE17))</f>
        <v xml:space="preserve"> </v>
      </c>
      <c r="AC17" s="1562">
        <f t="shared" si="1"/>
        <v>0</v>
      </c>
      <c r="AD17" s="381">
        <f>+E17+G17+I17+K17+M17+O17+Q17+S17+U17+W17+Y17+AA17+AC17</f>
        <v>0</v>
      </c>
      <c r="AE17" s="381">
        <f>'Budget-Summary MYP'!F20</f>
        <v>0</v>
      </c>
      <c r="AF17" s="381">
        <f>+AE17-AD17</f>
        <v>0</v>
      </c>
      <c r="AG17" s="1203"/>
    </row>
    <row r="18" spans="1:33" ht="15.75">
      <c r="A18" s="408"/>
      <c r="B18" s="141" t="s">
        <v>311</v>
      </c>
      <c r="C18" s="279" t="s">
        <v>100</v>
      </c>
      <c r="D18" s="378"/>
      <c r="E18" s="379">
        <f>+'Budget-Summary MYP'!F21/12</f>
        <v>0</v>
      </c>
      <c r="F18" s="341" t="str">
        <f>IF($AE18&lt;1," ",IF(E18&lt;1," ",(E18)/$AE18))</f>
        <v xml:space="preserve"> </v>
      </c>
      <c r="G18" s="392">
        <f t="shared" si="0"/>
        <v>0</v>
      </c>
      <c r="H18" s="341" t="str">
        <f>IF($AE18&lt;1," ",IF(G18&lt;1," ",(G18)/$AE18))</f>
        <v xml:space="preserve"> </v>
      </c>
      <c r="I18" s="392">
        <f t="shared" si="0"/>
        <v>0</v>
      </c>
      <c r="J18" s="341" t="str">
        <f>IF($AE18&lt;1," ",IF(I18&lt;1," ",(I18)/$AE18))</f>
        <v xml:space="preserve"> </v>
      </c>
      <c r="K18" s="392">
        <f t="shared" si="0"/>
        <v>0</v>
      </c>
      <c r="L18" s="341" t="str">
        <f>IF($AE18&lt;1," ",IF(K18&lt;1," ",(K18)/$AE18))</f>
        <v xml:space="preserve"> </v>
      </c>
      <c r="M18" s="392">
        <f t="shared" si="0"/>
        <v>0</v>
      </c>
      <c r="N18" s="534" t="str">
        <f>IF($AE18&lt;1," ",IF(M18&lt;1," ",(M18)/$AE18))</f>
        <v xml:space="preserve"> </v>
      </c>
      <c r="O18" s="392">
        <f t="shared" si="0"/>
        <v>0</v>
      </c>
      <c r="P18" s="341" t="str">
        <f>IF($AE18&lt;1," ",IF(O18&lt;1," ",(O18)/$AE18))</f>
        <v xml:space="preserve"> </v>
      </c>
      <c r="Q18" s="392">
        <f t="shared" si="0"/>
        <v>0</v>
      </c>
      <c r="R18" s="534" t="str">
        <f>IF($AE18&lt;1," ",IF(Q18&lt;1," ",(Q18)/$AE18))</f>
        <v xml:space="preserve"> </v>
      </c>
      <c r="S18" s="392">
        <f t="shared" si="0"/>
        <v>0</v>
      </c>
      <c r="T18" s="341" t="str">
        <f>IF($AE18&lt;1," ",IF(S18&lt;1," ",(S18)/$AE18))</f>
        <v xml:space="preserve"> </v>
      </c>
      <c r="U18" s="392">
        <f t="shared" si="0"/>
        <v>0</v>
      </c>
      <c r="V18" s="341" t="str">
        <f>IF($AE18&lt;1," ",IF(U18&lt;1," ",(U18)/$AE18))</f>
        <v xml:space="preserve"> </v>
      </c>
      <c r="W18" s="392">
        <f t="shared" si="0"/>
        <v>0</v>
      </c>
      <c r="X18" s="341" t="str">
        <f>IF($AE18&lt;1," ",IF(W18&lt;1," ",(W18)/$AE18))</f>
        <v xml:space="preserve"> </v>
      </c>
      <c r="Y18" s="392">
        <f t="shared" si="0"/>
        <v>0</v>
      </c>
      <c r="Z18" s="341" t="str">
        <f>IF($AE18&lt;1," ",IF(Y18&lt;1," ",(Y18)/$AE18))</f>
        <v xml:space="preserve"> </v>
      </c>
      <c r="AA18" s="392">
        <f t="shared" si="0"/>
        <v>0</v>
      </c>
      <c r="AB18" s="341" t="str">
        <f>IF($AE18&lt;1," ",IF(AA18&lt;1," ",(AA18)/$AE18))</f>
        <v xml:space="preserve"> </v>
      </c>
      <c r="AC18" s="1562">
        <f t="shared" si="1"/>
        <v>0</v>
      </c>
      <c r="AD18" s="381">
        <f>+E18+G18+I18+K18+M18+O18+Q18+S18+U18+W18+Y18+AA18+AC18</f>
        <v>0</v>
      </c>
      <c r="AE18" s="381">
        <f>'Budget-Summary MYP'!F21</f>
        <v>0</v>
      </c>
      <c r="AF18" s="381">
        <f t="shared" si="2"/>
        <v>0</v>
      </c>
      <c r="AG18" s="1203"/>
    </row>
    <row r="19" spans="1:33" ht="15.75">
      <c r="A19" s="408" t="s">
        <v>312</v>
      </c>
      <c r="B19" s="141"/>
      <c r="C19" s="141"/>
      <c r="D19" s="378"/>
      <c r="E19" s="383"/>
      <c r="F19" s="341"/>
      <c r="G19" s="513"/>
      <c r="H19" s="341"/>
      <c r="I19" s="513"/>
      <c r="J19" s="341"/>
      <c r="K19" s="513"/>
      <c r="L19" s="341"/>
      <c r="M19" s="513"/>
      <c r="N19" s="341"/>
      <c r="O19" s="513"/>
      <c r="P19" s="341"/>
      <c r="Q19" s="513"/>
      <c r="R19" s="341"/>
      <c r="S19" s="513"/>
      <c r="T19" s="341"/>
      <c r="U19" s="513"/>
      <c r="V19" s="341"/>
      <c r="W19" s="513"/>
      <c r="X19" s="341"/>
      <c r="Y19" s="513"/>
      <c r="Z19" s="341"/>
      <c r="AA19" s="513"/>
      <c r="AB19" s="341"/>
      <c r="AC19" s="1563"/>
      <c r="AD19" s="381"/>
      <c r="AE19" s="381"/>
      <c r="AF19" s="381"/>
      <c r="AG19" s="1203"/>
    </row>
    <row r="20" spans="1:33" ht="15.75">
      <c r="A20" s="408"/>
      <c r="B20" s="141" t="s">
        <v>239</v>
      </c>
      <c r="C20" s="279">
        <v>8660</v>
      </c>
      <c r="D20" s="378"/>
      <c r="E20" s="379">
        <f>+'Budget-Summary MYP'!F23/12</f>
        <v>0</v>
      </c>
      <c r="F20" s="341" t="str">
        <f>IF($AE20&lt;1," ",IF(E20&lt;1," ",(E20)/$AE20))</f>
        <v xml:space="preserve"> </v>
      </c>
      <c r="G20" s="392">
        <f t="shared" si="0"/>
        <v>0</v>
      </c>
      <c r="H20" s="341" t="str">
        <f>IF($AE20&lt;1," ",IF(G20&lt;1," ",(G20)/$AE20))</f>
        <v xml:space="preserve"> </v>
      </c>
      <c r="I20" s="392">
        <f t="shared" si="0"/>
        <v>0</v>
      </c>
      <c r="J20" s="341" t="str">
        <f>IF($AE20&lt;1," ",IF(I20&lt;1," ",(I20)/$AE20))</f>
        <v xml:space="preserve"> </v>
      </c>
      <c r="K20" s="392">
        <f t="shared" si="0"/>
        <v>0</v>
      </c>
      <c r="L20" s="341" t="str">
        <f>IF($AE20&lt;1," ",IF(K20&lt;1," ",(K20)/$AE20))</f>
        <v xml:space="preserve"> </v>
      </c>
      <c r="M20" s="392">
        <f t="shared" si="0"/>
        <v>0</v>
      </c>
      <c r="N20" s="534" t="str">
        <f>IF($AE20&lt;1," ",IF(M20&lt;1," ",(M20)/$AE20))</f>
        <v xml:space="preserve"> </v>
      </c>
      <c r="O20" s="392">
        <f t="shared" si="0"/>
        <v>0</v>
      </c>
      <c r="P20" s="341" t="str">
        <f>IF($AE20&lt;1," ",IF(O20&lt;1," ",(O20)/$AE20))</f>
        <v xml:space="preserve"> </v>
      </c>
      <c r="Q20" s="392">
        <f t="shared" si="0"/>
        <v>0</v>
      </c>
      <c r="R20" s="534" t="str">
        <f>IF($AE20&lt;1," ",IF(Q20&lt;1," ",(Q20)/$AE20))</f>
        <v xml:space="preserve"> </v>
      </c>
      <c r="S20" s="392">
        <f t="shared" si="0"/>
        <v>0</v>
      </c>
      <c r="T20" s="341" t="str">
        <f>IF($AE20&lt;1," ",IF(S20&lt;1," ",(S20)/$AE20))</f>
        <v xml:space="preserve"> </v>
      </c>
      <c r="U20" s="392">
        <f t="shared" si="0"/>
        <v>0</v>
      </c>
      <c r="V20" s="341" t="str">
        <f>IF($AE20&lt;1," ",IF(U20&lt;1," ",(U20)/$AE20))</f>
        <v xml:space="preserve"> </v>
      </c>
      <c r="W20" s="392">
        <f t="shared" si="0"/>
        <v>0</v>
      </c>
      <c r="X20" s="341" t="str">
        <f>IF($AE20&lt;1," ",IF(W20&lt;1," ",(W20)/$AE20))</f>
        <v xml:space="preserve"> </v>
      </c>
      <c r="Y20" s="392">
        <f t="shared" si="0"/>
        <v>0</v>
      </c>
      <c r="Z20" s="341" t="str">
        <f>IF($AE20&lt;1," ",IF(Y20&lt;1," ",(Y20)/$AE20))</f>
        <v xml:space="preserve"> </v>
      </c>
      <c r="AA20" s="392">
        <f t="shared" si="0"/>
        <v>0</v>
      </c>
      <c r="AB20" s="341" t="str">
        <f>IF($AE20&lt;1," ",IF(AA20&lt;1," ",(AA20)/$AE20))</f>
        <v xml:space="preserve"> </v>
      </c>
      <c r="AC20" s="1562">
        <f t="shared" si="1"/>
        <v>0</v>
      </c>
      <c r="AD20" s="381">
        <f>+E20+G20+I20+K20+M20+O20+Q20+S20+U20+W20+Y20+AA20+AC20</f>
        <v>0</v>
      </c>
      <c r="AE20" s="381">
        <f>'Budget-Summary MYP'!F23</f>
        <v>0</v>
      </c>
      <c r="AF20" s="381">
        <f t="shared" si="2"/>
        <v>0</v>
      </c>
      <c r="AG20" s="1203"/>
    </row>
    <row r="21" spans="1:33" ht="15.75">
      <c r="A21" s="408"/>
      <c r="B21" s="141" t="s">
        <v>313</v>
      </c>
      <c r="C21" s="279">
        <v>8792</v>
      </c>
      <c r="D21" s="378"/>
      <c r="E21" s="379">
        <f>+'Budget-Summary MYP'!F24/12</f>
        <v>53778.333333333336</v>
      </c>
      <c r="F21" s="341">
        <f>IF($AE21&lt;1," ",IF(E21&lt;1," ",(E21)/$AE21))</f>
        <v>8.3333333333333343E-2</v>
      </c>
      <c r="G21" s="392">
        <f t="shared" si="0"/>
        <v>53778.333333333336</v>
      </c>
      <c r="H21" s="341">
        <f>IF($AE21&lt;1," ",IF(G21&lt;1," ",(G21)/$AE21))</f>
        <v>8.3333333333333343E-2</v>
      </c>
      <c r="I21" s="392">
        <f t="shared" si="0"/>
        <v>53778.333333333336</v>
      </c>
      <c r="J21" s="341">
        <f>IF($AE21&lt;1," ",IF(I21&lt;1," ",(I21)/$AE21))</f>
        <v>8.3333333333333343E-2</v>
      </c>
      <c r="K21" s="392">
        <f t="shared" si="0"/>
        <v>53778.333333333336</v>
      </c>
      <c r="L21" s="341">
        <f>IF($AE21&lt;1," ",IF(K21&lt;1," ",(K21)/$AE21))</f>
        <v>8.3333333333333343E-2</v>
      </c>
      <c r="M21" s="392">
        <f t="shared" si="0"/>
        <v>53778.333333333336</v>
      </c>
      <c r="N21" s="534">
        <f>IF($AE21&lt;1," ",IF(M21&lt;1," ",(M21)/$AE21))</f>
        <v>8.3333333333333343E-2</v>
      </c>
      <c r="O21" s="392">
        <f t="shared" si="0"/>
        <v>53778.333333333336</v>
      </c>
      <c r="P21" s="341">
        <f>IF($AE21&lt;1," ",IF(O21&lt;1," ",(O21)/$AE21))</f>
        <v>8.3333333333333343E-2</v>
      </c>
      <c r="Q21" s="392">
        <f t="shared" si="0"/>
        <v>53778.333333333336</v>
      </c>
      <c r="R21" s="534">
        <f>IF($AE21&lt;1," ",IF(Q21&lt;1," ",(Q21)/$AE21))</f>
        <v>8.3333333333333343E-2</v>
      </c>
      <c r="S21" s="392">
        <f t="shared" si="0"/>
        <v>53778.333333333336</v>
      </c>
      <c r="T21" s="341">
        <f>IF($AE21&lt;1," ",IF(S21&lt;1," ",(S21)/$AE21))</f>
        <v>8.3333333333333343E-2</v>
      </c>
      <c r="U21" s="392">
        <f t="shared" si="0"/>
        <v>53778.333333333336</v>
      </c>
      <c r="V21" s="341">
        <f>IF($AE21&lt;1," ",IF(U21&lt;1," ",(U21)/$AE21))</f>
        <v>8.3333333333333343E-2</v>
      </c>
      <c r="W21" s="392">
        <f t="shared" si="0"/>
        <v>53778.333333333336</v>
      </c>
      <c r="X21" s="341">
        <f>IF($AE21&lt;1," ",IF(W21&lt;1," ",(W21)/$AE21))</f>
        <v>8.3333333333333343E-2</v>
      </c>
      <c r="Y21" s="392">
        <f t="shared" si="0"/>
        <v>53778.333333333336</v>
      </c>
      <c r="Z21" s="341">
        <f>IF($AE21&lt;1," ",IF(Y21&lt;1," ",(Y21)/$AE21))</f>
        <v>8.3333333333333343E-2</v>
      </c>
      <c r="AA21" s="392">
        <f t="shared" si="0"/>
        <v>53778.333333333336</v>
      </c>
      <c r="AB21" s="341">
        <f>IF($AE21&lt;1," ",IF(AA21&lt;1," ",(AA21)/$AE21))</f>
        <v>8.3333333333333343E-2</v>
      </c>
      <c r="AC21" s="1562">
        <f t="shared" si="1"/>
        <v>0</v>
      </c>
      <c r="AD21" s="381">
        <f>+E21+G21+I21+K21+M21+O21+Q21+S21+U21+W21+Y21+AA21+AC21</f>
        <v>645340</v>
      </c>
      <c r="AE21" s="381">
        <f>'Budget-Summary MYP'!F24</f>
        <v>645340</v>
      </c>
      <c r="AF21" s="381">
        <f t="shared" si="2"/>
        <v>0</v>
      </c>
      <c r="AG21" s="1203"/>
    </row>
    <row r="22" spans="1:33" ht="15.75">
      <c r="A22" s="408"/>
      <c r="B22" s="141" t="s">
        <v>314</v>
      </c>
      <c r="C22" s="279" t="s">
        <v>101</v>
      </c>
      <c r="D22" s="378"/>
      <c r="E22" s="379">
        <f>+'Budget-Summary MYP'!F25/12</f>
        <v>0</v>
      </c>
      <c r="F22" s="341" t="str">
        <f>IF($AE22&lt;1," ",IF(E22&lt;1," ",(E22)/$AE22))</f>
        <v xml:space="preserve"> </v>
      </c>
      <c r="G22" s="392">
        <f t="shared" si="0"/>
        <v>0</v>
      </c>
      <c r="H22" s="341" t="str">
        <f>IF($AE22&lt;1," ",IF(G22&lt;1," ",(G22)/$AE22))</f>
        <v xml:space="preserve"> </v>
      </c>
      <c r="I22" s="392">
        <f t="shared" si="0"/>
        <v>0</v>
      </c>
      <c r="J22" s="341" t="str">
        <f>IF($AE22&lt;1," ",IF(I22&lt;1," ",(I22)/$AE22))</f>
        <v xml:space="preserve"> </v>
      </c>
      <c r="K22" s="392">
        <f t="shared" si="0"/>
        <v>0</v>
      </c>
      <c r="L22" s="341" t="str">
        <f>IF($AE22&lt;1," ",IF(K22&lt;1," ",(K22)/$AE22))</f>
        <v xml:space="preserve"> </v>
      </c>
      <c r="M22" s="392">
        <f t="shared" si="0"/>
        <v>0</v>
      </c>
      <c r="N22" s="534" t="str">
        <f>IF($AE22&lt;1," ",IF(M22&lt;1," ",(M22)/$AE22))</f>
        <v xml:space="preserve"> </v>
      </c>
      <c r="O22" s="392">
        <f t="shared" si="0"/>
        <v>0</v>
      </c>
      <c r="P22" s="341" t="str">
        <f>IF($AE22&lt;1," ",IF(O22&lt;1," ",(O22)/$AE22))</f>
        <v xml:space="preserve"> </v>
      </c>
      <c r="Q22" s="392">
        <f t="shared" si="0"/>
        <v>0</v>
      </c>
      <c r="R22" s="534" t="str">
        <f>IF($AE22&lt;1," ",IF(Q22&lt;1," ",(Q22)/$AE22))</f>
        <v xml:space="preserve"> </v>
      </c>
      <c r="S22" s="392">
        <f t="shared" si="0"/>
        <v>0</v>
      </c>
      <c r="T22" s="341" t="str">
        <f>IF($AE22&lt;1," ",IF(S22&lt;1," ",(S22)/$AE22))</f>
        <v xml:space="preserve"> </v>
      </c>
      <c r="U22" s="392">
        <f t="shared" si="0"/>
        <v>0</v>
      </c>
      <c r="V22" s="341" t="str">
        <f>IF($AE22&lt;1," ",IF(U22&lt;1," ",(U22)/$AE22))</f>
        <v xml:space="preserve"> </v>
      </c>
      <c r="W22" s="392">
        <f t="shared" si="0"/>
        <v>0</v>
      </c>
      <c r="X22" s="341" t="str">
        <f>IF($AE22&lt;1," ",IF(W22&lt;1," ",(W22)/$AE22))</f>
        <v xml:space="preserve"> </v>
      </c>
      <c r="Y22" s="392">
        <f t="shared" si="0"/>
        <v>0</v>
      </c>
      <c r="Z22" s="341" t="str">
        <f>IF($AE22&lt;1," ",IF(Y22&lt;1," ",(Y22)/$AE22))</f>
        <v xml:space="preserve"> </v>
      </c>
      <c r="AA22" s="392">
        <f t="shared" si="0"/>
        <v>0</v>
      </c>
      <c r="AB22" s="341" t="str">
        <f>IF($AE22&lt;1," ",IF(AA22&lt;1," ",(AA22)/$AE22))</f>
        <v xml:space="preserve"> </v>
      </c>
      <c r="AC22" s="1562">
        <f t="shared" si="1"/>
        <v>0</v>
      </c>
      <c r="AD22" s="381">
        <f>+E22+G22+I22+K22+M22+O22+Q22+S22+U22+W22+Y22+AA22+AC22</f>
        <v>0</v>
      </c>
      <c r="AE22" s="381">
        <f>'Budget-Summary MYP'!F25</f>
        <v>0</v>
      </c>
      <c r="AF22" s="381">
        <f t="shared" si="2"/>
        <v>0</v>
      </c>
      <c r="AG22" s="1203"/>
    </row>
    <row r="23" spans="1:33" ht="16.5" thickBot="1">
      <c r="A23" s="407" t="s">
        <v>315</v>
      </c>
      <c r="B23" s="384"/>
      <c r="C23" s="385"/>
      <c r="D23" s="385"/>
      <c r="E23" s="773">
        <f>SUM(E10:E22)</f>
        <v>813863.95277166669</v>
      </c>
      <c r="F23" s="386">
        <f>IF($AE23&lt;1," ",IF(E23&lt;1," ",(E23)/$AE23))</f>
        <v>8.3333333333333329E-2</v>
      </c>
      <c r="G23" s="774">
        <f>SUM(G10:G22)</f>
        <v>813863.95277166669</v>
      </c>
      <c r="H23" s="386">
        <f>IF($AE23&lt;1," ",IF(G23&lt;1," ",(G23)/$AE23))</f>
        <v>8.3333333333333329E-2</v>
      </c>
      <c r="I23" s="774">
        <f>SUM(I10:I22)</f>
        <v>813863.95277166669</v>
      </c>
      <c r="J23" s="386">
        <f>IF($AE23&lt;1," ",IF(I23&lt;1," ",(I23)/$AE23))</f>
        <v>8.3333333333333329E-2</v>
      </c>
      <c r="K23" s="774">
        <f>SUM(K10:K22)</f>
        <v>813863.95277166669</v>
      </c>
      <c r="L23" s="386">
        <f>IF($AE23&lt;1," ",IF(K23&lt;1," ",(K23)/$AE23))</f>
        <v>8.3333333333333329E-2</v>
      </c>
      <c r="M23" s="774">
        <f>SUM(M10:M22)</f>
        <v>813863.95277166669</v>
      </c>
      <c r="N23" s="536">
        <f>IF($AE23&lt;1," ",IF(M23&lt;1," ",(M23)/$AE23))</f>
        <v>8.3333333333333329E-2</v>
      </c>
      <c r="O23" s="774">
        <f>SUM(O10:O22)</f>
        <v>813863.95277166669</v>
      </c>
      <c r="P23" s="386">
        <f>IF($AE23&lt;1," ",IF(O23&lt;1," ",(O23)/$AE23))</f>
        <v>8.3333333333333329E-2</v>
      </c>
      <c r="Q23" s="774">
        <f>SUM(Q10:Q22)</f>
        <v>813863.95277166669</v>
      </c>
      <c r="R23" s="536">
        <f>IF($AE23&lt;1," ",IF(Q23&lt;1," ",(Q23)/$AE23))</f>
        <v>8.3333333333333329E-2</v>
      </c>
      <c r="S23" s="775">
        <f>SUM(S10:S22)</f>
        <v>813863.95277166669</v>
      </c>
      <c r="T23" s="386">
        <f>IF($AE23&lt;1," ",IF(S23&lt;1," ",(S23)/$AE23))</f>
        <v>8.3333333333333329E-2</v>
      </c>
      <c r="U23" s="774">
        <f>SUM(U10:U22)</f>
        <v>813863.95277166669</v>
      </c>
      <c r="V23" s="386">
        <f>IF($AE23&lt;1," ",IF(U23&lt;1," ",(U23)/$AE23))</f>
        <v>8.3333333333333329E-2</v>
      </c>
      <c r="W23" s="774">
        <f>SUM(W10:W22)</f>
        <v>813863.95277166669</v>
      </c>
      <c r="X23" s="386">
        <f>IF($AE23&lt;1," ",IF(W23&lt;1," ",(W23)/$AE23))</f>
        <v>8.3333333333333329E-2</v>
      </c>
      <c r="Y23" s="774">
        <f>SUM(Y10:Y22)</f>
        <v>813863.95277166669</v>
      </c>
      <c r="Z23" s="386">
        <f>IF($AE23&lt;1," ",IF(Y23&lt;1," ",(Y23)/$AE23))</f>
        <v>8.3333333333333329E-2</v>
      </c>
      <c r="AA23" s="774">
        <f>SUM(AA10:AA22)</f>
        <v>813863.95277166669</v>
      </c>
      <c r="AB23" s="386">
        <f>IF($AE23&lt;1," ",IF(AA23&lt;1," ",(AA23)/$AE23))</f>
        <v>8.3333333333333329E-2</v>
      </c>
      <c r="AC23" s="1564">
        <f>SUM(AC10:AC22)</f>
        <v>0</v>
      </c>
      <c r="AD23" s="776">
        <f>SUM(AD10:AD22)</f>
        <v>9766367.4332600031</v>
      </c>
      <c r="AE23" s="776">
        <f>SUM(AE10:AE22)</f>
        <v>9766367.4332600012</v>
      </c>
      <c r="AF23" s="776">
        <f>SUM(AF10:AF22)</f>
        <v>0</v>
      </c>
      <c r="AG23" s="1203"/>
    </row>
    <row r="24" spans="1:33" ht="15.75">
      <c r="A24" s="409"/>
      <c r="B24" s="372"/>
      <c r="C24" s="72"/>
      <c r="D24" s="72"/>
      <c r="E24" s="73"/>
      <c r="F24" s="196"/>
      <c r="G24" s="74"/>
      <c r="H24" s="196"/>
      <c r="I24" s="74"/>
      <c r="J24" s="196"/>
      <c r="K24" s="74"/>
      <c r="L24" s="196"/>
      <c r="M24" s="74"/>
      <c r="N24" s="196"/>
      <c r="O24" s="74"/>
      <c r="P24" s="196"/>
      <c r="Q24" s="74"/>
      <c r="R24" s="196"/>
      <c r="S24" s="74"/>
      <c r="T24" s="196"/>
      <c r="U24" s="74"/>
      <c r="V24" s="196"/>
      <c r="W24" s="74"/>
      <c r="X24" s="196"/>
      <c r="Y24" s="74"/>
      <c r="Z24" s="196"/>
      <c r="AA24" s="74"/>
      <c r="AB24" s="196"/>
      <c r="AC24" s="1024"/>
      <c r="AD24" s="1024"/>
      <c r="AE24" s="1024"/>
      <c r="AF24" s="1040"/>
      <c r="AG24" s="1203"/>
    </row>
    <row r="25" spans="1:33" ht="15.75">
      <c r="A25" s="67" t="s">
        <v>3</v>
      </c>
      <c r="B25" s="181"/>
      <c r="C25" s="375"/>
      <c r="D25" s="375"/>
      <c r="E25" s="548"/>
      <c r="F25" s="484"/>
      <c r="G25" s="528"/>
      <c r="H25" s="484"/>
      <c r="I25" s="528"/>
      <c r="J25" s="484"/>
      <c r="K25" s="528"/>
      <c r="L25" s="484"/>
      <c r="M25" s="528"/>
      <c r="N25" s="484"/>
      <c r="O25" s="528"/>
      <c r="P25" s="484"/>
      <c r="Q25" s="528"/>
      <c r="R25" s="484"/>
      <c r="S25" s="528"/>
      <c r="T25" s="484"/>
      <c r="U25" s="528"/>
      <c r="V25" s="484"/>
      <c r="W25" s="528"/>
      <c r="X25" s="484"/>
      <c r="Y25" s="528"/>
      <c r="Z25" s="484"/>
      <c r="AA25" s="528"/>
      <c r="AB25" s="484"/>
      <c r="AC25" s="1028"/>
      <c r="AD25" s="1028"/>
      <c r="AE25" s="1028"/>
      <c r="AF25" s="1036"/>
      <c r="AG25" s="1203"/>
    </row>
    <row r="26" spans="1:33" ht="15.75">
      <c r="A26" s="408" t="s">
        <v>4</v>
      </c>
      <c r="B26" s="141"/>
      <c r="C26" s="279" t="s">
        <v>102</v>
      </c>
      <c r="D26" s="378"/>
      <c r="E26" s="379">
        <f>+'Budget-Summary MYP'!F29/12</f>
        <v>318160.66666666669</v>
      </c>
      <c r="F26" s="341">
        <f>IF($AE$26&lt;1," ",IF(E26&lt;1," ",(E26)/$AE$26))</f>
        <v>8.3333333333333343E-2</v>
      </c>
      <c r="G26" s="392">
        <f t="shared" ref="G26:AA33" si="3">+E26</f>
        <v>318160.66666666669</v>
      </c>
      <c r="H26" s="341">
        <f>IF($AE$26&lt;1," ",IF(G26&lt;1," ",(G26)/$AE$26))</f>
        <v>8.3333333333333343E-2</v>
      </c>
      <c r="I26" s="392">
        <f t="shared" si="3"/>
        <v>318160.66666666669</v>
      </c>
      <c r="J26" s="341">
        <f>IF($AE$26&lt;1," ",IF(I26&lt;1," ",(I26)/$AE$26))</f>
        <v>8.3333333333333343E-2</v>
      </c>
      <c r="K26" s="392">
        <f t="shared" si="3"/>
        <v>318160.66666666669</v>
      </c>
      <c r="L26" s="341">
        <f>IF($AE$26&lt;1," ",IF(K26&lt;1," ",(K26)/$AE$26))</f>
        <v>8.3333333333333343E-2</v>
      </c>
      <c r="M26" s="392">
        <f t="shared" si="3"/>
        <v>318160.66666666669</v>
      </c>
      <c r="N26" s="534">
        <f>IF($AE$26&lt;1," ",IF(M26&lt;1," ",(M26)/$AE$26))</f>
        <v>8.3333333333333343E-2</v>
      </c>
      <c r="O26" s="392">
        <f t="shared" si="3"/>
        <v>318160.66666666669</v>
      </c>
      <c r="P26" s="534">
        <f>IF($AE$26&lt;1," ",IF(O26&lt;1," ",(O26)/$AE$26))</f>
        <v>8.3333333333333343E-2</v>
      </c>
      <c r="Q26" s="392">
        <f t="shared" si="3"/>
        <v>318160.66666666669</v>
      </c>
      <c r="R26" s="534">
        <f>IF($AE$26&lt;1," ",IF(Q26&lt;1," ",(Q26)/$AE$26))</f>
        <v>8.3333333333333343E-2</v>
      </c>
      <c r="S26" s="392">
        <f t="shared" si="3"/>
        <v>318160.66666666669</v>
      </c>
      <c r="T26" s="341">
        <f>IF($AE$26&lt;1," ",IF(S26&lt;1," ",(S26)/$AE$26))</f>
        <v>8.3333333333333343E-2</v>
      </c>
      <c r="U26" s="392">
        <f t="shared" si="3"/>
        <v>318160.66666666669</v>
      </c>
      <c r="V26" s="341">
        <f>IF($AE$26&lt;1," ",IF(U26&lt;1," ",(U26)/$AE$26))</f>
        <v>8.3333333333333343E-2</v>
      </c>
      <c r="W26" s="392">
        <f t="shared" si="3"/>
        <v>318160.66666666669</v>
      </c>
      <c r="X26" s="341">
        <f>IF($AE$26&lt;1," ",IF(W26&lt;1," ",(W26)/$AE$26))</f>
        <v>8.3333333333333343E-2</v>
      </c>
      <c r="Y26" s="392">
        <f t="shared" si="3"/>
        <v>318160.66666666669</v>
      </c>
      <c r="Z26" s="341">
        <f>IF($AE$26&lt;1," ",IF(Y26&lt;1," ",(Y26)/$AE$26))</f>
        <v>8.3333333333333343E-2</v>
      </c>
      <c r="AA26" s="392">
        <f t="shared" si="3"/>
        <v>318160.66666666669</v>
      </c>
      <c r="AB26" s="341">
        <f>IF($AE$26&lt;1," ",IF(AA26&lt;1," ",(AA26)/$AE$26))</f>
        <v>8.3333333333333343E-2</v>
      </c>
      <c r="AC26" s="1565">
        <f t="shared" ref="AC26:AC33" si="4">AE26-(E26+G26+I26+K26+M26+O26+Q26+S26+U26+W26+Y26+AA26)</f>
        <v>0</v>
      </c>
      <c r="AD26" s="389">
        <f t="shared" ref="AD26:AD33" si="5">+E26+G26+I26+K26+M26+O26+Q26+S26+U26+W26+Y26+AA26+AC26</f>
        <v>3817927.9999999995</v>
      </c>
      <c r="AE26" s="389">
        <f>'Budget-Summary MYP'!F29</f>
        <v>3817928</v>
      </c>
      <c r="AF26" s="389">
        <f t="shared" ref="AF26:AF33" si="6">+AE26-AD26</f>
        <v>0</v>
      </c>
      <c r="AG26" s="1203"/>
    </row>
    <row r="27" spans="1:33" ht="15.75">
      <c r="A27" s="408" t="s">
        <v>23</v>
      </c>
      <c r="B27" s="141"/>
      <c r="C27" s="279" t="s">
        <v>103</v>
      </c>
      <c r="D27" s="378"/>
      <c r="E27" s="379">
        <f>+'Budget-Summary MYP'!F30/12</f>
        <v>11387.541666666666</v>
      </c>
      <c r="F27" s="341">
        <f>IF($AE$27&lt;1," ",IF(E27&lt;1," ",(E27)/$AE$27))</f>
        <v>8.3333333333333329E-2</v>
      </c>
      <c r="G27" s="392">
        <f t="shared" si="3"/>
        <v>11387.541666666666</v>
      </c>
      <c r="H27" s="341">
        <f>IF($AE$27&lt;1," ",IF(G27&lt;1," ",(G27)/$AE$27))</f>
        <v>8.3333333333333329E-2</v>
      </c>
      <c r="I27" s="392">
        <f t="shared" si="3"/>
        <v>11387.541666666666</v>
      </c>
      <c r="J27" s="341">
        <f>IF($AE$27&lt;1," ",IF(I27&lt;1," ",(I27)/$AE$27))</f>
        <v>8.3333333333333329E-2</v>
      </c>
      <c r="K27" s="392">
        <f t="shared" si="3"/>
        <v>11387.541666666666</v>
      </c>
      <c r="L27" s="341">
        <f>IF($AE$27&lt;1," ",IF(K27&lt;1," ",(K27)/$AE$27))</f>
        <v>8.3333333333333329E-2</v>
      </c>
      <c r="M27" s="392">
        <f t="shared" si="3"/>
        <v>11387.541666666666</v>
      </c>
      <c r="N27" s="534">
        <f>IF($AE$27&lt;1," ",IF(M27&lt;1," ",(M27)/$AE$27))</f>
        <v>8.3333333333333329E-2</v>
      </c>
      <c r="O27" s="392">
        <f t="shared" si="3"/>
        <v>11387.541666666666</v>
      </c>
      <c r="P27" s="534">
        <f>IF($AE$27&lt;1," ",IF(O27&lt;1," ",(O27)/$AE$27))</f>
        <v>8.3333333333333329E-2</v>
      </c>
      <c r="Q27" s="392">
        <f t="shared" si="3"/>
        <v>11387.541666666666</v>
      </c>
      <c r="R27" s="534">
        <f>IF($AE$27&lt;1," ",IF(Q27&lt;1," ",(Q27)/$AE$27))</f>
        <v>8.3333333333333329E-2</v>
      </c>
      <c r="S27" s="392">
        <f t="shared" si="3"/>
        <v>11387.541666666666</v>
      </c>
      <c r="T27" s="341">
        <f>IF($AE$27&lt;1," ",IF(S27&lt;1," ",(S27)/$AE$27))</f>
        <v>8.3333333333333329E-2</v>
      </c>
      <c r="U27" s="392">
        <f t="shared" si="3"/>
        <v>11387.541666666666</v>
      </c>
      <c r="V27" s="341">
        <f>IF($AE$27&lt;1," ",IF(U27&lt;1," ",(U27)/$AE$27))</f>
        <v>8.3333333333333329E-2</v>
      </c>
      <c r="W27" s="392">
        <f t="shared" si="3"/>
        <v>11387.541666666666</v>
      </c>
      <c r="X27" s="341">
        <f>IF($AE$27&lt;1," ",IF(W27&lt;1," ",(W27)/$AE$27))</f>
        <v>8.3333333333333329E-2</v>
      </c>
      <c r="Y27" s="392">
        <f t="shared" si="3"/>
        <v>11387.541666666666</v>
      </c>
      <c r="Z27" s="341">
        <f>IF($AE$27&lt;1," ",IF(Y27&lt;1," ",(Y27)/$AE$27))</f>
        <v>8.3333333333333329E-2</v>
      </c>
      <c r="AA27" s="392">
        <f t="shared" si="3"/>
        <v>11387.541666666666</v>
      </c>
      <c r="AB27" s="341">
        <f>IF($AE$27&lt;1," ",IF(AA27&lt;1," ",(AA27)/$AE$27))</f>
        <v>8.3333333333333329E-2</v>
      </c>
      <c r="AC27" s="1565">
        <f t="shared" si="4"/>
        <v>0</v>
      </c>
      <c r="AD27" s="389">
        <f t="shared" si="5"/>
        <v>136650.50000000003</v>
      </c>
      <c r="AE27" s="389">
        <f>'Budget-Summary MYP'!F30</f>
        <v>136650.5</v>
      </c>
      <c r="AF27" s="389">
        <f t="shared" si="6"/>
        <v>0</v>
      </c>
      <c r="AG27" s="1203"/>
    </row>
    <row r="28" spans="1:33" ht="15.75">
      <c r="A28" s="408" t="s">
        <v>24</v>
      </c>
      <c r="B28" s="141"/>
      <c r="C28" s="279" t="s">
        <v>104</v>
      </c>
      <c r="D28" s="378"/>
      <c r="E28" s="379">
        <f>+'Budget-Summary MYP'!F31/12</f>
        <v>97036.396374999997</v>
      </c>
      <c r="F28" s="341">
        <f>IF($AE$28&lt;1," ",IF(E28&lt;1," ",(E28)/$AE$28))</f>
        <v>8.3333333333333343E-2</v>
      </c>
      <c r="G28" s="392">
        <f t="shared" si="3"/>
        <v>97036.396374999997</v>
      </c>
      <c r="H28" s="341">
        <f>IF($AE$28&lt;1," ",IF(G28&lt;1," ",(G28)/$AE$28))</f>
        <v>8.3333333333333343E-2</v>
      </c>
      <c r="I28" s="392">
        <f t="shared" si="3"/>
        <v>97036.396374999997</v>
      </c>
      <c r="J28" s="341">
        <f>IF($AE$28&lt;1," ",IF(I28&lt;1," ",(I28)/$AE$28))</f>
        <v>8.3333333333333343E-2</v>
      </c>
      <c r="K28" s="392">
        <f t="shared" si="3"/>
        <v>97036.396374999997</v>
      </c>
      <c r="L28" s="341">
        <f>IF($AE$28&lt;1," ",IF(K28&lt;1," ",(K28)/$AE$28))</f>
        <v>8.3333333333333343E-2</v>
      </c>
      <c r="M28" s="392">
        <f t="shared" si="3"/>
        <v>97036.396374999997</v>
      </c>
      <c r="N28" s="534">
        <f>IF($AE$28&lt;1," ",IF(M28&lt;1," ",(M28)/$AE$28))</f>
        <v>8.3333333333333343E-2</v>
      </c>
      <c r="O28" s="392">
        <f t="shared" si="3"/>
        <v>97036.396374999997</v>
      </c>
      <c r="P28" s="534">
        <f>IF($AE$28&lt;1," ",IF(O28&lt;1," ",(O28)/$AE$28))</f>
        <v>8.3333333333333343E-2</v>
      </c>
      <c r="Q28" s="392">
        <f t="shared" si="3"/>
        <v>97036.396374999997</v>
      </c>
      <c r="R28" s="534">
        <f>IF($AE$28&lt;1," ",IF(Q28&lt;1," ",(Q28)/$AE$28))</f>
        <v>8.3333333333333343E-2</v>
      </c>
      <c r="S28" s="392">
        <f t="shared" si="3"/>
        <v>97036.396374999997</v>
      </c>
      <c r="T28" s="341">
        <f>IF($AE$28&lt;1," ",IF(S28&lt;1," ",(S28)/$AE$28))</f>
        <v>8.3333333333333343E-2</v>
      </c>
      <c r="U28" s="392">
        <f t="shared" si="3"/>
        <v>97036.396374999997</v>
      </c>
      <c r="V28" s="341">
        <f>IF($AE$28&lt;1," ",IF(U28&lt;1," ",(U28)/$AE$28))</f>
        <v>8.3333333333333343E-2</v>
      </c>
      <c r="W28" s="392">
        <f t="shared" si="3"/>
        <v>97036.396374999997</v>
      </c>
      <c r="X28" s="341">
        <f>IF($AE$28&lt;1," ",IF(W28&lt;1," ",(W28)/$AE$28))</f>
        <v>8.3333333333333343E-2</v>
      </c>
      <c r="Y28" s="392">
        <f t="shared" si="3"/>
        <v>97036.396374999997</v>
      </c>
      <c r="Z28" s="341">
        <f>IF($AE$28&lt;1," ",IF(Y28&lt;1," ",(Y28)/$AE$28))</f>
        <v>8.3333333333333343E-2</v>
      </c>
      <c r="AA28" s="392">
        <f t="shared" si="3"/>
        <v>97036.396374999997</v>
      </c>
      <c r="AB28" s="341">
        <f>IF($AE$28&lt;1," ",IF(AA28&lt;1," ",(AA28)/$AE$28))</f>
        <v>8.3333333333333343E-2</v>
      </c>
      <c r="AC28" s="1565">
        <f t="shared" si="4"/>
        <v>0</v>
      </c>
      <c r="AD28" s="389">
        <f t="shared" si="5"/>
        <v>1164436.7564999999</v>
      </c>
      <c r="AE28" s="389">
        <f>'Budget-Summary MYP'!F31</f>
        <v>1164436.7564999999</v>
      </c>
      <c r="AF28" s="389">
        <f t="shared" si="6"/>
        <v>0</v>
      </c>
      <c r="AG28" s="1203"/>
    </row>
    <row r="29" spans="1:33" ht="15.75">
      <c r="A29" s="408" t="s">
        <v>25</v>
      </c>
      <c r="B29" s="141"/>
      <c r="C29" s="279" t="s">
        <v>105</v>
      </c>
      <c r="D29" s="378"/>
      <c r="E29" s="379">
        <f>+'Budget-Summary MYP'!F32/12</f>
        <v>43530.944166666668</v>
      </c>
      <c r="F29" s="341">
        <f>IF($AE$29&lt;1," ",IF(E29&lt;1," ",(E29)/$AE$29))</f>
        <v>8.3333333333333329E-2</v>
      </c>
      <c r="G29" s="392">
        <f t="shared" si="3"/>
        <v>43530.944166666668</v>
      </c>
      <c r="H29" s="341">
        <f>IF($AE$29&lt;1," ",IF(G29&lt;1," ",(G29)/$AE$29))</f>
        <v>8.3333333333333329E-2</v>
      </c>
      <c r="I29" s="392">
        <f t="shared" si="3"/>
        <v>43530.944166666668</v>
      </c>
      <c r="J29" s="341">
        <f>IF($AE$29&lt;1," ",IF(I29&lt;1," ",(I29)/$AE$29))</f>
        <v>8.3333333333333329E-2</v>
      </c>
      <c r="K29" s="392">
        <f t="shared" si="3"/>
        <v>43530.944166666668</v>
      </c>
      <c r="L29" s="341">
        <f>IF($AE$29&lt;1," ",IF(K29&lt;1," ",(K29)/$AE$29))</f>
        <v>8.3333333333333329E-2</v>
      </c>
      <c r="M29" s="392">
        <f t="shared" si="3"/>
        <v>43530.944166666668</v>
      </c>
      <c r="N29" s="534">
        <f>IF($AE$29&lt;1," ",IF(M29&lt;1," ",(M29)/$AE$29))</f>
        <v>8.3333333333333329E-2</v>
      </c>
      <c r="O29" s="392">
        <f t="shared" si="3"/>
        <v>43530.944166666668</v>
      </c>
      <c r="P29" s="534">
        <f>IF($AE$29&lt;1," ",IF(O29&lt;1," ",(O29)/$AE$29))</f>
        <v>8.3333333333333329E-2</v>
      </c>
      <c r="Q29" s="392">
        <f t="shared" si="3"/>
        <v>43530.944166666668</v>
      </c>
      <c r="R29" s="534">
        <f>IF($AE$29&lt;1," ",IF(Q29&lt;1," ",(Q29)/$AE$29))</f>
        <v>8.3333333333333329E-2</v>
      </c>
      <c r="S29" s="392">
        <f t="shared" si="3"/>
        <v>43530.944166666668</v>
      </c>
      <c r="T29" s="341">
        <f>IF($AE$29&lt;1," ",IF(S29&lt;1," ",(S29)/$AE$29))</f>
        <v>8.3333333333333329E-2</v>
      </c>
      <c r="U29" s="392">
        <f t="shared" si="3"/>
        <v>43530.944166666668</v>
      </c>
      <c r="V29" s="341">
        <f>IF($AE$29&lt;1," ",IF(U29&lt;1," ",(U29)/$AE$29))</f>
        <v>8.3333333333333329E-2</v>
      </c>
      <c r="W29" s="392">
        <f t="shared" si="3"/>
        <v>43530.944166666668</v>
      </c>
      <c r="X29" s="341">
        <f>IF($AE$29&lt;1," ",IF(W29&lt;1," ",(W29)/$AE$29))</f>
        <v>8.3333333333333329E-2</v>
      </c>
      <c r="Y29" s="392">
        <f t="shared" si="3"/>
        <v>43530.944166666668</v>
      </c>
      <c r="Z29" s="341">
        <f>IF($AE$29&lt;1," ",IF(Y29&lt;1," ",(Y29)/$AE$29))</f>
        <v>8.3333333333333329E-2</v>
      </c>
      <c r="AA29" s="392">
        <f t="shared" si="3"/>
        <v>43530.944166666668</v>
      </c>
      <c r="AB29" s="341">
        <f>IF($AE$29&lt;1," ",IF(AA29&lt;1," ",(AA29)/$AE$29))</f>
        <v>8.3333333333333329E-2</v>
      </c>
      <c r="AC29" s="1565">
        <f t="shared" si="4"/>
        <v>0</v>
      </c>
      <c r="AD29" s="389">
        <f t="shared" si="5"/>
        <v>522371.3299999999</v>
      </c>
      <c r="AE29" s="389">
        <f>'Budget-Summary MYP'!F32</f>
        <v>522371.33</v>
      </c>
      <c r="AF29" s="389">
        <f t="shared" si="6"/>
        <v>0</v>
      </c>
      <c r="AG29" s="1203"/>
    </row>
    <row r="30" spans="1:33" ht="15.75">
      <c r="A30" s="408" t="s">
        <v>26</v>
      </c>
      <c r="B30" s="141"/>
      <c r="C30" s="279" t="s">
        <v>106</v>
      </c>
      <c r="D30" s="378"/>
      <c r="E30" s="379">
        <f>+'Budget-Summary MYP'!F33/12</f>
        <v>398629.53073221672</v>
      </c>
      <c r="F30" s="341">
        <f>IF($AE$30&lt;1," ",IF(E30&lt;1," ",(E30)/$AE$30))</f>
        <v>8.3333333333333343E-2</v>
      </c>
      <c r="G30" s="392">
        <f t="shared" si="3"/>
        <v>398629.53073221672</v>
      </c>
      <c r="H30" s="341">
        <f>IF($AE$30&lt;1," ",IF(G30&lt;1," ",(G30)/$AE$30))</f>
        <v>8.3333333333333343E-2</v>
      </c>
      <c r="I30" s="392">
        <f t="shared" si="3"/>
        <v>398629.53073221672</v>
      </c>
      <c r="J30" s="341">
        <f>IF($AE$30&lt;1," ",IF(I30&lt;1," ",(I30)/$AE$30))</f>
        <v>8.3333333333333343E-2</v>
      </c>
      <c r="K30" s="392">
        <f t="shared" si="3"/>
        <v>398629.53073221672</v>
      </c>
      <c r="L30" s="341">
        <f>IF($AE$30&lt;1," ",IF(K30&lt;1," ",(K30)/$AE$30))</f>
        <v>8.3333333333333343E-2</v>
      </c>
      <c r="M30" s="392">
        <f t="shared" si="3"/>
        <v>398629.53073221672</v>
      </c>
      <c r="N30" s="534">
        <f>IF($AE$30&lt;1," ",IF(M30&lt;1," ",(M30)/$AE$30))</f>
        <v>8.3333333333333343E-2</v>
      </c>
      <c r="O30" s="392">
        <f t="shared" si="3"/>
        <v>398629.53073221672</v>
      </c>
      <c r="P30" s="534">
        <f>IF($AE$30&lt;1," ",IF(O30&lt;1," ",(O30)/$AE$30))</f>
        <v>8.3333333333333343E-2</v>
      </c>
      <c r="Q30" s="392">
        <f t="shared" si="3"/>
        <v>398629.53073221672</v>
      </c>
      <c r="R30" s="534">
        <f>IF($AE$30&lt;1," ",IF(Q30&lt;1," ",(Q30)/$AE$30))</f>
        <v>8.3333333333333343E-2</v>
      </c>
      <c r="S30" s="392">
        <f t="shared" si="3"/>
        <v>398629.53073221672</v>
      </c>
      <c r="T30" s="341">
        <f>IF($AE$30&lt;1," ",IF(S30&lt;1," ",(S30)/$AE$30))</f>
        <v>8.3333333333333343E-2</v>
      </c>
      <c r="U30" s="392">
        <f t="shared" si="3"/>
        <v>398629.53073221672</v>
      </c>
      <c r="V30" s="341">
        <f>IF($AE$30&lt;1," ",IF(U30&lt;1," ",(U30)/$AE$30))</f>
        <v>8.3333333333333343E-2</v>
      </c>
      <c r="W30" s="392">
        <f t="shared" si="3"/>
        <v>398629.53073221672</v>
      </c>
      <c r="X30" s="341">
        <f>IF($AE$30&lt;1," ",IF(W30&lt;1," ",(W30)/$AE$30))</f>
        <v>8.3333333333333343E-2</v>
      </c>
      <c r="Y30" s="392">
        <f t="shared" si="3"/>
        <v>398629.53073221672</v>
      </c>
      <c r="Z30" s="341">
        <f>IF($AE$30&lt;1," ",IF(Y30&lt;1," ",(Y30)/$AE$30))</f>
        <v>8.3333333333333343E-2</v>
      </c>
      <c r="AA30" s="392">
        <f t="shared" si="3"/>
        <v>398629.53073221672</v>
      </c>
      <c r="AB30" s="341">
        <f>IF($AE$30&lt;1," ",IF(AA30&lt;1," ",(AA30)/$AE$30))</f>
        <v>8.3333333333333343E-2</v>
      </c>
      <c r="AC30" s="1565">
        <f t="shared" si="4"/>
        <v>0</v>
      </c>
      <c r="AD30" s="389">
        <f t="shared" si="5"/>
        <v>4783554.3687866004</v>
      </c>
      <c r="AE30" s="389">
        <f>'Budget-Summary MYP'!F33</f>
        <v>4783554.3687866004</v>
      </c>
      <c r="AF30" s="389">
        <f t="shared" si="6"/>
        <v>0</v>
      </c>
      <c r="AG30" s="1203"/>
    </row>
    <row r="31" spans="1:33" ht="15.75">
      <c r="A31" s="408" t="s">
        <v>5</v>
      </c>
      <c r="B31" s="141"/>
      <c r="C31" s="279" t="s">
        <v>107</v>
      </c>
      <c r="D31" s="378"/>
      <c r="E31" s="379">
        <f>+'Budget-Summary MYP'!F34/12</f>
        <v>1196.8575000000003</v>
      </c>
      <c r="F31" s="341">
        <f>IF($AE$31&lt;1," ",IF(E31&lt;1," ",(E31)/$AE$31))</f>
        <v>8.3333333333333329E-2</v>
      </c>
      <c r="G31" s="392">
        <f t="shared" si="3"/>
        <v>1196.8575000000003</v>
      </c>
      <c r="H31" s="341">
        <f>IF($AE$31&lt;1," ",IF(G31&lt;1," ",(G31)/$AE$31))</f>
        <v>8.3333333333333329E-2</v>
      </c>
      <c r="I31" s="392">
        <f t="shared" si="3"/>
        <v>1196.8575000000003</v>
      </c>
      <c r="J31" s="341">
        <f>IF($AE$31&lt;1," ",IF(I31&lt;1," ",(I31)/$AE$31))</f>
        <v>8.3333333333333329E-2</v>
      </c>
      <c r="K31" s="392">
        <f t="shared" si="3"/>
        <v>1196.8575000000003</v>
      </c>
      <c r="L31" s="341">
        <f>IF($AE$31&lt;1," ",IF(K31&lt;1," ",(K31)/$AE$31))</f>
        <v>8.3333333333333329E-2</v>
      </c>
      <c r="M31" s="392">
        <f t="shared" si="3"/>
        <v>1196.8575000000003</v>
      </c>
      <c r="N31" s="534">
        <f>IF($AE$31&lt;1," ",IF(M31&lt;1," ",(M31)/$AE$31))</f>
        <v>8.3333333333333329E-2</v>
      </c>
      <c r="O31" s="392">
        <f t="shared" si="3"/>
        <v>1196.8575000000003</v>
      </c>
      <c r="P31" s="534">
        <f>IF($AE$31&lt;1," ",IF(O31&lt;1," ",(O31)/$AE$31))</f>
        <v>8.3333333333333329E-2</v>
      </c>
      <c r="Q31" s="392">
        <f t="shared" si="3"/>
        <v>1196.8575000000003</v>
      </c>
      <c r="R31" s="534">
        <f>IF($AE$31&lt;1," ",IF(Q31&lt;1," ",(Q31)/$AE$31))</f>
        <v>8.3333333333333329E-2</v>
      </c>
      <c r="S31" s="392">
        <f t="shared" si="3"/>
        <v>1196.8575000000003</v>
      </c>
      <c r="T31" s="341">
        <f>IF($AE$31&lt;1," ",IF(S31&lt;1," ",(S31)/$AE$31))</f>
        <v>8.3333333333333329E-2</v>
      </c>
      <c r="U31" s="392">
        <f t="shared" si="3"/>
        <v>1196.8575000000003</v>
      </c>
      <c r="V31" s="341">
        <f>IF($AE$31&lt;1," ",IF(U31&lt;1," ",(U31)/$AE$31))</f>
        <v>8.3333333333333329E-2</v>
      </c>
      <c r="W31" s="392">
        <f t="shared" si="3"/>
        <v>1196.8575000000003</v>
      </c>
      <c r="X31" s="341">
        <f>IF($AE$31&lt;1," ",IF(W31&lt;1," ",(W31)/$AE$31))</f>
        <v>8.3333333333333329E-2</v>
      </c>
      <c r="Y31" s="392">
        <f t="shared" si="3"/>
        <v>1196.8575000000003</v>
      </c>
      <c r="Z31" s="341">
        <f>IF($AE$31&lt;1," ",IF(Y31&lt;1," ",(Y31)/$AE$31))</f>
        <v>8.3333333333333329E-2</v>
      </c>
      <c r="AA31" s="392">
        <f t="shared" si="3"/>
        <v>1196.8575000000003</v>
      </c>
      <c r="AB31" s="341">
        <f>IF($AE$31&lt;1," ",IF(AA31&lt;1," ",(AA31)/$AE$31))</f>
        <v>8.3333333333333329E-2</v>
      </c>
      <c r="AC31" s="1565">
        <f t="shared" si="4"/>
        <v>0</v>
      </c>
      <c r="AD31" s="389">
        <f t="shared" si="5"/>
        <v>14362.290000000003</v>
      </c>
      <c r="AE31" s="389">
        <f>'Budget-Summary MYP'!F34</f>
        <v>14362.290000000005</v>
      </c>
      <c r="AF31" s="389">
        <f t="shared" si="6"/>
        <v>0</v>
      </c>
      <c r="AG31" s="1203"/>
    </row>
    <row r="32" spans="1:33" ht="15.75">
      <c r="A32" s="408" t="s">
        <v>27</v>
      </c>
      <c r="B32" s="141"/>
      <c r="C32" s="279" t="s">
        <v>108</v>
      </c>
      <c r="D32" s="378"/>
      <c r="E32" s="379">
        <f>+'Budget-Summary MYP'!F35/12</f>
        <v>208.25</v>
      </c>
      <c r="F32" s="341">
        <f>IF($AE$32&lt;1," ",IF(E32&lt;1," ",(E32)/$AE$32))</f>
        <v>8.3333333333333329E-2</v>
      </c>
      <c r="G32" s="392">
        <f t="shared" si="3"/>
        <v>208.25</v>
      </c>
      <c r="H32" s="341">
        <f>IF($AE$32&lt;1," ",IF(G32&lt;1," ",(G32)/$AE$32))</f>
        <v>8.3333333333333329E-2</v>
      </c>
      <c r="I32" s="392">
        <f t="shared" si="3"/>
        <v>208.25</v>
      </c>
      <c r="J32" s="341">
        <f>IF($AE$32&lt;1," ",IF(I32&lt;1," ",(I32)/$AE$32))</f>
        <v>8.3333333333333329E-2</v>
      </c>
      <c r="K32" s="392">
        <f t="shared" si="3"/>
        <v>208.25</v>
      </c>
      <c r="L32" s="341">
        <f>IF($AE$32&lt;1," ",IF(K32&lt;1," ",(K32)/$AE$32))</f>
        <v>8.3333333333333329E-2</v>
      </c>
      <c r="M32" s="392">
        <f t="shared" si="3"/>
        <v>208.25</v>
      </c>
      <c r="N32" s="534">
        <f>IF($AE$32&lt;1," ",IF(M32&lt;1," ",(M32)/$AE$32))</f>
        <v>8.3333333333333329E-2</v>
      </c>
      <c r="O32" s="392">
        <f t="shared" si="3"/>
        <v>208.25</v>
      </c>
      <c r="P32" s="534">
        <f>IF($AE$32&lt;1," ",IF(O32&lt;1," ",(O32)/$AE$32))</f>
        <v>8.3333333333333329E-2</v>
      </c>
      <c r="Q32" s="392">
        <f t="shared" si="3"/>
        <v>208.25</v>
      </c>
      <c r="R32" s="534">
        <f>IF($AE$32&lt;1," ",IF(Q32&lt;1," ",(Q32)/$AE$32))</f>
        <v>8.3333333333333329E-2</v>
      </c>
      <c r="S32" s="392">
        <f t="shared" si="3"/>
        <v>208.25</v>
      </c>
      <c r="T32" s="341">
        <f>IF($AE$32&lt;1," ",IF(S32&lt;1," ",(S32)/$AE$32))</f>
        <v>8.3333333333333329E-2</v>
      </c>
      <c r="U32" s="392">
        <f t="shared" si="3"/>
        <v>208.25</v>
      </c>
      <c r="V32" s="341">
        <f>IF($AE$32&lt;1," ",IF(U32&lt;1," ",(U32)/$AE$32))</f>
        <v>8.3333333333333329E-2</v>
      </c>
      <c r="W32" s="392">
        <f t="shared" si="3"/>
        <v>208.25</v>
      </c>
      <c r="X32" s="341">
        <f>IF($AE$32&lt;1," ",IF(W32&lt;1," ",(W32)/$AE$32))</f>
        <v>8.3333333333333329E-2</v>
      </c>
      <c r="Y32" s="392">
        <f t="shared" si="3"/>
        <v>208.25</v>
      </c>
      <c r="Z32" s="341">
        <f>IF($AE$32&lt;1," ",IF(Y32&lt;1," ",(Y32)/$AE$32))</f>
        <v>8.3333333333333329E-2</v>
      </c>
      <c r="AA32" s="392">
        <f t="shared" si="3"/>
        <v>208.25</v>
      </c>
      <c r="AB32" s="341">
        <f>IF($AE$32&lt;1," ",IF(AA32&lt;1," ",(AA32)/$AE$32))</f>
        <v>8.3333333333333329E-2</v>
      </c>
      <c r="AC32" s="1565">
        <f t="shared" si="4"/>
        <v>0</v>
      </c>
      <c r="AD32" s="389">
        <f t="shared" si="5"/>
        <v>2499</v>
      </c>
      <c r="AE32" s="389">
        <f>'Budget-Summary MYP'!F35</f>
        <v>2499</v>
      </c>
      <c r="AF32" s="389">
        <f t="shared" si="6"/>
        <v>0</v>
      </c>
      <c r="AG32" s="1203"/>
    </row>
    <row r="33" spans="1:33" ht="15.75">
      <c r="A33" s="408" t="s">
        <v>149</v>
      </c>
      <c r="B33" s="141"/>
      <c r="C33" s="279" t="s">
        <v>114</v>
      </c>
      <c r="D33" s="378"/>
      <c r="E33" s="379">
        <f>+'Budget-Summary MYP'!F36/12</f>
        <v>0</v>
      </c>
      <c r="F33" s="341" t="str">
        <f>IF($AE33&lt;1," ",IF(E33&lt;1," ",(E33)/$AE33))</f>
        <v xml:space="preserve"> </v>
      </c>
      <c r="G33" s="392">
        <f t="shared" si="3"/>
        <v>0</v>
      </c>
      <c r="H33" s="341" t="str">
        <f>IF($AE33&lt;1," ",IF(G33&lt;1," ",(G33)/$AE33))</f>
        <v xml:space="preserve"> </v>
      </c>
      <c r="I33" s="392">
        <f t="shared" si="3"/>
        <v>0</v>
      </c>
      <c r="J33" s="341" t="str">
        <f>IF($AE33&lt;1," ",IF(I33&lt;1," ",(I33)/$AE33))</f>
        <v xml:space="preserve"> </v>
      </c>
      <c r="K33" s="392">
        <f t="shared" si="3"/>
        <v>0</v>
      </c>
      <c r="L33" s="341" t="str">
        <f>IF($AE33&lt;1," ",IF(K33&lt;1," ",(K33)/$AE33))</f>
        <v xml:space="preserve"> </v>
      </c>
      <c r="M33" s="392">
        <f t="shared" si="3"/>
        <v>0</v>
      </c>
      <c r="N33" s="534" t="str">
        <f>IF($AE33&lt;1," ",IF(M33&lt;1," ",(M33)/$AE33))</f>
        <v xml:space="preserve"> </v>
      </c>
      <c r="O33" s="392">
        <f t="shared" si="3"/>
        <v>0</v>
      </c>
      <c r="P33" s="534" t="str">
        <f>IF($AE33&lt;1," ",IF(O33&lt;1," ",(O33)/$AE33))</f>
        <v xml:space="preserve"> </v>
      </c>
      <c r="Q33" s="392">
        <f t="shared" si="3"/>
        <v>0</v>
      </c>
      <c r="R33" s="534" t="str">
        <f>IF($AE33&lt;1," ",IF(Q33&lt;1," ",(Q33)/$AE33))</f>
        <v xml:space="preserve"> </v>
      </c>
      <c r="S33" s="392">
        <f t="shared" si="3"/>
        <v>0</v>
      </c>
      <c r="T33" s="341" t="str">
        <f>IF($AE33&lt;1," ",IF(S33&lt;1," ",(S33)/$AE33))</f>
        <v xml:space="preserve"> </v>
      </c>
      <c r="U33" s="392">
        <f t="shared" si="3"/>
        <v>0</v>
      </c>
      <c r="V33" s="341" t="str">
        <f>IF($AE33&lt;1," ",IF(U33&lt;1," ",(U33)/$AE33))</f>
        <v xml:space="preserve"> </v>
      </c>
      <c r="W33" s="392">
        <f t="shared" si="3"/>
        <v>0</v>
      </c>
      <c r="X33" s="341" t="str">
        <f>IF($AE33&lt;1," ",IF(W33&lt;1," ",(W33)/$AE33))</f>
        <v xml:space="preserve"> </v>
      </c>
      <c r="Y33" s="392">
        <f t="shared" si="3"/>
        <v>0</v>
      </c>
      <c r="Z33" s="341" t="str">
        <f>IF($AE33&lt;1," ",IF(Y33&lt;1," ",(Y33)/$AE33))</f>
        <v xml:space="preserve"> </v>
      </c>
      <c r="AA33" s="392">
        <f t="shared" si="3"/>
        <v>0</v>
      </c>
      <c r="AB33" s="341" t="str">
        <f>IF($AE33&lt;1," ",IF(AA33&lt;1," ",(AA33)/$AE33))</f>
        <v xml:space="preserve"> </v>
      </c>
      <c r="AC33" s="1565">
        <f t="shared" si="4"/>
        <v>0</v>
      </c>
      <c r="AD33" s="389">
        <f t="shared" si="5"/>
        <v>0</v>
      </c>
      <c r="AE33" s="389">
        <f>'Budget-Summary MYP'!F36</f>
        <v>0</v>
      </c>
      <c r="AF33" s="389">
        <f t="shared" si="6"/>
        <v>0</v>
      </c>
      <c r="AG33" s="1203"/>
    </row>
    <row r="34" spans="1:33" ht="16.5" thickBot="1">
      <c r="A34" s="407" t="s">
        <v>28</v>
      </c>
      <c r="B34" s="384"/>
      <c r="C34" s="385"/>
      <c r="D34" s="385"/>
      <c r="E34" s="773">
        <f>+SUM(E26:E33)</f>
        <v>870150.1871072168</v>
      </c>
      <c r="F34" s="386">
        <f>IF($AE34&lt;1," ",IF(E34&lt;1," ",(E34)/$AE34))</f>
        <v>8.3333333333333356E-2</v>
      </c>
      <c r="G34" s="774">
        <f>+SUM(G26:G33)</f>
        <v>870150.1871072168</v>
      </c>
      <c r="H34" s="386">
        <f>IF($AE34&lt;1," ",IF(G34&lt;1," ",(G34)/$AE34))</f>
        <v>8.3333333333333356E-2</v>
      </c>
      <c r="I34" s="774">
        <f>+SUM(I26:I33)</f>
        <v>870150.1871072168</v>
      </c>
      <c r="J34" s="386">
        <f>IF($AE34&lt;1," ",IF(I34&lt;1," ",(I34)/$AE34))</f>
        <v>8.3333333333333356E-2</v>
      </c>
      <c r="K34" s="774">
        <f>+SUM(K26:K33)</f>
        <v>870150.1871072168</v>
      </c>
      <c r="L34" s="386">
        <f>IF($AE34&lt;1," ",IF(K34&lt;1," ",(K34)/$AE34))</f>
        <v>8.3333333333333356E-2</v>
      </c>
      <c r="M34" s="774">
        <f>+SUM(M26:M33)</f>
        <v>870150.1871072168</v>
      </c>
      <c r="N34" s="536">
        <f>IF($AE34&lt;1," ",IF(M34&lt;1," ",(M34)/$AE34))</f>
        <v>8.3333333333333356E-2</v>
      </c>
      <c r="O34" s="774">
        <f>+SUM(O26:O33)</f>
        <v>870150.1871072168</v>
      </c>
      <c r="P34" s="386">
        <f>IF($AE34&lt;1," ",IF(O34&lt;1," ",(O34)/$AE34))</f>
        <v>8.3333333333333356E-2</v>
      </c>
      <c r="Q34" s="774">
        <f>+SUM(Q26:Q33)</f>
        <v>870150.1871072168</v>
      </c>
      <c r="R34" s="536">
        <f>IF($AE34&lt;1," ",IF(Q34&lt;1," ",(Q34)/$AE34))</f>
        <v>8.3333333333333356E-2</v>
      </c>
      <c r="S34" s="775">
        <f>+SUM(S26:S33)</f>
        <v>870150.1871072168</v>
      </c>
      <c r="T34" s="386">
        <f>IF($AE34&lt;1," ",IF(S34&lt;1," ",(S34)/$AE34))</f>
        <v>8.3333333333333356E-2</v>
      </c>
      <c r="U34" s="774">
        <f>+SUM(U26:U33)</f>
        <v>870150.1871072168</v>
      </c>
      <c r="V34" s="386">
        <f>IF($AE34&lt;1," ",IF(U34&lt;1," ",(U34)/$AE34))</f>
        <v>8.3333333333333356E-2</v>
      </c>
      <c r="W34" s="774">
        <f>+SUM(W26:W33)</f>
        <v>870150.1871072168</v>
      </c>
      <c r="X34" s="386">
        <f>IF($AE34&lt;1," ",IF(W34&lt;1," ",(W34)/$AE34))</f>
        <v>8.3333333333333356E-2</v>
      </c>
      <c r="Y34" s="774">
        <f>+SUM(Y26:Y33)</f>
        <v>870150.1871072168</v>
      </c>
      <c r="Z34" s="386">
        <f>IF($AE34&lt;1," ",IF(Y34&lt;1," ",(Y34)/$AE34))</f>
        <v>8.3333333333333356E-2</v>
      </c>
      <c r="AA34" s="774">
        <f>+SUM(AA26:AA33)</f>
        <v>870150.1871072168</v>
      </c>
      <c r="AB34" s="386">
        <f>IF($AE34&lt;1," ",IF(AA34&lt;1," ",(AA34)/$AE34))</f>
        <v>8.3333333333333356E-2</v>
      </c>
      <c r="AC34" s="1564">
        <f>+SUM(AC26:AC33)</f>
        <v>0</v>
      </c>
      <c r="AD34" s="776">
        <f>+SUM(AD26:AD33)</f>
        <v>10441802.245286599</v>
      </c>
      <c r="AE34" s="776">
        <f>+SUM(AE26:AE33)</f>
        <v>10441802.245286599</v>
      </c>
      <c r="AF34" s="776">
        <f>+SUM(AF26:AF33)</f>
        <v>0</v>
      </c>
      <c r="AG34" s="1203"/>
    </row>
    <row r="35" spans="1:33" ht="15.75">
      <c r="A35" s="411"/>
      <c r="B35" s="373"/>
      <c r="C35" s="72"/>
      <c r="D35" s="72"/>
      <c r="E35" s="75"/>
      <c r="F35" s="197"/>
      <c r="G35" s="76"/>
      <c r="H35" s="197"/>
      <c r="I35" s="76"/>
      <c r="J35" s="197"/>
      <c r="K35" s="76"/>
      <c r="L35" s="197"/>
      <c r="M35" s="76"/>
      <c r="N35" s="197"/>
      <c r="O35" s="76"/>
      <c r="P35" s="197"/>
      <c r="Q35" s="76"/>
      <c r="R35" s="197"/>
      <c r="S35" s="76"/>
      <c r="T35" s="197"/>
      <c r="U35" s="76"/>
      <c r="V35" s="197"/>
      <c r="W35" s="76"/>
      <c r="X35" s="197"/>
      <c r="Y35" s="76"/>
      <c r="Z35" s="197"/>
      <c r="AA35" s="76"/>
      <c r="AB35" s="197"/>
      <c r="AC35" s="1024"/>
      <c r="AD35" s="1024"/>
      <c r="AE35" s="1024"/>
      <c r="AF35" s="1040"/>
      <c r="AG35" s="1203"/>
    </row>
    <row r="36" spans="1:33" ht="15.75">
      <c r="A36" s="67" t="s">
        <v>109</v>
      </c>
      <c r="B36" s="181"/>
      <c r="C36" s="375"/>
      <c r="D36" s="375"/>
      <c r="E36" s="548"/>
      <c r="F36" s="484"/>
      <c r="G36" s="528"/>
      <c r="H36" s="484"/>
      <c r="I36" s="528"/>
      <c r="J36" s="484"/>
      <c r="K36" s="528"/>
      <c r="L36" s="484"/>
      <c r="M36" s="528"/>
      <c r="N36" s="484"/>
      <c r="O36" s="528"/>
      <c r="P36" s="484"/>
      <c r="Q36" s="528"/>
      <c r="R36" s="484"/>
      <c r="S36" s="528"/>
      <c r="T36" s="484"/>
      <c r="U36" s="528"/>
      <c r="V36" s="484"/>
      <c r="W36" s="528"/>
      <c r="X36" s="484"/>
      <c r="Y36" s="528"/>
      <c r="Z36" s="484"/>
      <c r="AA36" s="528"/>
      <c r="AB36" s="484"/>
      <c r="AC36" s="1028"/>
      <c r="AD36" s="1028"/>
      <c r="AE36" s="1028"/>
      <c r="AF36" s="1036"/>
      <c r="AG36" s="1203"/>
    </row>
    <row r="37" spans="1:33" ht="15.75">
      <c r="A37" s="408" t="s">
        <v>127</v>
      </c>
      <c r="B37" s="141"/>
      <c r="C37" s="279">
        <v>8900</v>
      </c>
      <c r="D37" s="397"/>
      <c r="E37" s="379"/>
      <c r="F37" s="341" t="str">
        <f>IF($AE37&lt;1," ",IF(E37&lt;1," ",(E37)/$AE37))</f>
        <v xml:space="preserve"> </v>
      </c>
      <c r="G37" s="392"/>
      <c r="H37" s="341" t="str">
        <f>IF($AE37&lt;1," ",IF(G37&lt;1," ",(G37)/$AE37))</f>
        <v xml:space="preserve"> </v>
      </c>
      <c r="I37" s="392"/>
      <c r="J37" s="341" t="str">
        <f>IF($AE37&lt;1," ",IF(I37&lt;1," ",(I37)/$AE37))</f>
        <v xml:space="preserve"> </v>
      </c>
      <c r="K37" s="392"/>
      <c r="L37" s="341" t="str">
        <f>IF($AE37&lt;1," ",IF(K37&lt;1," ",(K37)/$AE37))</f>
        <v xml:space="preserve"> </v>
      </c>
      <c r="M37" s="392"/>
      <c r="N37" s="534" t="str">
        <f>IF($AE37&lt;1," ",IF(M37&lt;1," ",(M37)/$AE37))</f>
        <v xml:space="preserve"> </v>
      </c>
      <c r="O37" s="392"/>
      <c r="P37" s="341" t="str">
        <f>IF($AE37&lt;1," ",IF(O37&lt;1," ",(O37)/$AE37))</f>
        <v xml:space="preserve"> </v>
      </c>
      <c r="Q37" s="392"/>
      <c r="R37" s="341" t="str">
        <f>IF($AE37&lt;1," ",IF(Q37&lt;1," ",(Q37)/$AE37))</f>
        <v xml:space="preserve"> </v>
      </c>
      <c r="S37" s="392"/>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565">
        <f>AE37-(E37+G37+I37+K37+M37+O37+Q37+S37+U37+W37+Y37+AA37)</f>
        <v>0</v>
      </c>
      <c r="AD37" s="389">
        <f>+E37+G37+I37+K37+M37+O37+Q37+S37+U37+W37+Y37+AA37+AC37</f>
        <v>0</v>
      </c>
      <c r="AE37" s="389">
        <f>'Budget-Summary MYP'!F42</f>
        <v>0</v>
      </c>
      <c r="AF37" s="389">
        <f>+AE37-AD37</f>
        <v>0</v>
      </c>
      <c r="AG37" s="1203"/>
    </row>
    <row r="38" spans="1:33" ht="15.75">
      <c r="A38" s="408" t="s">
        <v>30</v>
      </c>
      <c r="B38" s="141"/>
      <c r="C38" s="279">
        <v>7600</v>
      </c>
      <c r="D38" s="397"/>
      <c r="E38" s="379"/>
      <c r="F38" s="341" t="str">
        <f>IF($AE38&lt;1," ",IF(E38&lt;1," ",(E38)/$AE38))</f>
        <v xml:space="preserve"> </v>
      </c>
      <c r="G38" s="392"/>
      <c r="H38" s="341" t="str">
        <f>IF($AE38&lt;1," ",IF(G38&lt;1," ",(G38)/$AE38))</f>
        <v xml:space="preserve"> </v>
      </c>
      <c r="I38" s="392"/>
      <c r="J38" s="341" t="str">
        <f>IF($AE38&lt;1," ",IF(I38&lt;1," ",(I38)/$AE38))</f>
        <v xml:space="preserve"> </v>
      </c>
      <c r="K38" s="392"/>
      <c r="L38" s="341" t="str">
        <f>IF($AE38&lt;1," ",IF(K38&lt;1," ",(K38)/$AE38))</f>
        <v xml:space="preserve"> </v>
      </c>
      <c r="M38" s="392">
        <v>-55717.151002216851</v>
      </c>
      <c r="N38" s="534" t="str">
        <f>IF($AE38&lt;1," ",IF(M38&lt;1," ",(M38)/$AE38))</f>
        <v xml:space="preserve"> </v>
      </c>
      <c r="O38" s="392">
        <v>-55717.151002216851</v>
      </c>
      <c r="P38" s="341" t="str">
        <f>IF($AE38&lt;1," ",IF(O38&lt;1," ",(O38)/$AE38))</f>
        <v xml:space="preserve"> </v>
      </c>
      <c r="Q38" s="392">
        <v>-55717.151002216851</v>
      </c>
      <c r="R38" s="341" t="str">
        <f>IF($AE38&lt;1," ",IF(Q38&lt;1," ",(Q38)/$AE38))</f>
        <v xml:space="preserve"> </v>
      </c>
      <c r="S38" s="392">
        <v>-55717.151002216851</v>
      </c>
      <c r="T38" s="341" t="str">
        <f>IF($AE38&lt;1," ",IF(S38&lt;1," ",(S38)/$AE38))</f>
        <v xml:space="preserve"> </v>
      </c>
      <c r="U38" s="392">
        <v>-55717.151002216851</v>
      </c>
      <c r="V38" s="341" t="str">
        <f>IF($AE38&lt;1," ",IF(U38&lt;1," ",(U38)/$AE38))</f>
        <v xml:space="preserve"> </v>
      </c>
      <c r="W38" s="392">
        <v>-55717.151002216851</v>
      </c>
      <c r="X38" s="341" t="str">
        <f>IF($AE38&lt;1," ",IF(W38&lt;1," ",(W38)/$AE38))</f>
        <v xml:space="preserve"> </v>
      </c>
      <c r="Y38" s="392">
        <v>-55717.151002216851</v>
      </c>
      <c r="Z38" s="341" t="str">
        <f>IF($AE38&lt;1," ",IF(Y38&lt;1," ",(Y38)/$AE38))</f>
        <v xml:space="preserve"> </v>
      </c>
      <c r="AA38" s="392">
        <v>-554979.94298448204</v>
      </c>
      <c r="AB38" s="341" t="str">
        <f>IF($AE38&lt;1," ",IF(AA38&lt;1," ",(AA38)/$AE38))</f>
        <v xml:space="preserve"> </v>
      </c>
      <c r="AC38" s="1565">
        <f>AE38-(E38+G38+I38+K38+M38+O38+Q38+S38+U38+W38+Y38+AA38)</f>
        <v>0</v>
      </c>
      <c r="AD38" s="389">
        <f>+E38+G38+I38+K38+M38+O38+Q38+S38+U38+W38+Y38+AA38+AC38</f>
        <v>-945000</v>
      </c>
      <c r="AE38" s="389">
        <f>'Budget-Summary MYP'!F43</f>
        <v>-945000</v>
      </c>
      <c r="AF38" s="389">
        <f>+AE38-AD38</f>
        <v>0</v>
      </c>
      <c r="AG38" s="1203"/>
    </row>
    <row r="39" spans="1:33" ht="16.5" thickBot="1">
      <c r="A39" s="412" t="s">
        <v>31</v>
      </c>
      <c r="B39" s="384"/>
      <c r="C39" s="385"/>
      <c r="D39" s="385"/>
      <c r="E39" s="773">
        <f>+E37-E38</f>
        <v>0</v>
      </c>
      <c r="F39" s="386" t="str">
        <f>IF($AE39&lt;1," ",IF(E39&lt;1," ",(E39)/$AE39))</f>
        <v xml:space="preserve"> </v>
      </c>
      <c r="G39" s="774">
        <f>+G37-G38</f>
        <v>0</v>
      </c>
      <c r="H39" s="386" t="str">
        <f>IF($AE39&lt;1," ",IF(G39&lt;1," ",(G39)/$AE39))</f>
        <v xml:space="preserve"> </v>
      </c>
      <c r="I39" s="774">
        <f>+I37-I38</f>
        <v>0</v>
      </c>
      <c r="J39" s="386" t="str">
        <f>IF($AE39&lt;1," ",IF(I39&lt;1," ",(I39)/$AE39))</f>
        <v xml:space="preserve"> </v>
      </c>
      <c r="K39" s="774">
        <f>+K37-K38</f>
        <v>0</v>
      </c>
      <c r="L39" s="386" t="str">
        <f>IF($AE39&lt;1," ",IF(K39&lt;1," ",(K39)/$AE39))</f>
        <v xml:space="preserve"> </v>
      </c>
      <c r="M39" s="774">
        <f>+M37-M38</f>
        <v>55717.151002216851</v>
      </c>
      <c r="N39" s="536">
        <f>IF($AE39&lt;1," ",IF(M39&lt;1," ",(M39)/$AE39))</f>
        <v>5.8959948150494025E-2</v>
      </c>
      <c r="O39" s="774">
        <f>+O37-O38</f>
        <v>55717.151002216851</v>
      </c>
      <c r="P39" s="386">
        <f>IF($AE39&lt;1," ",IF(O39&lt;1," ",(O39)/$AE39))</f>
        <v>5.8959948150494025E-2</v>
      </c>
      <c r="Q39" s="774">
        <f>+Q37-Q38</f>
        <v>55717.151002216851</v>
      </c>
      <c r="R39" s="536">
        <f>IF($AE39&lt;1," ",IF(Q39&lt;1," ",(Q39)/$AE39))</f>
        <v>5.8959948150494025E-2</v>
      </c>
      <c r="S39" s="775">
        <f>+S37-S38</f>
        <v>55717.151002216851</v>
      </c>
      <c r="T39" s="386">
        <f>IF($AE39&lt;1," ",IF(S39&lt;1," ",(S39)/$AE39))</f>
        <v>5.8959948150494025E-2</v>
      </c>
      <c r="U39" s="774">
        <f>+U37-U38</f>
        <v>55717.151002216851</v>
      </c>
      <c r="V39" s="386">
        <f>IF($AE39&lt;1," ",IF(U39&lt;1," ",(U39)/$AE39))</f>
        <v>5.8959948150494025E-2</v>
      </c>
      <c r="W39" s="774">
        <f>+W37-W38</f>
        <v>55717.151002216851</v>
      </c>
      <c r="X39" s="386">
        <f>IF($AE39&lt;1," ",IF(W39&lt;1," ",(W39)/$AE39))</f>
        <v>5.8959948150494025E-2</v>
      </c>
      <c r="Y39" s="774">
        <f>+Y37-Y38</f>
        <v>55717.151002216851</v>
      </c>
      <c r="Z39" s="386">
        <f>IF($AE39&lt;1," ",IF(Y39&lt;1," ",(Y39)/$AE39))</f>
        <v>5.8959948150494025E-2</v>
      </c>
      <c r="AA39" s="774">
        <f>+AA37-AA38</f>
        <v>554979.94298448204</v>
      </c>
      <c r="AB39" s="386">
        <f>IF($AE39&lt;1," ",IF(AA39&lt;1," ",(AA39)/$AE39))</f>
        <v>0.58728036294654185</v>
      </c>
      <c r="AC39" s="1564">
        <f>+AC37-AC38</f>
        <v>0</v>
      </c>
      <c r="AD39" s="776">
        <f>+AD37-AD38</f>
        <v>945000</v>
      </c>
      <c r="AE39" s="776">
        <f>+AE37-AE38</f>
        <v>945000</v>
      </c>
      <c r="AF39" s="776">
        <f>+AF37-AF38</f>
        <v>0</v>
      </c>
      <c r="AG39" s="1203"/>
    </row>
    <row r="40" spans="1:33" ht="15.75" customHeight="1">
      <c r="A40" s="411"/>
      <c r="B40" s="183"/>
      <c r="C40" s="23"/>
      <c r="D40" s="1819" t="s">
        <v>213</v>
      </c>
      <c r="E40" s="24"/>
      <c r="F40" s="199" t="s">
        <v>82</v>
      </c>
      <c r="G40" s="394"/>
      <c r="H40" s="199" t="s">
        <v>82</v>
      </c>
      <c r="I40" s="394"/>
      <c r="J40" s="199" t="s">
        <v>82</v>
      </c>
      <c r="K40" s="394"/>
      <c r="L40" s="199" t="s">
        <v>82</v>
      </c>
      <c r="M40" s="394"/>
      <c r="N40" s="538" t="s">
        <v>82</v>
      </c>
      <c r="O40" s="394"/>
      <c r="P40" s="199" t="s">
        <v>82</v>
      </c>
      <c r="Q40" s="394"/>
      <c r="R40" s="537" t="s">
        <v>82</v>
      </c>
      <c r="S40" s="21"/>
      <c r="T40" s="199" t="s">
        <v>82</v>
      </c>
      <c r="U40" s="394"/>
      <c r="V40" s="199" t="s">
        <v>82</v>
      </c>
      <c r="W40" s="394"/>
      <c r="X40" s="199" t="s">
        <v>82</v>
      </c>
      <c r="Y40" s="394"/>
      <c r="Z40" s="199" t="s">
        <v>82</v>
      </c>
      <c r="AA40" s="394"/>
      <c r="AB40" s="199" t="s">
        <v>82</v>
      </c>
      <c r="AC40" s="1566"/>
      <c r="AD40" s="1035"/>
      <c r="AE40" s="1822" t="s">
        <v>214</v>
      </c>
      <c r="AF40" s="1041"/>
    </row>
    <row r="41" spans="1:33" ht="15.75">
      <c r="A41" s="67" t="s">
        <v>110</v>
      </c>
      <c r="B41" s="181"/>
      <c r="C41" s="23"/>
      <c r="D41" s="1820"/>
      <c r="E41" s="24"/>
      <c r="F41" s="199" t="s">
        <v>230</v>
      </c>
      <c r="G41" s="394"/>
      <c r="H41" s="199" t="s">
        <v>230</v>
      </c>
      <c r="I41" s="394"/>
      <c r="J41" s="199" t="s">
        <v>230</v>
      </c>
      <c r="K41" s="394"/>
      <c r="L41" s="199" t="s">
        <v>230</v>
      </c>
      <c r="M41" s="394"/>
      <c r="N41" s="538" t="s">
        <v>230</v>
      </c>
      <c r="O41" s="394"/>
      <c r="P41" s="199" t="s">
        <v>230</v>
      </c>
      <c r="Q41" s="394"/>
      <c r="R41" s="538" t="s">
        <v>230</v>
      </c>
      <c r="S41" s="21"/>
      <c r="T41" s="199" t="s">
        <v>230</v>
      </c>
      <c r="U41" s="394"/>
      <c r="V41" s="199" t="s">
        <v>230</v>
      </c>
      <c r="W41" s="394"/>
      <c r="X41" s="199" t="s">
        <v>230</v>
      </c>
      <c r="Y41" s="394"/>
      <c r="Z41" s="199" t="s">
        <v>230</v>
      </c>
      <c r="AA41" s="394"/>
      <c r="AB41" s="199" t="s">
        <v>230</v>
      </c>
      <c r="AC41" s="1566"/>
      <c r="AD41" s="1035"/>
      <c r="AE41" s="1823"/>
      <c r="AF41" s="777"/>
    </row>
    <row r="42" spans="1:33" ht="15.75">
      <c r="A42" s="69"/>
      <c r="B42" s="183"/>
      <c r="C42" s="23"/>
      <c r="D42" s="1821"/>
      <c r="E42" s="24"/>
      <c r="F42" s="195"/>
      <c r="G42" s="394"/>
      <c r="H42" s="195"/>
      <c r="I42" s="394"/>
      <c r="J42" s="195"/>
      <c r="K42" s="394"/>
      <c r="L42" s="195"/>
      <c r="M42" s="394"/>
      <c r="N42" s="539"/>
      <c r="O42" s="394"/>
      <c r="P42" s="195"/>
      <c r="Q42" s="394"/>
      <c r="R42" s="539"/>
      <c r="S42" s="21"/>
      <c r="T42" s="195"/>
      <c r="U42" s="394"/>
      <c r="V42" s="195"/>
      <c r="W42" s="394"/>
      <c r="X42" s="195"/>
      <c r="Y42" s="394"/>
      <c r="Z42" s="195"/>
      <c r="AA42" s="394"/>
      <c r="AB42" s="195"/>
      <c r="AC42" s="1566"/>
      <c r="AD42" s="1035"/>
      <c r="AE42" s="1824"/>
      <c r="AF42" s="777"/>
    </row>
    <row r="43" spans="1:33" ht="15.75">
      <c r="A43" s="413" t="s">
        <v>330</v>
      </c>
      <c r="B43" s="398"/>
      <c r="C43" s="626">
        <v>9210</v>
      </c>
      <c r="D43" s="1019"/>
      <c r="E43" s="399"/>
      <c r="F43" s="341" t="str">
        <f>IF($D43&lt;1," ",IF(E43&lt;1," ",(E43)/$D43))</f>
        <v xml:space="preserve"> </v>
      </c>
      <c r="G43" s="400"/>
      <c r="H43" s="341" t="str">
        <f>IF($D43&lt;1," ",IF(G43&lt;1," ",(G43)/$D43))</f>
        <v xml:space="preserve"> </v>
      </c>
      <c r="I43" s="400"/>
      <c r="J43" s="341" t="str">
        <f>IF($D43&lt;1," ",IF(I43&lt;1," ",(I43)/$D43))</f>
        <v xml:space="preserve"> </v>
      </c>
      <c r="K43" s="400"/>
      <c r="L43" s="341" t="str">
        <f>IF($D43&lt;1," ",IF(K43&lt;1," ",(K43)/$D43))</f>
        <v xml:space="preserve"> </v>
      </c>
      <c r="M43" s="400"/>
      <c r="N43" s="534" t="str">
        <f>IF($D43&lt;1," ",IF(M43&lt;1," ",(M43)/$D43))</f>
        <v xml:space="preserve"> </v>
      </c>
      <c r="O43" s="400"/>
      <c r="P43" s="341" t="str">
        <f>IF($D43&lt;1," ",IF(O43&lt;1," ",(O43)/$D43))</f>
        <v xml:space="preserve"> </v>
      </c>
      <c r="Q43" s="400"/>
      <c r="R43" s="534" t="str">
        <f>IF($D43&lt;1," ",IF(Q43&lt;1," ",(Q43)/$D43))</f>
        <v xml:space="preserve"> </v>
      </c>
      <c r="S43" s="514"/>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567"/>
      <c r="AD43" s="1570">
        <f>+E43+G43+I43+K43+M43+O43+Q43+S43+U43+W43+Y43+AA43</f>
        <v>0</v>
      </c>
      <c r="AE43" s="401">
        <f>D43-AD43</f>
        <v>0</v>
      </c>
      <c r="AF43" s="777"/>
      <c r="AG43" s="1571" t="str">
        <f>IF(AD43=D43,"","Prior Year Transactions should be zero'd out by Year End")</f>
        <v/>
      </c>
    </row>
    <row r="44" spans="1:33" ht="15.75">
      <c r="A44" s="413" t="s">
        <v>11</v>
      </c>
      <c r="B44" s="398"/>
      <c r="C44" s="626">
        <v>9330</v>
      </c>
      <c r="D44" s="1019"/>
      <c r="E44" s="399"/>
      <c r="F44" s="341" t="str">
        <f>IF($D44&lt;1," ",IF(E44&lt;1," ",(E44)/$D44))</f>
        <v xml:space="preserve"> </v>
      </c>
      <c r="G44" s="400"/>
      <c r="H44" s="341" t="str">
        <f>IF($D44&lt;1," ",IF(G44&lt;1," ",(G44)/$D44))</f>
        <v xml:space="preserve"> </v>
      </c>
      <c r="I44" s="400"/>
      <c r="J44" s="341" t="str">
        <f>IF($D44&lt;1," ",IF(I44&lt;1," ",(I44)/$D44))</f>
        <v xml:space="preserve"> </v>
      </c>
      <c r="K44" s="400"/>
      <c r="L44" s="341" t="str">
        <f>IF($D44&lt;1," ",IF(K44&lt;1," ",(K44)/$D44))</f>
        <v xml:space="preserve"> </v>
      </c>
      <c r="M44" s="400"/>
      <c r="N44" s="534" t="str">
        <f>IF($D44&lt;1," ",IF(M44&lt;1," ",(M44)/$D44))</f>
        <v xml:space="preserve"> </v>
      </c>
      <c r="O44" s="400"/>
      <c r="P44" s="341" t="str">
        <f>IF($D44&lt;1," ",IF(O44&lt;1," ",(O44)/$D44))</f>
        <v xml:space="preserve"> </v>
      </c>
      <c r="Q44" s="400"/>
      <c r="R44" s="534" t="str">
        <f>IF($D44&lt;1," ",IF(Q44&lt;1," ",(Q44)/$D44))</f>
        <v xml:space="preserve"> </v>
      </c>
      <c r="S44" s="514"/>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567"/>
      <c r="AD44" s="1570">
        <f>+E44+G44+I44+K44+M44+O44+Q44+S44+U44+W44+Y44+AA44</f>
        <v>0</v>
      </c>
      <c r="AE44" s="401">
        <f>D44-AD44</f>
        <v>0</v>
      </c>
      <c r="AF44" s="777"/>
      <c r="AG44" s="1571" t="str">
        <f>IF(AD44=D44,"","Prior Year Transactions should be zero'd out by Year End")</f>
        <v/>
      </c>
    </row>
    <row r="45" spans="1:33" ht="15.75">
      <c r="A45" s="413" t="s">
        <v>499</v>
      </c>
      <c r="B45" s="398"/>
      <c r="C45" s="626">
        <v>9510</v>
      </c>
      <c r="D45" s="1019"/>
      <c r="E45" s="399"/>
      <c r="F45" s="341" t="str">
        <f>IF($D45&lt;1," ",IF(E45&lt;1," ",(E45)/$D45))</f>
        <v xml:space="preserve"> </v>
      </c>
      <c r="G45" s="400"/>
      <c r="H45" s="341" t="str">
        <f>IF($D45&lt;1," ",IF(G45&lt;1," ",(G45)/$D45))</f>
        <v xml:space="preserve"> </v>
      </c>
      <c r="I45" s="400"/>
      <c r="J45" s="341" t="str">
        <f>IF($D45&lt;1," ",IF(I45&lt;1," ",(I45)/$D45))</f>
        <v xml:space="preserve"> </v>
      </c>
      <c r="K45" s="400"/>
      <c r="L45" s="341" t="str">
        <f>IF($D45&lt;1," ",IF(K45&lt;1," ",(K45)/$D45))</f>
        <v xml:space="preserve"> </v>
      </c>
      <c r="M45" s="400"/>
      <c r="N45" s="534" t="str">
        <f>IF($D45&lt;1," ",IF(M45&lt;1," ",(M45)/$D45))</f>
        <v xml:space="preserve"> </v>
      </c>
      <c r="O45" s="400"/>
      <c r="P45" s="341" t="str">
        <f>IF($D45&lt;1," ",IF(O45&lt;1," ",(O45)/$D45))</f>
        <v xml:space="preserve"> </v>
      </c>
      <c r="Q45" s="400"/>
      <c r="R45" s="534" t="str">
        <f>IF($D45&lt;1," ",IF(Q45&lt;1," ",(Q45)/$D45))</f>
        <v xml:space="preserve"> </v>
      </c>
      <c r="S45" s="514"/>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567"/>
      <c r="AD45" s="1570">
        <f>+E45+G45+I45+K45+M45+O45+Q45+S45+U45+W45+Y45+AA45</f>
        <v>0</v>
      </c>
      <c r="AE45" s="401">
        <f>D45-AD45</f>
        <v>0</v>
      </c>
      <c r="AF45" s="777"/>
      <c r="AG45" s="1571" t="str">
        <f>IF(AD45=D45,"","Prior Year Transactions should be zero'd out by Year End")</f>
        <v/>
      </c>
    </row>
    <row r="46" spans="1:33" ht="15.75">
      <c r="A46" s="413" t="s">
        <v>500</v>
      </c>
      <c r="B46" s="398"/>
      <c r="C46" s="627">
        <v>9640</v>
      </c>
      <c r="D46" s="1020"/>
      <c r="E46" s="399"/>
      <c r="F46" s="341" t="str">
        <f>IF($D46&lt;1," ",IF(E46&lt;1," ",(E46)/$D46))</f>
        <v xml:space="preserve"> </v>
      </c>
      <c r="G46" s="400"/>
      <c r="H46" s="341" t="str">
        <f>IF($D46&lt;1," ",IF(G46&lt;1," ",(G46)/$D46))</f>
        <v xml:space="preserve"> </v>
      </c>
      <c r="I46" s="400"/>
      <c r="J46" s="341" t="str">
        <f>IF($D46&lt;1," ",IF(I46&lt;1," ",(I46)/$D46))</f>
        <v xml:space="preserve"> </v>
      </c>
      <c r="K46" s="400"/>
      <c r="L46" s="341" t="str">
        <f>IF($D46&lt;1," ",IF(K46&lt;1," ",(K46)/$D46))</f>
        <v xml:space="preserve"> </v>
      </c>
      <c r="M46" s="400"/>
      <c r="N46" s="534" t="str">
        <f>IF($D46&lt;1," ",IF(M46&lt;1," ",(M46)/$D46))</f>
        <v xml:space="preserve"> </v>
      </c>
      <c r="O46" s="400"/>
      <c r="P46" s="341" t="str">
        <f>IF($D46&lt;1," ",IF(O46&lt;1," ",(O46)/$D46))</f>
        <v xml:space="preserve"> </v>
      </c>
      <c r="Q46" s="400"/>
      <c r="R46" s="534" t="str">
        <f>IF($D46&lt;1," ",IF(Q46&lt;1," ",(Q46)/$D46))</f>
        <v xml:space="preserve"> </v>
      </c>
      <c r="S46" s="514"/>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567"/>
      <c r="AD46" s="1570">
        <f>+E46+G46+I46+K46+M46+O46+Q46+S46+U46+W46+Y46+AA46</f>
        <v>0</v>
      </c>
      <c r="AE46" s="401">
        <f>D46-AD46</f>
        <v>0</v>
      </c>
      <c r="AF46" s="777"/>
      <c r="AG46" s="1571" t="str">
        <f>IF(AD46=D46,"","Prior Year Transactions should be zero'd out by Year End")</f>
        <v/>
      </c>
    </row>
    <row r="47" spans="1:33" ht="15.75">
      <c r="A47" s="413" t="s">
        <v>501</v>
      </c>
      <c r="B47" s="398"/>
      <c r="C47" s="626">
        <v>9650</v>
      </c>
      <c r="D47" s="1019"/>
      <c r="E47" s="399"/>
      <c r="F47" s="341" t="str">
        <f>IF($D47&lt;1," ",IF(E47&lt;1," ",(E47)/$D47))</f>
        <v xml:space="preserve"> </v>
      </c>
      <c r="G47" s="400"/>
      <c r="H47" s="341" t="str">
        <f>IF($D47&lt;1," ",IF(G47&lt;1," ",(G47)/$D47))</f>
        <v xml:space="preserve"> </v>
      </c>
      <c r="I47" s="400"/>
      <c r="J47" s="341" t="str">
        <f>IF($D47&lt;1," ",IF(I47&lt;1," ",(I47)/$D47))</f>
        <v xml:space="preserve"> </v>
      </c>
      <c r="K47" s="400"/>
      <c r="L47" s="341" t="str">
        <f>IF($D47&lt;1," ",IF(K47&lt;1," ",(K47)/$D47))</f>
        <v xml:space="preserve"> </v>
      </c>
      <c r="M47" s="400"/>
      <c r="N47" s="534" t="str">
        <f>IF($D47&lt;1," ",IF(M47&lt;1," ",(M47)/$D47))</f>
        <v xml:space="preserve"> </v>
      </c>
      <c r="O47" s="400"/>
      <c r="P47" s="341" t="str">
        <f>IF($D47&lt;1," ",IF(O47&lt;1," ",(O47)/$D47))</f>
        <v xml:space="preserve"> </v>
      </c>
      <c r="Q47" s="400"/>
      <c r="R47" s="534" t="str">
        <f>IF($D47&lt;1," ",IF(Q47&lt;1," ",(Q47)/$D47))</f>
        <v xml:space="preserve"> </v>
      </c>
      <c r="S47" s="514"/>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567"/>
      <c r="AD47" s="1570">
        <f>+E47+G47+I47+K47+M47+O47+Q47+S47+U47+W47+Y47+AA47</f>
        <v>0</v>
      </c>
      <c r="AE47" s="401">
        <f>D47-AD47</f>
        <v>0</v>
      </c>
      <c r="AF47" s="777"/>
      <c r="AG47" s="1571" t="str">
        <f>IF(AD47=D47,"","Prior Year Transactions should be zero'd out by Year End")</f>
        <v/>
      </c>
    </row>
    <row r="48" spans="1:33" ht="16.5" thickBot="1">
      <c r="A48" s="70" t="s">
        <v>111</v>
      </c>
      <c r="B48" s="371"/>
      <c r="C48" s="71"/>
      <c r="D48" s="1045">
        <f>+D43+D44-D45-D46-D47</f>
        <v>0</v>
      </c>
      <c r="E48" s="773">
        <f>+E43+E44-E45-E46-E47</f>
        <v>0</v>
      </c>
      <c r="F48" s="386"/>
      <c r="G48" s="774">
        <f>+G43+G44-G45-G46-G47</f>
        <v>0</v>
      </c>
      <c r="H48" s="386"/>
      <c r="I48" s="774">
        <f>+I43+I44-I45-I46-I47</f>
        <v>0</v>
      </c>
      <c r="J48" s="386"/>
      <c r="K48" s="774">
        <f>+K43+K44-K45-K46-K47</f>
        <v>0</v>
      </c>
      <c r="L48" s="386"/>
      <c r="M48" s="774">
        <f>+M43+M44-M45-M46-M47</f>
        <v>0</v>
      </c>
      <c r="N48" s="536"/>
      <c r="O48" s="774">
        <f>+O43+O44-O45-O46-O47</f>
        <v>0</v>
      </c>
      <c r="P48" s="386"/>
      <c r="Q48" s="774">
        <f>+Q43+Q44-Q45-Q46-Q47</f>
        <v>0</v>
      </c>
      <c r="R48" s="536"/>
      <c r="S48" s="775">
        <f>+S43+S44-S45-S46-S47</f>
        <v>0</v>
      </c>
      <c r="T48" s="386"/>
      <c r="U48" s="774">
        <f>+U43+U44-U45-U46-U47</f>
        <v>0</v>
      </c>
      <c r="V48" s="386"/>
      <c r="W48" s="774">
        <f>+W43+W44-W45-W46-W47</f>
        <v>0</v>
      </c>
      <c r="X48" s="386"/>
      <c r="Y48" s="774">
        <f>+Y43+Y44-Y45-Y46-Y47</f>
        <v>0</v>
      </c>
      <c r="Z48" s="386"/>
      <c r="AA48" s="774">
        <f>+AA43+AA44-AA45-AA46-AA47</f>
        <v>0</v>
      </c>
      <c r="AB48" s="386"/>
      <c r="AC48" s="1564"/>
      <c r="AD48" s="776">
        <f>+AD43+AD44-AD45-AD46-AD47</f>
        <v>0</v>
      </c>
      <c r="AE48" s="776">
        <f>+AE43+AE44-AE45-AE46-AE47</f>
        <v>0</v>
      </c>
      <c r="AF48" s="1042"/>
    </row>
    <row r="49" spans="1:33" ht="15.75">
      <c r="A49" s="409"/>
      <c r="B49" s="372"/>
      <c r="C49" s="72"/>
      <c r="D49" s="72"/>
      <c r="E49" s="73"/>
      <c r="F49" s="197"/>
      <c r="G49" s="74"/>
      <c r="H49" s="197"/>
      <c r="I49" s="74"/>
      <c r="J49" s="197"/>
      <c r="K49" s="74"/>
      <c r="L49" s="197"/>
      <c r="M49" s="74"/>
      <c r="N49" s="197"/>
      <c r="O49" s="74"/>
      <c r="P49" s="197"/>
      <c r="Q49" s="74"/>
      <c r="R49" s="197"/>
      <c r="S49" s="74"/>
      <c r="T49" s="197"/>
      <c r="U49" s="74"/>
      <c r="V49" s="197"/>
      <c r="W49" s="74"/>
      <c r="X49" s="197"/>
      <c r="Y49" s="74"/>
      <c r="Z49" s="197"/>
      <c r="AA49" s="74"/>
      <c r="AB49" s="197"/>
      <c r="AC49" s="1024"/>
      <c r="AD49" s="1024"/>
      <c r="AE49" s="1024"/>
      <c r="AF49" s="1040"/>
    </row>
    <row r="50" spans="1:33" ht="15.75">
      <c r="A50" s="67" t="s">
        <v>116</v>
      </c>
      <c r="B50" s="181"/>
      <c r="C50" s="375"/>
      <c r="D50" s="375"/>
      <c r="E50" s="548"/>
      <c r="F50" s="533"/>
      <c r="G50" s="528"/>
      <c r="H50" s="533"/>
      <c r="I50" s="528"/>
      <c r="J50" s="533"/>
      <c r="K50" s="528"/>
      <c r="L50" s="533"/>
      <c r="M50" s="528"/>
      <c r="N50" s="533"/>
      <c r="O50" s="528"/>
      <c r="P50" s="533"/>
      <c r="Q50" s="528"/>
      <c r="R50" s="533"/>
      <c r="S50" s="528"/>
      <c r="T50" s="533"/>
      <c r="U50" s="528"/>
      <c r="V50" s="533"/>
      <c r="W50" s="528"/>
      <c r="X50" s="533"/>
      <c r="Y50" s="528"/>
      <c r="Z50" s="533"/>
      <c r="AA50" s="528"/>
      <c r="AB50" s="533"/>
      <c r="AC50" s="1028"/>
      <c r="AD50" s="1028"/>
      <c r="AE50" s="1028"/>
      <c r="AF50" s="1036"/>
    </row>
    <row r="51" spans="1:33" ht="15.75">
      <c r="A51" s="1816" t="s">
        <v>514</v>
      </c>
      <c r="B51" s="1817"/>
      <c r="C51" s="378"/>
      <c r="D51" s="1599"/>
      <c r="E51" s="399"/>
      <c r="F51" s="341" t="str">
        <f>IF($AE51&lt;1," ",IF(E51&lt;1," ",(E51)/$AE51))</f>
        <v xml:space="preserve"> </v>
      </c>
      <c r="G51" s="400"/>
      <c r="H51" s="341" t="str">
        <f>IF($AE51&lt;1," ",IF(G51&lt;1," ",(G51)/$AE51))</f>
        <v xml:space="preserve"> </v>
      </c>
      <c r="I51" s="400"/>
      <c r="J51" s="341" t="str">
        <f>IF($AE51&lt;1," ",IF(I51&lt;1," ",(I51)/$AE51))</f>
        <v xml:space="preserve"> </v>
      </c>
      <c r="K51" s="400"/>
      <c r="L51" s="341" t="str">
        <f>IF($AE51&lt;1," ",IF(K51&lt;1," ",(K51)/$AE51))</f>
        <v xml:space="preserve"> </v>
      </c>
      <c r="M51" s="400"/>
      <c r="N51" s="534" t="str">
        <f>IF($AE51&lt;1," ",IF(M51&lt;1," ",(M51)/$AE51))</f>
        <v xml:space="preserve"> </v>
      </c>
      <c r="O51" s="400"/>
      <c r="P51" s="341" t="str">
        <f>IF($AE51&lt;1," ",IF(O51&lt;1," ",(O51)/$AE51))</f>
        <v xml:space="preserve"> </v>
      </c>
      <c r="Q51" s="400"/>
      <c r="R51" s="534" t="str">
        <f>IF($AE51&lt;1," ",IF(Q51&lt;1," ",(Q51)/$AE51))</f>
        <v xml:space="preserve"> </v>
      </c>
      <c r="S51" s="514"/>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400"/>
      <c r="AD51" s="381">
        <f>D51+E51+G51+I51+K51+M51+O51+Q51+S51+U51+W51+Y51+AA51+AC51</f>
        <v>0</v>
      </c>
      <c r="AE51" s="778"/>
      <c r="AF51" s="779"/>
      <c r="AG51" s="1203"/>
    </row>
    <row r="52" spans="1:33" ht="15.75">
      <c r="A52" s="1816"/>
      <c r="B52" s="1817"/>
      <c r="C52" s="397"/>
      <c r="D52" s="1599"/>
      <c r="E52" s="399"/>
      <c r="F52" s="341" t="str">
        <f>IF($AE52&lt;1," ",IF(E52&lt;1," ",(E52)/$AE52))</f>
        <v xml:space="preserve"> </v>
      </c>
      <c r="G52" s="400"/>
      <c r="H52" s="341" t="str">
        <f>IF($AE52&lt;1," ",IF(G52&lt;1," ",(G52)/$AE52))</f>
        <v xml:space="preserve"> </v>
      </c>
      <c r="I52" s="400"/>
      <c r="J52" s="341" t="str">
        <f>IF($AE52&lt;1," ",IF(I52&lt;1," ",(I52)/$AE52))</f>
        <v xml:space="preserve"> </v>
      </c>
      <c r="K52" s="400"/>
      <c r="L52" s="341" t="str">
        <f>IF($AE52&lt;1," ",IF(K52&lt;1," ",(K52)/$AE52))</f>
        <v xml:space="preserve"> </v>
      </c>
      <c r="M52" s="400"/>
      <c r="N52" s="534" t="str">
        <f>IF($AE52&lt;1," ",IF(M52&lt;1," ",(M52)/$AE52))</f>
        <v xml:space="preserve"> </v>
      </c>
      <c r="O52" s="400"/>
      <c r="P52" s="341" t="str">
        <f>IF($AE52&lt;1," ",IF(O52&lt;1," ",(O52)/$AE52))</f>
        <v xml:space="preserve"> </v>
      </c>
      <c r="Q52" s="400"/>
      <c r="R52" s="534" t="str">
        <f>IF($AE52&lt;1," ",IF(Q52&lt;1," ",(Q52)/$AE52))</f>
        <v xml:space="preserve"> </v>
      </c>
      <c r="S52" s="514"/>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400"/>
      <c r="AD52" s="381">
        <f>+E52+G52+I52+K52+M52+O52+Q52+S52+U52+W52+Y52+AA52+AC52</f>
        <v>0</v>
      </c>
      <c r="AE52" s="780"/>
      <c r="AF52" s="781"/>
      <c r="AG52" s="1223"/>
    </row>
    <row r="53" spans="1:33" ht="15.75">
      <c r="A53" s="1816"/>
      <c r="B53" s="1817"/>
      <c r="C53" s="378"/>
      <c r="D53" s="1599"/>
      <c r="E53" s="399"/>
      <c r="F53" s="341" t="str">
        <f>IF($AE53&lt;1," ",IF(E53&lt;1," ",(E53)/$AE53))</f>
        <v xml:space="preserve"> </v>
      </c>
      <c r="G53" s="400"/>
      <c r="H53" s="341" t="str">
        <f>IF($AE53&lt;1," ",IF(G53&lt;1," ",(G53)/$AE53))</f>
        <v xml:space="preserve"> </v>
      </c>
      <c r="I53" s="400"/>
      <c r="J53" s="341" t="str">
        <f>IF($AE53&lt;1," ",IF(I53&lt;1," ",(I53)/$AE53))</f>
        <v xml:space="preserve"> </v>
      </c>
      <c r="K53" s="400"/>
      <c r="L53" s="341" t="str">
        <f>IF($AE53&lt;1," ",IF(K53&lt;1," ",(K53)/$AE53))</f>
        <v xml:space="preserve"> </v>
      </c>
      <c r="M53" s="400"/>
      <c r="N53" s="534" t="str">
        <f>IF($AE53&lt;1," ",IF(M53&lt;1," ",(M53)/$AE53))</f>
        <v xml:space="preserve"> </v>
      </c>
      <c r="O53" s="400"/>
      <c r="P53" s="341" t="str">
        <f>IF($AE53&lt;1," ",IF(O53&lt;1," ",(O53)/$AE53))</f>
        <v xml:space="preserve"> </v>
      </c>
      <c r="Q53" s="400"/>
      <c r="R53" s="534" t="str">
        <f>IF($AE53&lt;1," ",IF(Q53&lt;1," ",(Q53)/$AE53))</f>
        <v xml:space="preserve"> </v>
      </c>
      <c r="S53" s="514"/>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400"/>
      <c r="AD53" s="381">
        <f>+E53+G53+I53+K53+M53+O53+Q53+S53+U53+W53+Y53+AA53+AC53</f>
        <v>0</v>
      </c>
      <c r="AE53" s="780"/>
      <c r="AF53" s="781"/>
      <c r="AG53" s="1223"/>
    </row>
    <row r="54" spans="1:33" ht="15.75">
      <c r="A54" s="1816"/>
      <c r="B54" s="1817"/>
      <c r="C54" s="378"/>
      <c r="D54" s="1599"/>
      <c r="E54" s="399"/>
      <c r="F54" s="341" t="str">
        <f>IF($AE54&lt;1," ",IF(E54&lt;1," ",(E54)/$AE54))</f>
        <v xml:space="preserve"> </v>
      </c>
      <c r="G54" s="400"/>
      <c r="H54" s="341" t="str">
        <f>IF($AE54&lt;1," ",IF(G54&lt;1," ",(G54)/$AE54))</f>
        <v xml:space="preserve"> </v>
      </c>
      <c r="I54" s="400"/>
      <c r="J54" s="341" t="str">
        <f>IF($AE54&lt;1," ",IF(I54&lt;1," ",(I54)/$AE54))</f>
        <v xml:space="preserve"> </v>
      </c>
      <c r="K54" s="400"/>
      <c r="L54" s="341" t="str">
        <f>IF($AE54&lt;1," ",IF(K54&lt;1," ",(K54)/$AE54))</f>
        <v xml:space="preserve"> </v>
      </c>
      <c r="M54" s="400"/>
      <c r="N54" s="534" t="str">
        <f>IF($AE54&lt;1," ",IF(M54&lt;1," ",(M54)/$AE54))</f>
        <v xml:space="preserve"> </v>
      </c>
      <c r="O54" s="400"/>
      <c r="P54" s="341" t="str">
        <f>IF($AE54&lt;1," ",IF(O54&lt;1," ",(O54)/$AE54))</f>
        <v xml:space="preserve"> </v>
      </c>
      <c r="Q54" s="400"/>
      <c r="R54" s="534" t="str">
        <f>IF($AE54&lt;1," ",IF(Q54&lt;1," ",(Q54)/$AE54))</f>
        <v xml:space="preserve"> </v>
      </c>
      <c r="S54" s="514"/>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400"/>
      <c r="AD54" s="381">
        <f>+E54+G54+I54+K54+M54+O54+Q54+S54+U54+W54+Y54+AA54+AC54</f>
        <v>0</v>
      </c>
      <c r="AE54" s="780"/>
      <c r="AF54" s="781"/>
      <c r="AG54" s="1203"/>
    </row>
    <row r="55" spans="1:33" ht="15.75">
      <c r="A55" s="1816"/>
      <c r="B55" s="1817"/>
      <c r="C55" s="378"/>
      <c r="D55" s="1599"/>
      <c r="E55" s="399"/>
      <c r="F55" s="341" t="str">
        <f>IF($AE55&lt;1," ",IF(E55&lt;1," ",(E55)/$AE55))</f>
        <v xml:space="preserve"> </v>
      </c>
      <c r="G55" s="400"/>
      <c r="H55" s="341" t="str">
        <f>IF($AE55&lt;1," ",IF(G55&lt;1," ",(G55)/$AE55))</f>
        <v xml:space="preserve"> </v>
      </c>
      <c r="I55" s="400"/>
      <c r="J55" s="341" t="str">
        <f>IF($AE55&lt;1," ",IF(I55&lt;1," ",(I55)/$AE55))</f>
        <v xml:space="preserve"> </v>
      </c>
      <c r="K55" s="400"/>
      <c r="L55" s="341" t="str">
        <f>IF($AE55&lt;1," ",IF(K55&lt;1," ",(K55)/$AE55))</f>
        <v xml:space="preserve"> </v>
      </c>
      <c r="M55" s="400"/>
      <c r="N55" s="534" t="str">
        <f>IF($AE55&lt;1," ",IF(M55&lt;1," ",(M55)/$AE55))</f>
        <v xml:space="preserve"> </v>
      </c>
      <c r="O55" s="400"/>
      <c r="P55" s="341" t="str">
        <f>IF($AE55&lt;1," ",IF(O55&lt;1," ",(O55)/$AE55))</f>
        <v xml:space="preserve"> </v>
      </c>
      <c r="Q55" s="400"/>
      <c r="R55" s="534" t="str">
        <f>IF($AE55&lt;1," ",IF(Q55&lt;1," ",(Q55)/$AE55))</f>
        <v xml:space="preserve"> </v>
      </c>
      <c r="S55" s="514"/>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400"/>
      <c r="AD55" s="381">
        <f>+E55+G55+I55+K55+M55+O55+Q55+S55+U55+W55+Y55+AA55+AC55</f>
        <v>0</v>
      </c>
      <c r="AE55" s="780"/>
      <c r="AF55" s="781"/>
      <c r="AG55" s="1203"/>
    </row>
    <row r="56" spans="1:33" ht="16.5" thickBot="1">
      <c r="A56" s="70" t="s">
        <v>112</v>
      </c>
      <c r="B56" s="371"/>
      <c r="C56" s="71"/>
      <c r="D56" s="1077">
        <f>SUM(D51:D55)</f>
        <v>0</v>
      </c>
      <c r="E56" s="773">
        <f>SUM(E51:E55)</f>
        <v>0</v>
      </c>
      <c r="F56" s="386" t="s">
        <v>2</v>
      </c>
      <c r="G56" s="774">
        <f>SUM(G51:G55)</f>
        <v>0</v>
      </c>
      <c r="H56" s="386" t="s">
        <v>2</v>
      </c>
      <c r="I56" s="774">
        <f>SUM(I51:I55)</f>
        <v>0</v>
      </c>
      <c r="J56" s="386" t="s">
        <v>2</v>
      </c>
      <c r="K56" s="774">
        <f>SUM(K51:K55)</f>
        <v>0</v>
      </c>
      <c r="L56" s="386" t="s">
        <v>2</v>
      </c>
      <c r="M56" s="774">
        <f>SUM(M51:M55)</f>
        <v>0</v>
      </c>
      <c r="N56" s="536" t="s">
        <v>2</v>
      </c>
      <c r="O56" s="774">
        <f>SUM(O51:O55)</f>
        <v>0</v>
      </c>
      <c r="P56" s="386" t="s">
        <v>2</v>
      </c>
      <c r="Q56" s="774">
        <f>SUM(Q51:Q55)</f>
        <v>0</v>
      </c>
      <c r="R56" s="536" t="s">
        <v>2</v>
      </c>
      <c r="S56" s="775">
        <f>SUM(S51:S55)</f>
        <v>0</v>
      </c>
      <c r="T56" s="386" t="s">
        <v>2</v>
      </c>
      <c r="U56" s="774">
        <f>SUM(U51:U55)</f>
        <v>0</v>
      </c>
      <c r="V56" s="386" t="s">
        <v>2</v>
      </c>
      <c r="W56" s="774">
        <f>SUM(W51:W55)</f>
        <v>0</v>
      </c>
      <c r="X56" s="386" t="s">
        <v>2</v>
      </c>
      <c r="Y56" s="774">
        <f>SUM(Y51:Y55)</f>
        <v>0</v>
      </c>
      <c r="Z56" s="386" t="s">
        <v>2</v>
      </c>
      <c r="AA56" s="774">
        <f>SUM(AA51:AA55)</f>
        <v>0</v>
      </c>
      <c r="AB56" s="386" t="s">
        <v>2</v>
      </c>
      <c r="AC56" s="774">
        <f>SUM(AC51:AC55)</f>
        <v>0</v>
      </c>
      <c r="AD56" s="776">
        <f>SUM(AD51:AD55)</f>
        <v>0</v>
      </c>
      <c r="AE56" s="782"/>
      <c r="AF56" s="783"/>
      <c r="AG56" s="1203"/>
    </row>
    <row r="57" spans="1:33" ht="15.75">
      <c r="A57" s="785"/>
      <c r="B57" s="786"/>
      <c r="C57" s="375"/>
      <c r="D57" s="375"/>
      <c r="E57" s="548"/>
      <c r="F57" s="484"/>
      <c r="G57" s="528"/>
      <c r="H57" s="484"/>
      <c r="I57" s="528"/>
      <c r="J57" s="484"/>
      <c r="K57" s="528"/>
      <c r="L57" s="484"/>
      <c r="M57" s="528"/>
      <c r="N57" s="484"/>
      <c r="O57" s="528"/>
      <c r="P57" s="484"/>
      <c r="Q57" s="528"/>
      <c r="R57" s="484"/>
      <c r="S57" s="528"/>
      <c r="T57" s="484"/>
      <c r="U57" s="528"/>
      <c r="V57" s="484"/>
      <c r="W57" s="528"/>
      <c r="X57" s="484"/>
      <c r="Y57" s="528"/>
      <c r="Z57" s="484"/>
      <c r="AA57" s="528"/>
      <c r="AB57" s="484"/>
      <c r="AC57" s="1568"/>
      <c r="AD57" s="1036"/>
      <c r="AE57" s="1037"/>
      <c r="AF57" s="1043"/>
      <c r="AG57" s="1203"/>
    </row>
    <row r="58" spans="1:33" ht="16.5" thickBot="1">
      <c r="A58" s="402" t="s">
        <v>115</v>
      </c>
      <c r="B58" s="403"/>
      <c r="C58" s="378"/>
      <c r="D58" s="378"/>
      <c r="E58" s="773">
        <f>+E23-E34+E39+E48+E56</f>
        <v>-56286.234335550107</v>
      </c>
      <c r="F58" s="386"/>
      <c r="G58" s="774">
        <f>+G23-G34+G39+G48+G56</f>
        <v>-56286.234335550107</v>
      </c>
      <c r="H58" s="386"/>
      <c r="I58" s="774">
        <f>+I23-I34+I39+I48+I56</f>
        <v>-56286.234335550107</v>
      </c>
      <c r="J58" s="386"/>
      <c r="K58" s="774">
        <f>+K23-K34+K39+K48+K56</f>
        <v>-56286.234335550107</v>
      </c>
      <c r="L58" s="386"/>
      <c r="M58" s="774">
        <f>+M23-M34+M39+M48+M56</f>
        <v>-569.08333333325572</v>
      </c>
      <c r="N58" s="536"/>
      <c r="O58" s="774">
        <f>+O23-O34+O39+O48+O56</f>
        <v>-569.08333333325572</v>
      </c>
      <c r="P58" s="386"/>
      <c r="Q58" s="774">
        <f>+Q23-Q34+Q39+Q48+Q56</f>
        <v>-569.08333333325572</v>
      </c>
      <c r="R58" s="536"/>
      <c r="S58" s="775">
        <f>+S23-S34+S39+S48+S56</f>
        <v>-569.08333333325572</v>
      </c>
      <c r="T58" s="386"/>
      <c r="U58" s="774">
        <f>+U23-U34+U39+U48+U56</f>
        <v>-569.08333333325572</v>
      </c>
      <c r="V58" s="386"/>
      <c r="W58" s="774">
        <f>+W23-W34+W39+W48+W56</f>
        <v>-569.08333333325572</v>
      </c>
      <c r="X58" s="386"/>
      <c r="Y58" s="774">
        <f>+Y23-Y34+Y39+Y48+Y56</f>
        <v>-569.08333333325572</v>
      </c>
      <c r="Z58" s="386"/>
      <c r="AA58" s="774">
        <f>+AA23-AA34+AA39+AA48+AA56</f>
        <v>498693.70864893193</v>
      </c>
      <c r="AB58" s="386"/>
      <c r="AC58" s="1564">
        <f>+AC23-AC34+AC39+AC48+AC56</f>
        <v>0</v>
      </c>
      <c r="AD58" s="776">
        <f>+AD23-AD34+AD39+AD48+AD56</f>
        <v>269565.1879734043</v>
      </c>
      <c r="AE58" s="782"/>
      <c r="AF58" s="783"/>
      <c r="AG58" s="1203"/>
    </row>
    <row r="59" spans="1:33" ht="16.5" thickBot="1">
      <c r="A59" s="70"/>
      <c r="B59" s="371"/>
      <c r="C59" s="71"/>
      <c r="D59" s="71"/>
      <c r="E59" s="48"/>
      <c r="F59" s="198"/>
      <c r="G59" s="22"/>
      <c r="H59" s="198"/>
      <c r="I59" s="22"/>
      <c r="J59" s="198"/>
      <c r="K59" s="22"/>
      <c r="L59" s="198"/>
      <c r="M59" s="22"/>
      <c r="N59" s="198"/>
      <c r="O59" s="22"/>
      <c r="P59" s="198"/>
      <c r="Q59" s="22"/>
      <c r="R59" s="198"/>
      <c r="S59" s="22"/>
      <c r="T59" s="198"/>
      <c r="U59" s="22"/>
      <c r="V59" s="198"/>
      <c r="W59" s="22"/>
      <c r="X59" s="198"/>
      <c r="Y59" s="22"/>
      <c r="Z59" s="198"/>
      <c r="AA59" s="22"/>
      <c r="AB59" s="198"/>
      <c r="AC59" s="1569"/>
      <c r="AD59" s="192"/>
      <c r="AE59" s="782"/>
      <c r="AF59" s="783"/>
      <c r="AG59" s="1203"/>
    </row>
    <row r="60" spans="1:33" ht="16.5" thickBot="1">
      <c r="A60" s="70" t="s">
        <v>113</v>
      </c>
      <c r="B60" s="371"/>
      <c r="C60" s="71"/>
      <c r="D60" s="71"/>
      <c r="E60" s="773">
        <f>+E6+E58</f>
        <v>188704.76566444989</v>
      </c>
      <c r="F60" s="386"/>
      <c r="G60" s="774">
        <f>+G6+G58</f>
        <v>132418.53132889979</v>
      </c>
      <c r="H60" s="386"/>
      <c r="I60" s="774">
        <f>+I6+I58</f>
        <v>76132.296993349679</v>
      </c>
      <c r="J60" s="386"/>
      <c r="K60" s="774">
        <f>+K6+K58</f>
        <v>19846.062657799572</v>
      </c>
      <c r="L60" s="386"/>
      <c r="M60" s="774">
        <f>+M6+M58</f>
        <v>19276.979324466316</v>
      </c>
      <c r="N60" s="1003"/>
      <c r="O60" s="1004">
        <f>+O6+O58</f>
        <v>18707.89599113306</v>
      </c>
      <c r="P60" s="386"/>
      <c r="Q60" s="774">
        <f>+Q6+Q58</f>
        <v>18138.812657799805</v>
      </c>
      <c r="R60" s="536"/>
      <c r="S60" s="775">
        <f>+S6+S58</f>
        <v>17569.729324466549</v>
      </c>
      <c r="T60" s="386"/>
      <c r="U60" s="774">
        <f>+U6+U58</f>
        <v>17000.645991133293</v>
      </c>
      <c r="V60" s="386"/>
      <c r="W60" s="774">
        <f>+W6+W58</f>
        <v>16431.562657800037</v>
      </c>
      <c r="X60" s="386"/>
      <c r="Y60" s="774">
        <f>+Y6+Y58</f>
        <v>15862.479324466782</v>
      </c>
      <c r="Z60" s="386"/>
      <c r="AA60" s="774">
        <f>+AA6+AA58</f>
        <v>514556.18797339872</v>
      </c>
      <c r="AB60" s="386"/>
      <c r="AC60" s="1564">
        <f>+AC6+AC58</f>
        <v>514556.18797339872</v>
      </c>
      <c r="AD60" s="1241"/>
      <c r="AE60" s="1038"/>
      <c r="AF60" s="1044"/>
      <c r="AG60" s="1203"/>
    </row>
    <row r="62" spans="1:33" ht="16.5">
      <c r="AB62" s="1573" t="s">
        <v>502</v>
      </c>
      <c r="AC62" s="1574">
        <f>'Budget-Summary MYP'!F55</f>
        <v>463256.02864251914</v>
      </c>
    </row>
    <row r="63" spans="1:33" ht="17.25" thickBot="1">
      <c r="AB63" s="1575" t="s">
        <v>503</v>
      </c>
      <c r="AC63" s="1577">
        <f>AC60-AC62</f>
        <v>51300.159330879571</v>
      </c>
    </row>
    <row r="64" spans="1:33" ht="17.25" thickTop="1">
      <c r="AA64" s="1572"/>
    </row>
    <row r="65" spans="27:27" ht="15.75">
      <c r="AA65" s="986"/>
    </row>
  </sheetData>
  <sheetProtection password="D94D" sheet="1"/>
  <mergeCells count="10">
    <mergeCell ref="A55:B55"/>
    <mergeCell ref="G2:K2"/>
    <mergeCell ref="D40:D42"/>
    <mergeCell ref="AE40:AE42"/>
    <mergeCell ref="F1:L1"/>
    <mergeCell ref="T1:Z1"/>
    <mergeCell ref="A51:B51"/>
    <mergeCell ref="A52:B52"/>
    <mergeCell ref="A53:B53"/>
    <mergeCell ref="A54:B54"/>
  </mergeCells>
  <conditionalFormatting sqref="T1">
    <cfRule type="containsText" dxfId="336" priority="8" stopIfTrue="1" operator="containsText" text="Enter">
      <formula>NOT(ISERROR(SEARCH("Enter",T1)))</formula>
    </cfRule>
  </conditionalFormatting>
  <conditionalFormatting sqref="F1">
    <cfRule type="containsText" dxfId="335" priority="9" stopIfTrue="1" operator="containsText" text="Enter">
      <formula>NOT(ISERROR(SEARCH("Enter",F1)))</formula>
    </cfRule>
  </conditionalFormatting>
  <conditionalFormatting sqref="E60 G60 I60 K60 M60 O60 Q60 S60 U60 W60 Y60 AA60">
    <cfRule type="expression" dxfId="334" priority="7" stopIfTrue="1">
      <formula>"&lt;0"</formula>
    </cfRule>
  </conditionalFormatting>
  <conditionalFormatting sqref="AD47">
    <cfRule type="cellIs" dxfId="333" priority="2" stopIfTrue="1" operator="notEqual">
      <formula>$D$47</formula>
    </cfRule>
  </conditionalFormatting>
  <conditionalFormatting sqref="AD43">
    <cfRule type="cellIs" dxfId="332" priority="6" stopIfTrue="1" operator="notEqual">
      <formula>$D$43</formula>
    </cfRule>
  </conditionalFormatting>
  <conditionalFormatting sqref="AD44">
    <cfRule type="cellIs" dxfId="331" priority="5" stopIfTrue="1" operator="notEqual">
      <formula>$D$44</formula>
    </cfRule>
  </conditionalFormatting>
  <conditionalFormatting sqref="AD45">
    <cfRule type="cellIs" dxfId="330" priority="4" stopIfTrue="1" operator="notEqual">
      <formula>$D$45</formula>
    </cfRule>
  </conditionalFormatting>
  <conditionalFormatting sqref="AD46">
    <cfRule type="cellIs" dxfId="329" priority="3" stopIfTrue="1" operator="notEqual">
      <formula>$D$46</formula>
    </cfRule>
  </conditionalFormatting>
  <pageMargins left="0.7" right="0.7" top="0.75" bottom="0.75" header="0.3" footer="0.3"/>
  <pageSetup scale="51" fitToWidth="0" orientation="landscape" r:id="rId1"/>
  <headerFooter>
    <oddHeader>&amp;RPage &amp;P of &amp;N</oddHeader>
  </headerFooter>
  <colBreaks count="1" manualBreakCount="1">
    <brk id="18" max="1048575" man="1"/>
  </col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5">
    <tabColor theme="6" tint="-0.249977111117893"/>
  </sheetPr>
  <dimension ref="A1:AG65"/>
  <sheetViews>
    <sheetView showGridLines="0" zoomScale="70" zoomScaleNormal="70" zoomScaleSheetLayoutView="85" workbookViewId="0">
      <pane xSplit="4" ySplit="7" topLeftCell="O8" activePane="bottomRight" state="frozen"/>
      <selection pane="topRight" activeCell="E1" sqref="E1"/>
      <selection pane="bottomLeft" activeCell="A8" sqref="A8"/>
      <selection pane="bottomRight" activeCell="AC62" sqref="AC62:AC63"/>
    </sheetView>
  </sheetViews>
  <sheetFormatPr defaultRowHeight="12.75"/>
  <cols>
    <col min="1" max="1" width="2.5703125" customWidth="1"/>
    <col min="2" max="2" width="45.7109375" customWidth="1"/>
    <col min="3" max="3" width="14.7109375" customWidth="1"/>
    <col min="4" max="4" width="12.7109375" customWidth="1"/>
    <col min="5" max="5" width="13.28515625" customWidth="1"/>
    <col min="6" max="6" width="8.7109375" customWidth="1"/>
    <col min="7" max="7" width="13.28515625" customWidth="1"/>
    <col min="8" max="8" width="8.7109375" customWidth="1"/>
    <col min="9" max="9" width="13.28515625" customWidth="1"/>
    <col min="10" max="10" width="8.7109375" customWidth="1"/>
    <col min="11" max="11" width="13.28515625" customWidth="1"/>
    <col min="12" max="12" width="8.7109375" customWidth="1"/>
    <col min="13" max="13" width="13.28515625" customWidth="1"/>
    <col min="14" max="14" width="8.7109375" customWidth="1"/>
    <col min="15" max="15" width="13.28515625" customWidth="1"/>
    <col min="16" max="16" width="8.7109375" customWidth="1"/>
    <col min="17" max="17" width="13.28515625" customWidth="1"/>
    <col min="18" max="18" width="8.7109375" customWidth="1"/>
    <col min="19" max="19" width="13.42578125" customWidth="1"/>
    <col min="20" max="20" width="9.28515625" customWidth="1"/>
    <col min="21" max="21" width="13.42578125" customWidth="1"/>
    <col min="22" max="22" width="9.28515625" customWidth="1"/>
    <col min="23" max="23" width="13.42578125" customWidth="1"/>
    <col min="24" max="24" width="9.28515625" customWidth="1"/>
    <col min="25" max="25" width="13.42578125" customWidth="1"/>
    <col min="26" max="26" width="9.28515625" customWidth="1"/>
    <col min="27" max="27" width="13.42578125" customWidth="1"/>
    <col min="28" max="28" width="9.28515625" customWidth="1"/>
    <col min="29" max="29" width="13.42578125" style="175" customWidth="1"/>
    <col min="30" max="30" width="16.5703125" style="175" customWidth="1"/>
    <col min="31" max="32" width="13.7109375" style="175" customWidth="1"/>
    <col min="33" max="33" width="70.5703125" hidden="1" customWidth="1"/>
  </cols>
  <sheetData>
    <row r="1" spans="1:33" ht="16.5" thickBot="1">
      <c r="A1" s="177"/>
      <c r="B1" s="177"/>
      <c r="C1" s="177"/>
      <c r="D1" s="177"/>
      <c r="E1" s="1021"/>
      <c r="F1" s="1825" t="str">
        <f>IF('BUDGET-CERTIFICATION'!$H$1="","CHARTER NAME: Enter Charter Name on BUDGET-CERTIFICATION Worksheet",(CONCATENATE("CHARTER NAME: ",'BUDGET-CERTIFICATION'!$H$1)))</f>
        <v>CHARTER NAME: Elite Academic Academy - Virtual Prep Lucerne</v>
      </c>
      <c r="G1" s="1825"/>
      <c r="H1" s="1825"/>
      <c r="I1" s="1825"/>
      <c r="J1" s="1825"/>
      <c r="K1" s="1825"/>
      <c r="L1" s="1825"/>
      <c r="M1" s="1030"/>
      <c r="N1" s="179"/>
      <c r="O1" s="1031"/>
      <c r="P1" s="179"/>
      <c r="Q1" s="1021"/>
      <c r="R1" s="179"/>
      <c r="S1" s="1030"/>
      <c r="T1" s="1825" t="str">
        <f>IF('BUDGET-CERTIFICATION'!$H$1="","CHARTER NAME: Enter Charter Name on BUDGET-CERTIFICATION Worksheet",(CONCATENATE("CHARTER NAME: ",'BUDGET-CERTIFICATION'!$H$1)))</f>
        <v>CHARTER NAME: Elite Academic Academy - Virtual Prep Lucerne</v>
      </c>
      <c r="U1" s="1825"/>
      <c r="V1" s="1825"/>
      <c r="W1" s="1825"/>
      <c r="X1" s="1825"/>
      <c r="Y1" s="1825"/>
      <c r="Z1" s="1825"/>
      <c r="AA1" s="175"/>
      <c r="AD1" s="1024"/>
      <c r="AE1" s="1024"/>
      <c r="AF1" s="1024"/>
      <c r="AG1" s="1203"/>
    </row>
    <row r="2" spans="1:33" ht="15.75">
      <c r="B2" s="184" t="s">
        <v>117</v>
      </c>
      <c r="C2" s="97">
        <f>+'Budget-Cash Flow Year 1'!C2</f>
        <v>44727</v>
      </c>
      <c r="D2" s="185"/>
      <c r="E2" s="175"/>
      <c r="G2" s="1818" t="str">
        <f>""&amp;'Budget-ADA'!N7&amp;"  Budget Cash Flow"</f>
        <v>2023-24  Budget Cash Flow</v>
      </c>
      <c r="H2" s="1818"/>
      <c r="I2" s="1818"/>
      <c r="J2" s="1818"/>
      <c r="K2" s="1818"/>
      <c r="M2" s="1030"/>
      <c r="O2" s="1021"/>
      <c r="Q2" s="1024"/>
      <c r="S2" s="175"/>
      <c r="U2" s="1021"/>
      <c r="W2" s="1030" t="str">
        <f>+G2</f>
        <v>2023-24  Budget Cash Flow</v>
      </c>
      <c r="Y2" s="1021"/>
      <c r="AA2" s="1030"/>
      <c r="AC2" s="1024"/>
      <c r="AD2" s="1024"/>
      <c r="AE2" s="1024"/>
      <c r="AF2" s="1024"/>
      <c r="AG2" s="1203"/>
    </row>
    <row r="3" spans="1:33" ht="16.5" thickBot="1">
      <c r="A3" s="1586" t="str">
        <f>Instructions!H1</f>
        <v>Form Orignated 5/16/2022</v>
      </c>
      <c r="B3" s="1083"/>
      <c r="C3" s="23"/>
      <c r="D3" s="23"/>
      <c r="E3" s="21"/>
      <c r="F3" s="25"/>
      <c r="G3" s="1024"/>
      <c r="H3" s="25"/>
      <c r="I3" s="1024"/>
      <c r="J3" s="25"/>
      <c r="K3" s="1024"/>
      <c r="L3" s="25"/>
      <c r="M3" s="1024"/>
      <c r="N3" s="25"/>
      <c r="O3" s="1024"/>
      <c r="P3" s="25"/>
      <c r="Q3" s="1024"/>
      <c r="R3" s="25"/>
      <c r="S3" s="1024"/>
      <c r="T3" s="25"/>
      <c r="U3" s="1024"/>
      <c r="V3" s="25"/>
      <c r="W3" s="1024"/>
      <c r="X3" s="25"/>
      <c r="Y3" s="1024"/>
      <c r="Z3" s="25"/>
      <c r="AA3" s="1024"/>
      <c r="AB3" s="25"/>
      <c r="AC3" s="1024"/>
      <c r="AD3" s="1024"/>
      <c r="AE3" s="1024"/>
      <c r="AF3" s="1024"/>
      <c r="AG3" s="1203"/>
    </row>
    <row r="4" spans="1:33" ht="15.75">
      <c r="A4" s="404"/>
      <c r="B4" s="72"/>
      <c r="C4" s="72"/>
      <c r="D4" s="72"/>
      <c r="E4" s="1080" t="s">
        <v>79</v>
      </c>
      <c r="F4" s="405" t="s">
        <v>80</v>
      </c>
      <c r="G4" s="1025" t="s">
        <v>81</v>
      </c>
      <c r="H4" s="405" t="s">
        <v>80</v>
      </c>
      <c r="I4" s="1025" t="s">
        <v>83</v>
      </c>
      <c r="J4" s="405" t="s">
        <v>80</v>
      </c>
      <c r="K4" s="1025" t="s">
        <v>84</v>
      </c>
      <c r="L4" s="405" t="s">
        <v>80</v>
      </c>
      <c r="M4" s="1025" t="s">
        <v>85</v>
      </c>
      <c r="N4" s="405" t="s">
        <v>80</v>
      </c>
      <c r="O4" s="1025" t="s">
        <v>86</v>
      </c>
      <c r="P4" s="405" t="s">
        <v>80</v>
      </c>
      <c r="Q4" s="1025" t="s">
        <v>87</v>
      </c>
      <c r="R4" s="1005" t="s">
        <v>80</v>
      </c>
      <c r="S4" s="1025" t="s">
        <v>88</v>
      </c>
      <c r="T4" s="405" t="s">
        <v>80</v>
      </c>
      <c r="U4" s="1025" t="s">
        <v>89</v>
      </c>
      <c r="V4" s="405" t="s">
        <v>80</v>
      </c>
      <c r="W4" s="1025" t="s">
        <v>90</v>
      </c>
      <c r="X4" s="405" t="s">
        <v>80</v>
      </c>
      <c r="Y4" s="1025" t="s">
        <v>91</v>
      </c>
      <c r="Z4" s="405" t="s">
        <v>80</v>
      </c>
      <c r="AA4" s="1025" t="s">
        <v>92</v>
      </c>
      <c r="AB4" s="405" t="s">
        <v>80</v>
      </c>
      <c r="AC4" s="1025" t="s">
        <v>93</v>
      </c>
      <c r="AD4" s="1033"/>
      <c r="AE4" s="1033" t="s">
        <v>19</v>
      </c>
      <c r="AF4" s="1033"/>
      <c r="AG4" s="1203"/>
    </row>
    <row r="5" spans="1:33" ht="16.5" thickBot="1">
      <c r="A5" s="187"/>
      <c r="B5" s="23"/>
      <c r="C5" s="23"/>
      <c r="D5" s="23"/>
      <c r="E5" s="1081" t="s">
        <v>93</v>
      </c>
      <c r="F5" s="61" t="s">
        <v>94</v>
      </c>
      <c r="G5" s="1026" t="s">
        <v>93</v>
      </c>
      <c r="H5" s="61" t="s">
        <v>94</v>
      </c>
      <c r="I5" s="1026" t="s">
        <v>93</v>
      </c>
      <c r="J5" s="61" t="s">
        <v>94</v>
      </c>
      <c r="K5" s="1026" t="s">
        <v>93</v>
      </c>
      <c r="L5" s="61" t="s">
        <v>94</v>
      </c>
      <c r="M5" s="1026" t="s">
        <v>93</v>
      </c>
      <c r="N5" s="61" t="s">
        <v>94</v>
      </c>
      <c r="O5" s="1026" t="s">
        <v>93</v>
      </c>
      <c r="P5" s="61" t="s">
        <v>94</v>
      </c>
      <c r="Q5" s="1026" t="s">
        <v>93</v>
      </c>
      <c r="R5" s="1006" t="s">
        <v>94</v>
      </c>
      <c r="S5" s="1026" t="s">
        <v>93</v>
      </c>
      <c r="T5" s="61" t="s">
        <v>94</v>
      </c>
      <c r="U5" s="1026" t="s">
        <v>93</v>
      </c>
      <c r="V5" s="61" t="s">
        <v>94</v>
      </c>
      <c r="W5" s="1026" t="s">
        <v>93</v>
      </c>
      <c r="X5" s="61" t="s">
        <v>94</v>
      </c>
      <c r="Y5" s="1026" t="s">
        <v>93</v>
      </c>
      <c r="Z5" s="61" t="s">
        <v>94</v>
      </c>
      <c r="AA5" s="1026" t="s">
        <v>93</v>
      </c>
      <c r="AB5" s="61" t="s">
        <v>94</v>
      </c>
      <c r="AC5" s="1026" t="s">
        <v>95</v>
      </c>
      <c r="AD5" s="1034" t="s">
        <v>0</v>
      </c>
      <c r="AE5" s="1034" t="s">
        <v>16</v>
      </c>
      <c r="AF5" s="1034" t="s">
        <v>96</v>
      </c>
      <c r="AG5" s="1203"/>
    </row>
    <row r="6" spans="1:33" ht="17.25" thickTop="1" thickBot="1">
      <c r="A6" s="190" t="s">
        <v>97</v>
      </c>
      <c r="B6" s="181"/>
      <c r="D6" s="414" t="str">
        <f>""&amp;'Budget-DEBT'!$D$12&amp;" Cash="</f>
        <v>July 1, Cash=</v>
      </c>
      <c r="E6" s="1242">
        <f>'Budget-Cash Flow Year 1'!AA60</f>
        <v>514556.18797339872</v>
      </c>
      <c r="F6" s="62"/>
      <c r="G6" s="391">
        <f>+E60</f>
        <v>426858.97112722369</v>
      </c>
      <c r="H6" s="62"/>
      <c r="I6" s="391">
        <f>+G60</f>
        <v>339161.75428104866</v>
      </c>
      <c r="J6" s="62"/>
      <c r="K6" s="391">
        <f>+I60</f>
        <v>251464.53743487364</v>
      </c>
      <c r="L6" s="62"/>
      <c r="M6" s="391">
        <f>+K60</f>
        <v>163767.32058869861</v>
      </c>
      <c r="N6" s="62"/>
      <c r="O6" s="391">
        <f>+M60</f>
        <v>76070.103742523585</v>
      </c>
      <c r="P6" s="62"/>
      <c r="Q6" s="391">
        <f>+O60</f>
        <v>74757.206705023535</v>
      </c>
      <c r="R6" s="1007"/>
      <c r="S6" s="391">
        <f>+Q60</f>
        <v>73444.309667523485</v>
      </c>
      <c r="T6" s="62"/>
      <c r="U6" s="391">
        <f>+S60</f>
        <v>72131.412630023435</v>
      </c>
      <c r="V6" s="62"/>
      <c r="W6" s="391">
        <f>+U60</f>
        <v>70818.515592523385</v>
      </c>
      <c r="X6" s="62"/>
      <c r="Y6" s="391">
        <f>+W60</f>
        <v>69505.618555023335</v>
      </c>
      <c r="Z6" s="62"/>
      <c r="AA6" s="391">
        <f>+Y60</f>
        <v>68192.721517523285</v>
      </c>
      <c r="AB6" s="62"/>
      <c r="AC6" s="391">
        <f>+AA60</f>
        <v>437189.5858192984</v>
      </c>
      <c r="AD6" s="58"/>
      <c r="AE6" s="58"/>
      <c r="AF6" s="58"/>
      <c r="AG6" s="1203"/>
    </row>
    <row r="7" spans="1:33" ht="16.5" thickTop="1">
      <c r="A7" s="406"/>
      <c r="B7" s="370"/>
      <c r="C7" s="65"/>
      <c r="D7" s="65"/>
      <c r="E7" s="1082"/>
      <c r="F7" s="63"/>
      <c r="G7" s="1027"/>
      <c r="H7" s="63"/>
      <c r="I7" s="1027"/>
      <c r="J7" s="63"/>
      <c r="K7" s="1027"/>
      <c r="L7" s="63"/>
      <c r="M7" s="1027"/>
      <c r="N7" s="63"/>
      <c r="O7" s="1027"/>
      <c r="P7" s="63"/>
      <c r="Q7" s="1027"/>
      <c r="R7" s="63"/>
      <c r="S7" s="1027"/>
      <c r="T7" s="63"/>
      <c r="U7" s="1027"/>
      <c r="V7" s="63"/>
      <c r="W7" s="1027"/>
      <c r="X7" s="63"/>
      <c r="Y7" s="1027"/>
      <c r="Z7" s="63"/>
      <c r="AA7" s="1027"/>
      <c r="AB7" s="63"/>
      <c r="AC7" s="1027"/>
      <c r="AD7" s="1027"/>
      <c r="AE7" s="1027"/>
      <c r="AF7" s="1039"/>
      <c r="AG7" s="1203"/>
    </row>
    <row r="8" spans="1:33" ht="15.75">
      <c r="A8" s="67" t="s">
        <v>98</v>
      </c>
      <c r="B8" s="525"/>
      <c r="C8" s="375"/>
      <c r="D8" s="375"/>
      <c r="E8" s="548"/>
      <c r="F8" s="166"/>
      <c r="G8" s="1028"/>
      <c r="H8" s="166"/>
      <c r="I8" s="1028"/>
      <c r="J8" s="166"/>
      <c r="K8" s="1028"/>
      <c r="L8" s="166"/>
      <c r="M8" s="1028"/>
      <c r="N8" s="166"/>
      <c r="O8" s="1028"/>
      <c r="P8" s="166"/>
      <c r="Q8" s="1028"/>
      <c r="R8" s="166"/>
      <c r="S8" s="1028"/>
      <c r="T8" s="166"/>
      <c r="U8" s="1028"/>
      <c r="V8" s="166"/>
      <c r="W8" s="1028"/>
      <c r="X8" s="166"/>
      <c r="Y8" s="1028"/>
      <c r="Z8" s="166"/>
      <c r="AA8" s="1028"/>
      <c r="AB8" s="166"/>
      <c r="AC8" s="1028"/>
      <c r="AD8" s="1028"/>
      <c r="AE8" s="1028"/>
      <c r="AF8" s="1036"/>
      <c r="AG8" s="1203"/>
    </row>
    <row r="9" spans="1:33" ht="15.75">
      <c r="A9" s="408" t="s">
        <v>306</v>
      </c>
      <c r="B9" s="141"/>
      <c r="C9" s="141"/>
      <c r="D9" s="378"/>
      <c r="E9" s="383"/>
      <c r="F9" s="388"/>
      <c r="G9" s="1029"/>
      <c r="H9" s="388"/>
      <c r="I9" s="1029"/>
      <c r="J9" s="388"/>
      <c r="K9" s="1029"/>
      <c r="L9" s="388"/>
      <c r="M9" s="1029"/>
      <c r="N9" s="388"/>
      <c r="O9" s="1029"/>
      <c r="P9" s="388"/>
      <c r="Q9" s="1029"/>
      <c r="R9" s="388"/>
      <c r="S9" s="1032"/>
      <c r="T9" s="388"/>
      <c r="U9" s="1029"/>
      <c r="V9" s="388"/>
      <c r="W9" s="1029"/>
      <c r="X9" s="388"/>
      <c r="Y9" s="1029"/>
      <c r="Z9" s="388"/>
      <c r="AA9" s="1029"/>
      <c r="AB9" s="388"/>
      <c r="AC9" s="1032"/>
      <c r="AD9" s="1032"/>
      <c r="AE9" s="1032"/>
      <c r="AF9" s="389"/>
      <c r="AG9" s="1203"/>
    </row>
    <row r="10" spans="1:33" ht="15.75">
      <c r="A10" s="408"/>
      <c r="B10" s="280" t="s">
        <v>155</v>
      </c>
      <c r="C10" s="279">
        <v>8011</v>
      </c>
      <c r="D10" s="378"/>
      <c r="E10" s="379">
        <f>+'Budget-Summary MYP'!H13/12</f>
        <v>699872.12583333335</v>
      </c>
      <c r="F10" s="341">
        <f>IF($AE10&lt;1," ",IF(E10&lt;1," ",(E10)/$AE10))</f>
        <v>8.3333333333333343E-2</v>
      </c>
      <c r="G10" s="392">
        <f>+E10</f>
        <v>699872.12583333335</v>
      </c>
      <c r="H10" s="341">
        <f>IF($AE10&lt;1," ",IF(G10&lt;1," ",(G10)/$AE10))</f>
        <v>8.3333333333333343E-2</v>
      </c>
      <c r="I10" s="392">
        <f>+G10</f>
        <v>699872.12583333335</v>
      </c>
      <c r="J10" s="341">
        <f>IF($AE10&lt;1," ",IF(I10&lt;1," ",(I10)/$AE10))</f>
        <v>8.3333333333333343E-2</v>
      </c>
      <c r="K10" s="392">
        <f>+I10</f>
        <v>699872.12583333335</v>
      </c>
      <c r="L10" s="341">
        <f>IF($AE10&lt;1," ",IF(K10&lt;1," ",(K10)/$AE10))</f>
        <v>8.3333333333333343E-2</v>
      </c>
      <c r="M10" s="392">
        <f>+K10</f>
        <v>699872.12583333335</v>
      </c>
      <c r="N10" s="534">
        <f>IF($AE10&lt;1," ",IF(M10&lt;1," ",(M10)/$AE10))</f>
        <v>8.3333333333333343E-2</v>
      </c>
      <c r="O10" s="392">
        <f>+M10</f>
        <v>699872.12583333335</v>
      </c>
      <c r="P10" s="341">
        <f>IF($AE10&lt;1," ",IF(O10&lt;1," ",(O10)/$AE10))</f>
        <v>8.3333333333333343E-2</v>
      </c>
      <c r="Q10" s="392">
        <f>+O10</f>
        <v>699872.12583333335</v>
      </c>
      <c r="R10" s="534">
        <f>IF($AE10&lt;1," ",IF(Q10&lt;1," ",(Q10)/$AE10))</f>
        <v>8.3333333333333343E-2</v>
      </c>
      <c r="S10" s="392">
        <f>+Q10</f>
        <v>699872.12583333335</v>
      </c>
      <c r="T10" s="341">
        <f>IF($AE10&lt;1," ",IF(S10&lt;1," ",(S10)/$AE10))</f>
        <v>8.3333333333333343E-2</v>
      </c>
      <c r="U10" s="392">
        <f>+S10</f>
        <v>699872.12583333335</v>
      </c>
      <c r="V10" s="341">
        <f>IF($AE10&lt;1," ",IF(U10&lt;1," ",(U10)/$AE10))</f>
        <v>8.3333333333333343E-2</v>
      </c>
      <c r="W10" s="392">
        <f>+U10</f>
        <v>699872.12583333335</v>
      </c>
      <c r="X10" s="341">
        <f>IF($AE10&lt;1," ",IF(W10&lt;1," ",(W10)/$AE10))</f>
        <v>8.3333333333333343E-2</v>
      </c>
      <c r="Y10" s="392">
        <f>+W10</f>
        <v>699872.12583333335</v>
      </c>
      <c r="Z10" s="341">
        <f>IF($AE10&lt;1," ",IF(Y10&lt;1," ",(Y10)/$AE10))</f>
        <v>8.3333333333333343E-2</v>
      </c>
      <c r="AA10" s="392">
        <f>+Y10</f>
        <v>699872.12583333335</v>
      </c>
      <c r="AB10" s="341">
        <f>IF($AE10&lt;1," ",IF(AA10&lt;1," ",(AA10)/$AE10))</f>
        <v>8.3333333333333343E-2</v>
      </c>
      <c r="AC10" s="1562">
        <f>AE10-(E10+G10+I10+K10+M10+O10+Q10+S10+U10+W10+Y10+AA10)</f>
        <v>0</v>
      </c>
      <c r="AD10" s="381">
        <f>+E10+G10+I10+K10+M10+O10+Q10+S10+U10+W10+Y10+AA10+AC10</f>
        <v>8398465.5099999998</v>
      </c>
      <c r="AE10" s="381">
        <f>'Budget-Summary MYP'!H13</f>
        <v>8398465.5099999998</v>
      </c>
      <c r="AF10" s="381">
        <f>+AE10-AD10</f>
        <v>0</v>
      </c>
      <c r="AG10" s="1203"/>
    </row>
    <row r="11" spans="1:33" ht="15.75">
      <c r="A11" s="408"/>
      <c r="B11" s="280" t="s">
        <v>156</v>
      </c>
      <c r="C11" s="279">
        <v>8012</v>
      </c>
      <c r="D11" s="378"/>
      <c r="E11" s="379">
        <f>+'Budget-Summary MYP'!H14/12</f>
        <v>13116.666666666666</v>
      </c>
      <c r="F11" s="341">
        <f>IF($AE11&lt;1," ",IF(E11&lt;1," ",(E11)/$AE11))</f>
        <v>8.3333333333333329E-2</v>
      </c>
      <c r="G11" s="392">
        <f t="shared" ref="G11:AA22" si="0">+E11</f>
        <v>13116.666666666666</v>
      </c>
      <c r="H11" s="341">
        <f>IF($AE11&lt;1," ",IF(G11&lt;1," ",(G11)/$AE11))</f>
        <v>8.3333333333333329E-2</v>
      </c>
      <c r="I11" s="392">
        <f t="shared" si="0"/>
        <v>13116.666666666666</v>
      </c>
      <c r="J11" s="341">
        <f>IF($AE11&lt;1," ",IF(I11&lt;1," ",(I11)/$AE11))</f>
        <v>8.3333333333333329E-2</v>
      </c>
      <c r="K11" s="392">
        <f t="shared" si="0"/>
        <v>13116.666666666666</v>
      </c>
      <c r="L11" s="341">
        <f>IF($AE11&lt;1," ",IF(K11&lt;1," ",(K11)/$AE11))</f>
        <v>8.3333333333333329E-2</v>
      </c>
      <c r="M11" s="392">
        <f t="shared" si="0"/>
        <v>13116.666666666666</v>
      </c>
      <c r="N11" s="534">
        <f>IF($AE11&lt;1," ",IF(M11&lt;1," ",(M11)/$AE11))</f>
        <v>8.3333333333333329E-2</v>
      </c>
      <c r="O11" s="392">
        <f t="shared" si="0"/>
        <v>13116.666666666666</v>
      </c>
      <c r="P11" s="341">
        <f>IF($AE11&lt;1," ",IF(O11&lt;1," ",(O11)/$AE11))</f>
        <v>8.3333333333333329E-2</v>
      </c>
      <c r="Q11" s="392">
        <f t="shared" si="0"/>
        <v>13116.666666666666</v>
      </c>
      <c r="R11" s="534">
        <f>IF($AE11&lt;1," ",IF(Q11&lt;1," ",(Q11)/$AE11))</f>
        <v>8.3333333333333329E-2</v>
      </c>
      <c r="S11" s="392">
        <f t="shared" si="0"/>
        <v>13116.666666666666</v>
      </c>
      <c r="T11" s="341">
        <f>IF($AE11&lt;1," ",IF(S11&lt;1," ",(S11)/$AE11))</f>
        <v>8.3333333333333329E-2</v>
      </c>
      <c r="U11" s="392">
        <f t="shared" si="0"/>
        <v>13116.666666666666</v>
      </c>
      <c r="V11" s="341">
        <f>IF($AE11&lt;1," ",IF(U11&lt;1," ",(U11)/$AE11))</f>
        <v>8.3333333333333329E-2</v>
      </c>
      <c r="W11" s="392">
        <f t="shared" si="0"/>
        <v>13116.666666666666</v>
      </c>
      <c r="X11" s="341">
        <f>IF($AE11&lt;1," ",IF(W11&lt;1," ",(W11)/$AE11))</f>
        <v>8.3333333333333329E-2</v>
      </c>
      <c r="Y11" s="392">
        <f t="shared" si="0"/>
        <v>13116.666666666666</v>
      </c>
      <c r="Z11" s="341">
        <f>IF($AE11&lt;1," ",IF(Y11&lt;1," ",(Y11)/$AE11))</f>
        <v>8.3333333333333329E-2</v>
      </c>
      <c r="AA11" s="392">
        <f t="shared" si="0"/>
        <v>13116.666666666666</v>
      </c>
      <c r="AB11" s="341">
        <f>IF($AE11&lt;1," ",IF(AA11&lt;1," ",(AA11)/$AE11))</f>
        <v>8.3333333333333329E-2</v>
      </c>
      <c r="AC11" s="1562">
        <f t="shared" ref="AC11:AC22" si="1">AE11-(E11+G11+I11+K11+M11+O11+Q11+S11+U11+W11+Y11+AA11)</f>
        <v>0</v>
      </c>
      <c r="AD11" s="381">
        <f>+E11+G11+I11+K11+M11+O11+Q11+S11+U11+W11+Y11+AA11+AC11</f>
        <v>157400</v>
      </c>
      <c r="AE11" s="381">
        <f>'Budget-Summary MYP'!H14</f>
        <v>157400</v>
      </c>
      <c r="AF11" s="381">
        <f>+AE11-AD11</f>
        <v>0</v>
      </c>
      <c r="AG11" s="1203"/>
    </row>
    <row r="12" spans="1:33" ht="15.75">
      <c r="A12" s="408"/>
      <c r="B12" s="280" t="s">
        <v>304</v>
      </c>
      <c r="C12" s="279">
        <v>8019</v>
      </c>
      <c r="D12" s="347"/>
      <c r="E12" s="379">
        <f>+'Budget-Summary MYP'!H15/12</f>
        <v>0</v>
      </c>
      <c r="F12" s="341" t="str">
        <f>IF($AE12&lt;1," ",IF(E12&lt;1," ",(E12)/$AE12))</f>
        <v xml:space="preserve"> </v>
      </c>
      <c r="G12" s="392">
        <f t="shared" si="0"/>
        <v>0</v>
      </c>
      <c r="H12" s="341" t="str">
        <f>IF($AE12&lt;1," ",IF(G12&lt;1," ",(G12)/$AE12))</f>
        <v xml:space="preserve"> </v>
      </c>
      <c r="I12" s="392">
        <f t="shared" si="0"/>
        <v>0</v>
      </c>
      <c r="J12" s="341" t="str">
        <f>IF($AE12&lt;1," ",IF(I12&lt;1," ",(I12)/$AE12))</f>
        <v xml:space="preserve"> </v>
      </c>
      <c r="K12" s="392">
        <f t="shared" si="0"/>
        <v>0</v>
      </c>
      <c r="L12" s="341" t="str">
        <f>IF($AE12&lt;1," ",IF(K12&lt;1," ",(K12)/$AE12))</f>
        <v xml:space="preserve"> </v>
      </c>
      <c r="M12" s="392">
        <f t="shared" si="0"/>
        <v>0</v>
      </c>
      <c r="N12" s="534" t="str">
        <f>IF($AE12&lt;1," ",IF(M12&lt;1," ",(M12)/$AE12))</f>
        <v xml:space="preserve"> </v>
      </c>
      <c r="O12" s="392">
        <f t="shared" si="0"/>
        <v>0</v>
      </c>
      <c r="P12" s="341" t="str">
        <f>IF($AE12&lt;1," ",IF(O12&lt;1," ",(O12)/$AE12))</f>
        <v xml:space="preserve"> </v>
      </c>
      <c r="Q12" s="392">
        <f t="shared" si="0"/>
        <v>0</v>
      </c>
      <c r="R12" s="534" t="str">
        <f>IF($AE12&lt;1," ",IF(Q12&lt;1," ",(Q12)/$AE12))</f>
        <v xml:space="preserve"> </v>
      </c>
      <c r="S12" s="392">
        <f t="shared" si="0"/>
        <v>0</v>
      </c>
      <c r="T12" s="341" t="str">
        <f>IF($AE12&lt;1," ",IF(S12&lt;1," ",(S12)/$AE12))</f>
        <v xml:space="preserve"> </v>
      </c>
      <c r="U12" s="392">
        <f t="shared" si="0"/>
        <v>0</v>
      </c>
      <c r="V12" s="341" t="str">
        <f>IF($AE12&lt;1," ",IF(U12&lt;1," ",(U12)/$AE12))</f>
        <v xml:space="preserve"> </v>
      </c>
      <c r="W12" s="392">
        <f t="shared" si="0"/>
        <v>0</v>
      </c>
      <c r="X12" s="341" t="str">
        <f>IF($AE12&lt;1," ",IF(W12&lt;1," ",(W12)/$AE12))</f>
        <v xml:space="preserve"> </v>
      </c>
      <c r="Y12" s="392">
        <f t="shared" si="0"/>
        <v>0</v>
      </c>
      <c r="Z12" s="341" t="str">
        <f>IF($AE12&lt;1," ",IF(Y12&lt;1," ",(Y12)/$AE12))</f>
        <v xml:space="preserve"> </v>
      </c>
      <c r="AA12" s="392">
        <f t="shared" si="0"/>
        <v>0</v>
      </c>
      <c r="AB12" s="341" t="str">
        <f>IF($AE12&lt;1," ",IF(AA12&lt;1," ",(AA12)/$AE12))</f>
        <v xml:space="preserve"> </v>
      </c>
      <c r="AC12" s="1562">
        <f t="shared" si="1"/>
        <v>0</v>
      </c>
      <c r="AD12" s="381">
        <f>+E12+G12+I12+K12+M12+O12+Q12+S12+U12+W12+Y12+AA12+AC12</f>
        <v>0</v>
      </c>
      <c r="AE12" s="382">
        <f>'Budget-Summary MYP'!H15</f>
        <v>0</v>
      </c>
      <c r="AF12" s="381">
        <f>+AE12-AD12</f>
        <v>0</v>
      </c>
      <c r="AG12" s="1203"/>
    </row>
    <row r="13" spans="1:33" ht="15.75">
      <c r="A13" s="408"/>
      <c r="B13" s="280" t="s">
        <v>305</v>
      </c>
      <c r="C13" s="279">
        <v>8096</v>
      </c>
      <c r="D13" s="347"/>
      <c r="E13" s="379">
        <f>+'Budget-Summary MYP'!H16/12</f>
        <v>16938.2075</v>
      </c>
      <c r="F13" s="341">
        <f>IF($AE13&lt;1," ",IF(E13&lt;1," ",(E13)/$AE13))</f>
        <v>8.3333333333333343E-2</v>
      </c>
      <c r="G13" s="392">
        <f t="shared" si="0"/>
        <v>16938.2075</v>
      </c>
      <c r="H13" s="341">
        <f>IF($AE13&lt;1," ",IF(G13&lt;1," ",(G13)/$AE13))</f>
        <v>8.3333333333333343E-2</v>
      </c>
      <c r="I13" s="392">
        <f t="shared" si="0"/>
        <v>16938.2075</v>
      </c>
      <c r="J13" s="341">
        <f>IF($AE13&lt;1," ",IF(I13&lt;1," ",(I13)/$AE13))</f>
        <v>8.3333333333333343E-2</v>
      </c>
      <c r="K13" s="392">
        <f t="shared" si="0"/>
        <v>16938.2075</v>
      </c>
      <c r="L13" s="341">
        <f>IF($AE13&lt;1," ",IF(K13&lt;1," ",(K13)/$AE13))</f>
        <v>8.3333333333333343E-2</v>
      </c>
      <c r="M13" s="392">
        <f t="shared" si="0"/>
        <v>16938.2075</v>
      </c>
      <c r="N13" s="534">
        <f>IF($AE13&lt;1," ",IF(M13&lt;1," ",(M13)/$AE13))</f>
        <v>8.3333333333333343E-2</v>
      </c>
      <c r="O13" s="392">
        <f t="shared" si="0"/>
        <v>16938.2075</v>
      </c>
      <c r="P13" s="341">
        <f>IF($AE13&lt;1," ",IF(O13&lt;1," ",(O13)/$AE13))</f>
        <v>8.3333333333333343E-2</v>
      </c>
      <c r="Q13" s="392">
        <f t="shared" si="0"/>
        <v>16938.2075</v>
      </c>
      <c r="R13" s="534">
        <f>IF($AE13&lt;1," ",IF(Q13&lt;1," ",(Q13)/$AE13))</f>
        <v>8.3333333333333343E-2</v>
      </c>
      <c r="S13" s="392">
        <f t="shared" si="0"/>
        <v>16938.2075</v>
      </c>
      <c r="T13" s="341">
        <f>IF($AE13&lt;1," ",IF(S13&lt;1," ",(S13)/$AE13))</f>
        <v>8.3333333333333343E-2</v>
      </c>
      <c r="U13" s="392">
        <f t="shared" si="0"/>
        <v>16938.2075</v>
      </c>
      <c r="V13" s="341">
        <f>IF($AE13&lt;1," ",IF(U13&lt;1," ",(U13)/$AE13))</f>
        <v>8.3333333333333343E-2</v>
      </c>
      <c r="W13" s="392">
        <f t="shared" si="0"/>
        <v>16938.2075</v>
      </c>
      <c r="X13" s="341">
        <f>IF($AE13&lt;1," ",IF(W13&lt;1," ",(W13)/$AE13))</f>
        <v>8.3333333333333343E-2</v>
      </c>
      <c r="Y13" s="392">
        <f t="shared" si="0"/>
        <v>16938.2075</v>
      </c>
      <c r="Z13" s="341">
        <f>IF($AE13&lt;1," ",IF(Y13&lt;1," ",(Y13)/$AE13))</f>
        <v>8.3333333333333343E-2</v>
      </c>
      <c r="AA13" s="392">
        <f t="shared" si="0"/>
        <v>16938.2075</v>
      </c>
      <c r="AB13" s="341">
        <f>IF($AE13&lt;1," ",IF(AA13&lt;1," ",(AA13)/$AE13))</f>
        <v>8.3333333333333343E-2</v>
      </c>
      <c r="AC13" s="1562">
        <f t="shared" si="1"/>
        <v>0</v>
      </c>
      <c r="AD13" s="381">
        <f>+E13+G13+I13+K13+M13+O13+Q13+S13+U13+W13+Y13+AA13+AC13</f>
        <v>203258.48999999996</v>
      </c>
      <c r="AE13" s="381">
        <f>'Budget-Summary MYP'!H16</f>
        <v>203258.49</v>
      </c>
      <c r="AF13" s="381">
        <f>+AE13-AD13</f>
        <v>0</v>
      </c>
      <c r="AG13" s="1203"/>
    </row>
    <row r="14" spans="1:33" ht="15.75">
      <c r="A14" s="407" t="s">
        <v>307</v>
      </c>
      <c r="B14" s="278"/>
      <c r="C14" s="279" t="s">
        <v>99</v>
      </c>
      <c r="D14" s="378"/>
      <c r="E14" s="379">
        <f>+'Budget-Summary MYP'!H17/12</f>
        <v>0</v>
      </c>
      <c r="F14" s="341" t="str">
        <f>IF($AE14&lt;1," ",IF(E14&lt;1," ",(E14)/$AE14))</f>
        <v xml:space="preserve"> </v>
      </c>
      <c r="G14" s="392">
        <f t="shared" si="0"/>
        <v>0</v>
      </c>
      <c r="H14" s="341" t="str">
        <f>IF($AE14&lt;1," ",IF(G14&lt;1," ",(G14)/$AE14))</f>
        <v xml:space="preserve"> </v>
      </c>
      <c r="I14" s="392">
        <f t="shared" si="0"/>
        <v>0</v>
      </c>
      <c r="J14" s="341" t="str">
        <f>IF($AE14&lt;1," ",IF(I14&lt;1," ",(I14)/$AE14))</f>
        <v xml:space="preserve"> </v>
      </c>
      <c r="K14" s="392">
        <f t="shared" si="0"/>
        <v>0</v>
      </c>
      <c r="L14" s="341" t="str">
        <f>IF($AE14&lt;1," ",IF(K14&lt;1," ",(K14)/$AE14))</f>
        <v xml:space="preserve"> </v>
      </c>
      <c r="M14" s="392">
        <f t="shared" si="0"/>
        <v>0</v>
      </c>
      <c r="N14" s="534" t="str">
        <f>IF($AE14&lt;1," ",IF(M14&lt;1," ",(M14)/$AE14))</f>
        <v xml:space="preserve"> </v>
      </c>
      <c r="O14" s="392">
        <f t="shared" si="0"/>
        <v>0</v>
      </c>
      <c r="P14" s="341" t="str">
        <f>IF($AE14&lt;1," ",IF(O14&lt;1," ",(O14)/$AE14))</f>
        <v xml:space="preserve"> </v>
      </c>
      <c r="Q14" s="392">
        <f t="shared" si="0"/>
        <v>0</v>
      </c>
      <c r="R14" s="534" t="str">
        <f>IF($AE14&lt;1," ",IF(Q14&lt;1," ",(Q14)/$AE14))</f>
        <v xml:space="preserve"> </v>
      </c>
      <c r="S14" s="392">
        <f t="shared" si="0"/>
        <v>0</v>
      </c>
      <c r="T14" s="341" t="str">
        <f>IF($AE14&lt;1," ",IF(S14&lt;1," ",(S14)/$AE14))</f>
        <v xml:space="preserve"> </v>
      </c>
      <c r="U14" s="392">
        <f t="shared" si="0"/>
        <v>0</v>
      </c>
      <c r="V14" s="341" t="str">
        <f>IF($AE14&lt;1," ",IF(U14&lt;1," ",(U14)/$AE14))</f>
        <v xml:space="preserve"> </v>
      </c>
      <c r="W14" s="392">
        <f t="shared" si="0"/>
        <v>0</v>
      </c>
      <c r="X14" s="341" t="str">
        <f>IF($AE14&lt;1," ",IF(W14&lt;1," ",(W14)/$AE14))</f>
        <v xml:space="preserve"> </v>
      </c>
      <c r="Y14" s="392">
        <f t="shared" si="0"/>
        <v>0</v>
      </c>
      <c r="Z14" s="341" t="str">
        <f>IF($AE14&lt;1," ",IF(Y14&lt;1," ",(Y14)/$AE14))</f>
        <v xml:space="preserve"> </v>
      </c>
      <c r="AA14" s="392">
        <f t="shared" si="0"/>
        <v>0</v>
      </c>
      <c r="AB14" s="341" t="str">
        <f>IF($AE14&lt;1," ",IF(AA14&lt;1," ",(AA14)/$AE14))</f>
        <v xml:space="preserve"> </v>
      </c>
      <c r="AC14" s="1562">
        <f t="shared" si="1"/>
        <v>0</v>
      </c>
      <c r="AD14" s="381">
        <f>+E14+G14+I14+K14+M14+O14+Q14+S14+U14+W14+Y14+AA14+AC14</f>
        <v>0</v>
      </c>
      <c r="AE14" s="381">
        <f>'Budget-Summary MYP'!H17</f>
        <v>0</v>
      </c>
      <c r="AF14" s="381">
        <f t="shared" ref="AF14:AF22" si="2">+AE14-AD14</f>
        <v>0</v>
      </c>
      <c r="AG14" s="1203"/>
    </row>
    <row r="15" spans="1:33" ht="15.75">
      <c r="A15" s="408" t="s">
        <v>308</v>
      </c>
      <c r="B15" s="141"/>
      <c r="C15" s="141"/>
      <c r="D15" s="378"/>
      <c r="E15" s="383"/>
      <c r="F15" s="341"/>
      <c r="G15" s="513"/>
      <c r="H15" s="341"/>
      <c r="I15" s="513"/>
      <c r="J15" s="341"/>
      <c r="K15" s="513"/>
      <c r="L15" s="341"/>
      <c r="M15" s="513"/>
      <c r="N15" s="341"/>
      <c r="O15" s="513"/>
      <c r="P15" s="341"/>
      <c r="Q15" s="513"/>
      <c r="R15" s="341"/>
      <c r="S15" s="513"/>
      <c r="T15" s="341"/>
      <c r="U15" s="513"/>
      <c r="V15" s="341"/>
      <c r="W15" s="513"/>
      <c r="X15" s="341"/>
      <c r="Y15" s="513"/>
      <c r="Z15" s="341"/>
      <c r="AA15" s="513"/>
      <c r="AB15" s="341"/>
      <c r="AC15" s="1563"/>
      <c r="AD15" s="381"/>
      <c r="AE15" s="381"/>
      <c r="AF15" s="381"/>
      <c r="AG15" s="1203"/>
    </row>
    <row r="16" spans="1:33" ht="15.75">
      <c r="A16" s="408"/>
      <c r="B16" s="141" t="s">
        <v>309</v>
      </c>
      <c r="C16" s="279">
        <v>8560</v>
      </c>
      <c r="D16" s="378"/>
      <c r="E16" s="379">
        <f>+'Budget-Summary MYP'!H19/12</f>
        <v>11165.364438333332</v>
      </c>
      <c r="F16" s="341">
        <f>IF($AE16&lt;1," ",IF(E16&lt;1," ",(E16)/$AE16))</f>
        <v>8.3333333333333329E-2</v>
      </c>
      <c r="G16" s="392">
        <f t="shared" si="0"/>
        <v>11165.364438333332</v>
      </c>
      <c r="H16" s="341">
        <f>IF($AE16&lt;1," ",IF(G16&lt;1," ",(G16)/$AE16))</f>
        <v>8.3333333333333329E-2</v>
      </c>
      <c r="I16" s="392">
        <f t="shared" si="0"/>
        <v>11165.364438333332</v>
      </c>
      <c r="J16" s="341">
        <f>IF($AE16&lt;1," ",IF(I16&lt;1," ",(I16)/$AE16))</f>
        <v>8.3333333333333329E-2</v>
      </c>
      <c r="K16" s="392">
        <f t="shared" si="0"/>
        <v>11165.364438333332</v>
      </c>
      <c r="L16" s="341">
        <f>IF($AE16&lt;1," ",IF(K16&lt;1," ",(K16)/$AE16))</f>
        <v>8.3333333333333329E-2</v>
      </c>
      <c r="M16" s="392">
        <f t="shared" si="0"/>
        <v>11165.364438333332</v>
      </c>
      <c r="N16" s="534">
        <f>IF($AE16&lt;1," ",IF(M16&lt;1," ",(M16)/$AE16))</f>
        <v>8.3333333333333329E-2</v>
      </c>
      <c r="O16" s="392">
        <f t="shared" si="0"/>
        <v>11165.364438333332</v>
      </c>
      <c r="P16" s="341">
        <f>IF($AE16&lt;1," ",IF(O16&lt;1," ",(O16)/$AE16))</f>
        <v>8.3333333333333329E-2</v>
      </c>
      <c r="Q16" s="392">
        <f t="shared" si="0"/>
        <v>11165.364438333332</v>
      </c>
      <c r="R16" s="534">
        <f>IF($AE16&lt;1," ",IF(Q16&lt;1," ",(Q16)/$AE16))</f>
        <v>8.3333333333333329E-2</v>
      </c>
      <c r="S16" s="392">
        <f t="shared" si="0"/>
        <v>11165.364438333332</v>
      </c>
      <c r="T16" s="341">
        <f>IF($AE16&lt;1," ",IF(S16&lt;1," ",(S16)/$AE16))</f>
        <v>8.3333333333333329E-2</v>
      </c>
      <c r="U16" s="392">
        <f t="shared" si="0"/>
        <v>11165.364438333332</v>
      </c>
      <c r="V16" s="341">
        <f>IF($AE16&lt;1," ",IF(U16&lt;1," ",(U16)/$AE16))</f>
        <v>8.3333333333333329E-2</v>
      </c>
      <c r="W16" s="392">
        <f t="shared" si="0"/>
        <v>11165.364438333332</v>
      </c>
      <c r="X16" s="341">
        <f>IF($AE16&lt;1," ",IF(W16&lt;1," ",(W16)/$AE16))</f>
        <v>8.3333333333333329E-2</v>
      </c>
      <c r="Y16" s="392">
        <f t="shared" si="0"/>
        <v>11165.364438333332</v>
      </c>
      <c r="Z16" s="341">
        <f>IF($AE16&lt;1," ",IF(Y16&lt;1," ",(Y16)/$AE16))</f>
        <v>8.3333333333333329E-2</v>
      </c>
      <c r="AA16" s="392">
        <f t="shared" si="0"/>
        <v>11165.364438333332</v>
      </c>
      <c r="AB16" s="341">
        <f>IF($AE16&lt;1," ",IF(AA16&lt;1," ",(AA16)/$AE16))</f>
        <v>8.3333333333333329E-2</v>
      </c>
      <c r="AC16" s="1562">
        <f t="shared" si="1"/>
        <v>0</v>
      </c>
      <c r="AD16" s="381">
        <f>+E16+G16+I16+K16+M16+O16+Q16+S16+U16+W16+Y16+AA16+AC16</f>
        <v>133984.37325999999</v>
      </c>
      <c r="AE16" s="381">
        <f>'Budget-Summary MYP'!H19</f>
        <v>133984.37325999999</v>
      </c>
      <c r="AF16" s="381">
        <f t="shared" si="2"/>
        <v>0</v>
      </c>
      <c r="AG16" s="1203"/>
    </row>
    <row r="17" spans="1:33" ht="15.75">
      <c r="A17" s="408"/>
      <c r="B17" s="141" t="s">
        <v>310</v>
      </c>
      <c r="C17" s="279">
        <v>8560</v>
      </c>
      <c r="D17" s="378"/>
      <c r="E17" s="379">
        <f>+'Budget-Summary MYP'!H20/12</f>
        <v>0</v>
      </c>
      <c r="F17" s="341" t="str">
        <f>IF($AE17&lt;1," ",IF(E17&lt;1," ",(E17)/$AE17))</f>
        <v xml:space="preserve"> </v>
      </c>
      <c r="G17" s="392">
        <f t="shared" si="0"/>
        <v>0</v>
      </c>
      <c r="H17" s="341" t="str">
        <f>IF($AE17&lt;1," ",IF(G17&lt;1," ",(G17)/$AE17))</f>
        <v xml:space="preserve"> </v>
      </c>
      <c r="I17" s="392">
        <f t="shared" si="0"/>
        <v>0</v>
      </c>
      <c r="J17" s="341" t="str">
        <f>IF($AE17&lt;1," ",IF(I17&lt;1," ",(I17)/$AE17))</f>
        <v xml:space="preserve"> </v>
      </c>
      <c r="K17" s="392">
        <f t="shared" si="0"/>
        <v>0</v>
      </c>
      <c r="L17" s="341" t="str">
        <f>IF($AE17&lt;1," ",IF(K17&lt;1," ",(K17)/$AE17))</f>
        <v xml:space="preserve"> </v>
      </c>
      <c r="M17" s="392">
        <f t="shared" si="0"/>
        <v>0</v>
      </c>
      <c r="N17" s="534" t="str">
        <f>IF($AE17&lt;1," ",IF(M17&lt;1," ",(M17)/$AE17))</f>
        <v xml:space="preserve"> </v>
      </c>
      <c r="O17" s="392">
        <f t="shared" si="0"/>
        <v>0</v>
      </c>
      <c r="P17" s="341" t="str">
        <f>IF($AE17&lt;1," ",IF(O17&lt;1," ",(O17)/$AE17))</f>
        <v xml:space="preserve"> </v>
      </c>
      <c r="Q17" s="392">
        <f t="shared" si="0"/>
        <v>0</v>
      </c>
      <c r="R17" s="534" t="str">
        <f>IF($AE17&lt;1," ",IF(Q17&lt;1," ",(Q17)/$AE17))</f>
        <v xml:space="preserve"> </v>
      </c>
      <c r="S17" s="392">
        <f t="shared" si="0"/>
        <v>0</v>
      </c>
      <c r="T17" s="341" t="str">
        <f>IF($AE17&lt;1," ",IF(S17&lt;1," ",(S17)/$AE17))</f>
        <v xml:space="preserve"> </v>
      </c>
      <c r="U17" s="392">
        <f t="shared" si="0"/>
        <v>0</v>
      </c>
      <c r="V17" s="341" t="str">
        <f>IF($AE17&lt;1," ",IF(U17&lt;1," ",(U17)/$AE17))</f>
        <v xml:space="preserve"> </v>
      </c>
      <c r="W17" s="392">
        <f t="shared" si="0"/>
        <v>0</v>
      </c>
      <c r="X17" s="341" t="str">
        <f>IF($AE17&lt;1," ",IF(W17&lt;1," ",(W17)/$AE17))</f>
        <v xml:space="preserve"> </v>
      </c>
      <c r="Y17" s="392">
        <f t="shared" si="0"/>
        <v>0</v>
      </c>
      <c r="Z17" s="341" t="str">
        <f>IF($AE17&lt;1," ",IF(Y17&lt;1," ",(Y17)/$AE17))</f>
        <v xml:space="preserve"> </v>
      </c>
      <c r="AA17" s="392">
        <f t="shared" si="0"/>
        <v>0</v>
      </c>
      <c r="AB17" s="341" t="str">
        <f>IF($AE17&lt;1," ",IF(AA17&lt;1," ",(AA17)/$AE17))</f>
        <v xml:space="preserve"> </v>
      </c>
      <c r="AC17" s="1562">
        <f t="shared" si="1"/>
        <v>0</v>
      </c>
      <c r="AD17" s="381">
        <f>+E17+G17+I17+K17+M17+O17+Q17+S17+U17+W17+Y17+AA17+AC17</f>
        <v>0</v>
      </c>
      <c r="AE17" s="381">
        <f>'Budget-Summary MYP'!H20</f>
        <v>0</v>
      </c>
      <c r="AF17" s="381">
        <f>+AE17-AD17</f>
        <v>0</v>
      </c>
      <c r="AG17" s="1203"/>
    </row>
    <row r="18" spans="1:33" ht="15.75">
      <c r="A18" s="408"/>
      <c r="B18" s="141" t="s">
        <v>311</v>
      </c>
      <c r="C18" s="279" t="s">
        <v>100</v>
      </c>
      <c r="D18" s="378"/>
      <c r="E18" s="379">
        <f>+'Budget-Summary MYP'!H21/12</f>
        <v>0</v>
      </c>
      <c r="F18" s="341" t="str">
        <f>IF($AE18&lt;1," ",IF(E18&lt;1," ",(E18)/$AE18))</f>
        <v xml:space="preserve"> </v>
      </c>
      <c r="G18" s="392">
        <f t="shared" si="0"/>
        <v>0</v>
      </c>
      <c r="H18" s="341" t="str">
        <f>IF($AE18&lt;1," ",IF(G18&lt;1," ",(G18)/$AE18))</f>
        <v xml:space="preserve"> </v>
      </c>
      <c r="I18" s="392">
        <f t="shared" si="0"/>
        <v>0</v>
      </c>
      <c r="J18" s="341" t="str">
        <f>IF($AE18&lt;1," ",IF(I18&lt;1," ",(I18)/$AE18))</f>
        <v xml:space="preserve"> </v>
      </c>
      <c r="K18" s="392">
        <f t="shared" si="0"/>
        <v>0</v>
      </c>
      <c r="L18" s="341" t="str">
        <f>IF($AE18&lt;1," ",IF(K18&lt;1," ",(K18)/$AE18))</f>
        <v xml:space="preserve"> </v>
      </c>
      <c r="M18" s="392">
        <f t="shared" si="0"/>
        <v>0</v>
      </c>
      <c r="N18" s="534" t="str">
        <f>IF($AE18&lt;1," ",IF(M18&lt;1," ",(M18)/$AE18))</f>
        <v xml:space="preserve"> </v>
      </c>
      <c r="O18" s="392">
        <f t="shared" si="0"/>
        <v>0</v>
      </c>
      <c r="P18" s="341" t="str">
        <f>IF($AE18&lt;1," ",IF(O18&lt;1," ",(O18)/$AE18))</f>
        <v xml:space="preserve"> </v>
      </c>
      <c r="Q18" s="392">
        <f t="shared" si="0"/>
        <v>0</v>
      </c>
      <c r="R18" s="534" t="str">
        <f>IF($AE18&lt;1," ",IF(Q18&lt;1," ",(Q18)/$AE18))</f>
        <v xml:space="preserve"> </v>
      </c>
      <c r="S18" s="392">
        <f t="shared" si="0"/>
        <v>0</v>
      </c>
      <c r="T18" s="341" t="str">
        <f>IF($AE18&lt;1," ",IF(S18&lt;1," ",(S18)/$AE18))</f>
        <v xml:space="preserve"> </v>
      </c>
      <c r="U18" s="392">
        <f t="shared" si="0"/>
        <v>0</v>
      </c>
      <c r="V18" s="341" t="str">
        <f>IF($AE18&lt;1," ",IF(U18&lt;1," ",(U18)/$AE18))</f>
        <v xml:space="preserve"> </v>
      </c>
      <c r="W18" s="392">
        <f t="shared" si="0"/>
        <v>0</v>
      </c>
      <c r="X18" s="341" t="str">
        <f>IF($AE18&lt;1," ",IF(W18&lt;1," ",(W18)/$AE18))</f>
        <v xml:space="preserve"> </v>
      </c>
      <c r="Y18" s="392">
        <f t="shared" si="0"/>
        <v>0</v>
      </c>
      <c r="Z18" s="341" t="str">
        <f>IF($AE18&lt;1," ",IF(Y18&lt;1," ",(Y18)/$AE18))</f>
        <v xml:space="preserve"> </v>
      </c>
      <c r="AA18" s="392">
        <f t="shared" si="0"/>
        <v>0</v>
      </c>
      <c r="AB18" s="341" t="str">
        <f>IF($AE18&lt;1," ",IF(AA18&lt;1," ",(AA18)/$AE18))</f>
        <v xml:space="preserve"> </v>
      </c>
      <c r="AC18" s="1562">
        <f t="shared" si="1"/>
        <v>0</v>
      </c>
      <c r="AD18" s="381">
        <f>+E18+G18+I18+K18+M18+O18+Q18+S18+U18+W18+Y18+AA18+AC18</f>
        <v>0</v>
      </c>
      <c r="AE18" s="381">
        <f>'Budget-Summary MYP'!H21</f>
        <v>0</v>
      </c>
      <c r="AF18" s="381">
        <f t="shared" si="2"/>
        <v>0</v>
      </c>
      <c r="AG18" s="1203"/>
    </row>
    <row r="19" spans="1:33" ht="15.75">
      <c r="A19" s="408" t="s">
        <v>312</v>
      </c>
      <c r="B19" s="141"/>
      <c r="C19" s="141"/>
      <c r="D19" s="378"/>
      <c r="E19" s="383"/>
      <c r="F19" s="341"/>
      <c r="G19" s="513"/>
      <c r="H19" s="341"/>
      <c r="I19" s="513"/>
      <c r="J19" s="341"/>
      <c r="K19" s="513"/>
      <c r="L19" s="341"/>
      <c r="M19" s="513"/>
      <c r="N19" s="341"/>
      <c r="O19" s="513"/>
      <c r="P19" s="341"/>
      <c r="Q19" s="513"/>
      <c r="R19" s="341"/>
      <c r="S19" s="513"/>
      <c r="T19" s="341"/>
      <c r="U19" s="513"/>
      <c r="V19" s="341"/>
      <c r="W19" s="513"/>
      <c r="X19" s="341"/>
      <c r="Y19" s="513"/>
      <c r="Z19" s="341"/>
      <c r="AA19" s="513"/>
      <c r="AB19" s="341"/>
      <c r="AC19" s="1563"/>
      <c r="AD19" s="381"/>
      <c r="AE19" s="381"/>
      <c r="AF19" s="381"/>
      <c r="AG19" s="1203"/>
    </row>
    <row r="20" spans="1:33" ht="15.75">
      <c r="A20" s="408"/>
      <c r="B20" s="141" t="s">
        <v>239</v>
      </c>
      <c r="C20" s="279">
        <v>8660</v>
      </c>
      <c r="D20" s="378"/>
      <c r="E20" s="379">
        <f>+'Budget-Summary MYP'!H23/12</f>
        <v>0</v>
      </c>
      <c r="F20" s="341" t="str">
        <f>IF($AE20&lt;1," ",IF(E20&lt;1," ",(E20)/$AE20))</f>
        <v xml:space="preserve"> </v>
      </c>
      <c r="G20" s="392">
        <f t="shared" si="0"/>
        <v>0</v>
      </c>
      <c r="H20" s="341" t="str">
        <f>IF($AE20&lt;1," ",IF(G20&lt;1," ",(G20)/$AE20))</f>
        <v xml:space="preserve"> </v>
      </c>
      <c r="I20" s="392">
        <f t="shared" si="0"/>
        <v>0</v>
      </c>
      <c r="J20" s="341" t="str">
        <f>IF($AE20&lt;1," ",IF(I20&lt;1," ",(I20)/$AE20))</f>
        <v xml:space="preserve"> </v>
      </c>
      <c r="K20" s="392">
        <f t="shared" si="0"/>
        <v>0</v>
      </c>
      <c r="L20" s="341" t="str">
        <f>IF($AE20&lt;1," ",IF(K20&lt;1," ",(K20)/$AE20))</f>
        <v xml:space="preserve"> </v>
      </c>
      <c r="M20" s="392">
        <f t="shared" si="0"/>
        <v>0</v>
      </c>
      <c r="N20" s="534" t="str">
        <f>IF($AE20&lt;1," ",IF(M20&lt;1," ",(M20)/$AE20))</f>
        <v xml:space="preserve"> </v>
      </c>
      <c r="O20" s="392">
        <f t="shared" si="0"/>
        <v>0</v>
      </c>
      <c r="P20" s="341" t="str">
        <f>IF($AE20&lt;1," ",IF(O20&lt;1," ",(O20)/$AE20))</f>
        <v xml:space="preserve"> </v>
      </c>
      <c r="Q20" s="392">
        <f t="shared" si="0"/>
        <v>0</v>
      </c>
      <c r="R20" s="534" t="str">
        <f>IF($AE20&lt;1," ",IF(Q20&lt;1," ",(Q20)/$AE20))</f>
        <v xml:space="preserve"> </v>
      </c>
      <c r="S20" s="392">
        <f t="shared" si="0"/>
        <v>0</v>
      </c>
      <c r="T20" s="341" t="str">
        <f>IF($AE20&lt;1," ",IF(S20&lt;1," ",(S20)/$AE20))</f>
        <v xml:space="preserve"> </v>
      </c>
      <c r="U20" s="392">
        <f t="shared" si="0"/>
        <v>0</v>
      </c>
      <c r="V20" s="341" t="str">
        <f>IF($AE20&lt;1," ",IF(U20&lt;1," ",(U20)/$AE20))</f>
        <v xml:space="preserve"> </v>
      </c>
      <c r="W20" s="392">
        <f t="shared" si="0"/>
        <v>0</v>
      </c>
      <c r="X20" s="341" t="str">
        <f>IF($AE20&lt;1," ",IF(W20&lt;1," ",(W20)/$AE20))</f>
        <v xml:space="preserve"> </v>
      </c>
      <c r="Y20" s="392">
        <f t="shared" si="0"/>
        <v>0</v>
      </c>
      <c r="Z20" s="341" t="str">
        <f>IF($AE20&lt;1," ",IF(Y20&lt;1," ",(Y20)/$AE20))</f>
        <v xml:space="preserve"> </v>
      </c>
      <c r="AA20" s="392">
        <f t="shared" si="0"/>
        <v>0</v>
      </c>
      <c r="AB20" s="341" t="str">
        <f>IF($AE20&lt;1," ",IF(AA20&lt;1," ",(AA20)/$AE20))</f>
        <v xml:space="preserve"> </v>
      </c>
      <c r="AC20" s="1562">
        <f t="shared" si="1"/>
        <v>0</v>
      </c>
      <c r="AD20" s="381">
        <f>+E20+G20+I20+K20+M20+O20+Q20+S20+U20+W20+Y20+AA20+AC20</f>
        <v>0</v>
      </c>
      <c r="AE20" s="381">
        <f>'Budget-Summary MYP'!H23</f>
        <v>0</v>
      </c>
      <c r="AF20" s="381">
        <f t="shared" si="2"/>
        <v>0</v>
      </c>
      <c r="AG20" s="1203"/>
    </row>
    <row r="21" spans="1:33" ht="15.75">
      <c r="A21" s="408"/>
      <c r="B21" s="141" t="s">
        <v>313</v>
      </c>
      <c r="C21" s="279">
        <v>8792</v>
      </c>
      <c r="D21" s="378"/>
      <c r="E21" s="379">
        <f>+'Budget-Summary MYP'!H24/12</f>
        <v>53778.333333333336</v>
      </c>
      <c r="F21" s="341">
        <f>IF($AE21&lt;1," ",IF(E21&lt;1," ",(E21)/$AE21))</f>
        <v>8.3333333333333343E-2</v>
      </c>
      <c r="G21" s="392">
        <f t="shared" si="0"/>
        <v>53778.333333333336</v>
      </c>
      <c r="H21" s="341">
        <f>IF($AE21&lt;1," ",IF(G21&lt;1," ",(G21)/$AE21))</f>
        <v>8.3333333333333343E-2</v>
      </c>
      <c r="I21" s="392">
        <f t="shared" si="0"/>
        <v>53778.333333333336</v>
      </c>
      <c r="J21" s="341">
        <f>IF($AE21&lt;1," ",IF(I21&lt;1," ",(I21)/$AE21))</f>
        <v>8.3333333333333343E-2</v>
      </c>
      <c r="K21" s="392">
        <f t="shared" si="0"/>
        <v>53778.333333333336</v>
      </c>
      <c r="L21" s="341">
        <f>IF($AE21&lt;1," ",IF(K21&lt;1," ",(K21)/$AE21))</f>
        <v>8.3333333333333343E-2</v>
      </c>
      <c r="M21" s="392">
        <f t="shared" si="0"/>
        <v>53778.333333333336</v>
      </c>
      <c r="N21" s="534">
        <f>IF($AE21&lt;1," ",IF(M21&lt;1," ",(M21)/$AE21))</f>
        <v>8.3333333333333343E-2</v>
      </c>
      <c r="O21" s="392">
        <f t="shared" si="0"/>
        <v>53778.333333333336</v>
      </c>
      <c r="P21" s="341">
        <f>IF($AE21&lt;1," ",IF(O21&lt;1," ",(O21)/$AE21))</f>
        <v>8.3333333333333343E-2</v>
      </c>
      <c r="Q21" s="392">
        <f t="shared" si="0"/>
        <v>53778.333333333336</v>
      </c>
      <c r="R21" s="534">
        <f>IF($AE21&lt;1," ",IF(Q21&lt;1," ",(Q21)/$AE21))</f>
        <v>8.3333333333333343E-2</v>
      </c>
      <c r="S21" s="392">
        <f t="shared" si="0"/>
        <v>53778.333333333336</v>
      </c>
      <c r="T21" s="341">
        <f>IF($AE21&lt;1," ",IF(S21&lt;1," ",(S21)/$AE21))</f>
        <v>8.3333333333333343E-2</v>
      </c>
      <c r="U21" s="392">
        <f t="shared" si="0"/>
        <v>53778.333333333336</v>
      </c>
      <c r="V21" s="341">
        <f>IF($AE21&lt;1," ",IF(U21&lt;1," ",(U21)/$AE21))</f>
        <v>8.3333333333333343E-2</v>
      </c>
      <c r="W21" s="392">
        <f t="shared" si="0"/>
        <v>53778.333333333336</v>
      </c>
      <c r="X21" s="341">
        <f>IF($AE21&lt;1," ",IF(W21&lt;1," ",(W21)/$AE21))</f>
        <v>8.3333333333333343E-2</v>
      </c>
      <c r="Y21" s="392">
        <f t="shared" si="0"/>
        <v>53778.333333333336</v>
      </c>
      <c r="Z21" s="341">
        <f>IF($AE21&lt;1," ",IF(Y21&lt;1," ",(Y21)/$AE21))</f>
        <v>8.3333333333333343E-2</v>
      </c>
      <c r="AA21" s="392">
        <f t="shared" si="0"/>
        <v>53778.333333333336</v>
      </c>
      <c r="AB21" s="341">
        <f>IF($AE21&lt;1," ",IF(AA21&lt;1," ",(AA21)/$AE21))</f>
        <v>8.3333333333333343E-2</v>
      </c>
      <c r="AC21" s="1562">
        <f t="shared" si="1"/>
        <v>0</v>
      </c>
      <c r="AD21" s="381">
        <f>+E21+G21+I21+K21+M21+O21+Q21+S21+U21+W21+Y21+AA21+AC21</f>
        <v>645340</v>
      </c>
      <c r="AE21" s="381">
        <f>'Budget-Summary MYP'!H24</f>
        <v>645340</v>
      </c>
      <c r="AF21" s="381">
        <f t="shared" si="2"/>
        <v>0</v>
      </c>
      <c r="AG21" s="1203"/>
    </row>
    <row r="22" spans="1:33" ht="15.75">
      <c r="A22" s="408"/>
      <c r="B22" s="141" t="s">
        <v>314</v>
      </c>
      <c r="C22" s="279" t="s">
        <v>101</v>
      </c>
      <c r="D22" s="378"/>
      <c r="E22" s="379">
        <f>+'Budget-Summary MYP'!H25/12</f>
        <v>0</v>
      </c>
      <c r="F22" s="341" t="str">
        <f>IF($AE22&lt;1," ",IF(E22&lt;1," ",(E22)/$AE22))</f>
        <v xml:space="preserve"> </v>
      </c>
      <c r="G22" s="392">
        <f t="shared" si="0"/>
        <v>0</v>
      </c>
      <c r="H22" s="341" t="str">
        <f>IF($AE22&lt;1," ",IF(G22&lt;1," ",(G22)/$AE22))</f>
        <v xml:space="preserve"> </v>
      </c>
      <c r="I22" s="392">
        <f t="shared" si="0"/>
        <v>0</v>
      </c>
      <c r="J22" s="341" t="str">
        <f>IF($AE22&lt;1," ",IF(I22&lt;1," ",(I22)/$AE22))</f>
        <v xml:space="preserve"> </v>
      </c>
      <c r="K22" s="392">
        <f t="shared" si="0"/>
        <v>0</v>
      </c>
      <c r="L22" s="341" t="str">
        <f>IF($AE22&lt;1," ",IF(K22&lt;1," ",(K22)/$AE22))</f>
        <v xml:space="preserve"> </v>
      </c>
      <c r="M22" s="392">
        <f t="shared" si="0"/>
        <v>0</v>
      </c>
      <c r="N22" s="534" t="str">
        <f>IF($AE22&lt;1," ",IF(M22&lt;1," ",(M22)/$AE22))</f>
        <v xml:space="preserve"> </v>
      </c>
      <c r="O22" s="392">
        <f t="shared" si="0"/>
        <v>0</v>
      </c>
      <c r="P22" s="341" t="str">
        <f>IF($AE22&lt;1," ",IF(O22&lt;1," ",(O22)/$AE22))</f>
        <v xml:space="preserve"> </v>
      </c>
      <c r="Q22" s="392">
        <f t="shared" si="0"/>
        <v>0</v>
      </c>
      <c r="R22" s="534" t="str">
        <f>IF($AE22&lt;1," ",IF(Q22&lt;1," ",(Q22)/$AE22))</f>
        <v xml:space="preserve"> </v>
      </c>
      <c r="S22" s="392">
        <f t="shared" si="0"/>
        <v>0</v>
      </c>
      <c r="T22" s="341" t="str">
        <f>IF($AE22&lt;1," ",IF(S22&lt;1," ",(S22)/$AE22))</f>
        <v xml:space="preserve"> </v>
      </c>
      <c r="U22" s="392">
        <f t="shared" si="0"/>
        <v>0</v>
      </c>
      <c r="V22" s="341" t="str">
        <f>IF($AE22&lt;1," ",IF(U22&lt;1," ",(U22)/$AE22))</f>
        <v xml:space="preserve"> </v>
      </c>
      <c r="W22" s="392">
        <f t="shared" si="0"/>
        <v>0</v>
      </c>
      <c r="X22" s="341" t="str">
        <f>IF($AE22&lt;1," ",IF(W22&lt;1," ",(W22)/$AE22))</f>
        <v xml:space="preserve"> </v>
      </c>
      <c r="Y22" s="392">
        <f t="shared" si="0"/>
        <v>0</v>
      </c>
      <c r="Z22" s="341" t="str">
        <f>IF($AE22&lt;1," ",IF(Y22&lt;1," ",(Y22)/$AE22))</f>
        <v xml:space="preserve"> </v>
      </c>
      <c r="AA22" s="392">
        <f t="shared" si="0"/>
        <v>0</v>
      </c>
      <c r="AB22" s="341" t="str">
        <f>IF($AE22&lt;1," ",IF(AA22&lt;1," ",(AA22)/$AE22))</f>
        <v xml:space="preserve"> </v>
      </c>
      <c r="AC22" s="1562">
        <f t="shared" si="1"/>
        <v>0</v>
      </c>
      <c r="AD22" s="381">
        <f>+E22+G22+I22+K22+M22+O22+Q22+S22+U22+W22+Y22+AA22+AC22</f>
        <v>0</v>
      </c>
      <c r="AE22" s="381">
        <f>'Budget-Summary MYP'!H25</f>
        <v>0</v>
      </c>
      <c r="AF22" s="381">
        <f t="shared" si="2"/>
        <v>0</v>
      </c>
      <c r="AG22" s="1203"/>
    </row>
    <row r="23" spans="1:33" ht="16.5" thickBot="1">
      <c r="A23" s="407" t="s">
        <v>315</v>
      </c>
      <c r="B23" s="384"/>
      <c r="C23" s="385"/>
      <c r="D23" s="385"/>
      <c r="E23" s="773">
        <f>SUM(E10:E22)</f>
        <v>794870.69777166669</v>
      </c>
      <c r="F23" s="386">
        <f>IF($AE23&lt;1," ",IF(E23&lt;1," ",(E23)/$AE23))</f>
        <v>8.3333333333333329E-2</v>
      </c>
      <c r="G23" s="774">
        <f>SUM(G10:G22)</f>
        <v>794870.69777166669</v>
      </c>
      <c r="H23" s="386">
        <f>IF($AE23&lt;1," ",IF(G23&lt;1," ",(G23)/$AE23))</f>
        <v>8.3333333333333329E-2</v>
      </c>
      <c r="I23" s="774">
        <f>SUM(I10:I22)</f>
        <v>794870.69777166669</v>
      </c>
      <c r="J23" s="386">
        <f>IF($AE23&lt;1," ",IF(I23&lt;1," ",(I23)/$AE23))</f>
        <v>8.3333333333333329E-2</v>
      </c>
      <c r="K23" s="774">
        <f>SUM(K10:K22)</f>
        <v>794870.69777166669</v>
      </c>
      <c r="L23" s="386">
        <f>IF($AE23&lt;1," ",IF(K23&lt;1," ",(K23)/$AE23))</f>
        <v>8.3333333333333329E-2</v>
      </c>
      <c r="M23" s="774">
        <f>SUM(M10:M22)</f>
        <v>794870.69777166669</v>
      </c>
      <c r="N23" s="536">
        <f>IF($AE23&lt;1," ",IF(M23&lt;1," ",(M23)/$AE23))</f>
        <v>8.3333333333333329E-2</v>
      </c>
      <c r="O23" s="774">
        <f>SUM(O10:O22)</f>
        <v>794870.69777166669</v>
      </c>
      <c r="P23" s="386">
        <f>IF($AE23&lt;1," ",IF(O23&lt;1," ",(O23)/$AE23))</f>
        <v>8.3333333333333329E-2</v>
      </c>
      <c r="Q23" s="774">
        <f>SUM(Q10:Q22)</f>
        <v>794870.69777166669</v>
      </c>
      <c r="R23" s="536">
        <f>IF($AE23&lt;1," ",IF(Q23&lt;1," ",(Q23)/$AE23))</f>
        <v>8.3333333333333329E-2</v>
      </c>
      <c r="S23" s="775">
        <f>SUM(S10:S22)</f>
        <v>794870.69777166669</v>
      </c>
      <c r="T23" s="386">
        <f>IF($AE23&lt;1," ",IF(S23&lt;1," ",(S23)/$AE23))</f>
        <v>8.3333333333333329E-2</v>
      </c>
      <c r="U23" s="774">
        <f>SUM(U10:U22)</f>
        <v>794870.69777166669</v>
      </c>
      <c r="V23" s="386">
        <f>IF($AE23&lt;1," ",IF(U23&lt;1," ",(U23)/$AE23))</f>
        <v>8.3333333333333329E-2</v>
      </c>
      <c r="W23" s="774">
        <f>SUM(W10:W22)</f>
        <v>794870.69777166669</v>
      </c>
      <c r="X23" s="386">
        <f>IF($AE23&lt;1," ",IF(W23&lt;1," ",(W23)/$AE23))</f>
        <v>8.3333333333333329E-2</v>
      </c>
      <c r="Y23" s="774">
        <f>SUM(Y10:Y22)</f>
        <v>794870.69777166669</v>
      </c>
      <c r="Z23" s="386">
        <f>IF($AE23&lt;1," ",IF(Y23&lt;1," ",(Y23)/$AE23))</f>
        <v>8.3333333333333329E-2</v>
      </c>
      <c r="AA23" s="774">
        <f>SUM(AA10:AA22)</f>
        <v>794870.69777166669</v>
      </c>
      <c r="AB23" s="386">
        <f>IF($AE23&lt;1," ",IF(AA23&lt;1," ",(AA23)/$AE23))</f>
        <v>8.3333333333333329E-2</v>
      </c>
      <c r="AC23" s="1564">
        <f>SUM(AC10:AC22)</f>
        <v>0</v>
      </c>
      <c r="AD23" s="776">
        <f>SUM(AD10:AD22)</f>
        <v>9538448.3732600007</v>
      </c>
      <c r="AE23" s="776">
        <f>SUM(AE10:AE22)</f>
        <v>9538448.3732600007</v>
      </c>
      <c r="AF23" s="776">
        <f>SUM(AF10:AF22)</f>
        <v>0</v>
      </c>
      <c r="AG23" s="1203"/>
    </row>
    <row r="24" spans="1:33" ht="15.75">
      <c r="A24" s="409"/>
      <c r="B24" s="372"/>
      <c r="C24" s="72"/>
      <c r="D24" s="72"/>
      <c r="E24" s="73"/>
      <c r="F24" s="196"/>
      <c r="G24" s="74"/>
      <c r="H24" s="196"/>
      <c r="I24" s="74"/>
      <c r="J24" s="196"/>
      <c r="K24" s="74"/>
      <c r="L24" s="196"/>
      <c r="M24" s="74"/>
      <c r="N24" s="196"/>
      <c r="O24" s="74"/>
      <c r="P24" s="196"/>
      <c r="Q24" s="74"/>
      <c r="R24" s="196"/>
      <c r="S24" s="74"/>
      <c r="T24" s="196"/>
      <c r="U24" s="74"/>
      <c r="V24" s="196"/>
      <c r="W24" s="74"/>
      <c r="X24" s="196"/>
      <c r="Y24" s="74"/>
      <c r="Z24" s="196"/>
      <c r="AA24" s="74"/>
      <c r="AB24" s="196"/>
      <c r="AC24" s="1024"/>
      <c r="AD24" s="1024"/>
      <c r="AE24" s="1024"/>
      <c r="AF24" s="1040"/>
      <c r="AG24" s="1203"/>
    </row>
    <row r="25" spans="1:33" ht="15.75">
      <c r="A25" s="67" t="s">
        <v>3</v>
      </c>
      <c r="B25" s="181"/>
      <c r="C25" s="375"/>
      <c r="D25" s="375"/>
      <c r="E25" s="548"/>
      <c r="F25" s="484"/>
      <c r="G25" s="528"/>
      <c r="H25" s="484"/>
      <c r="I25" s="528"/>
      <c r="J25" s="484"/>
      <c r="K25" s="528"/>
      <c r="L25" s="484"/>
      <c r="M25" s="528"/>
      <c r="N25" s="484"/>
      <c r="O25" s="528"/>
      <c r="P25" s="484"/>
      <c r="Q25" s="528"/>
      <c r="R25" s="484"/>
      <c r="S25" s="528"/>
      <c r="T25" s="484"/>
      <c r="U25" s="528"/>
      <c r="V25" s="484"/>
      <c r="W25" s="528"/>
      <c r="X25" s="484"/>
      <c r="Y25" s="528"/>
      <c r="Z25" s="484"/>
      <c r="AA25" s="528"/>
      <c r="AB25" s="484"/>
      <c r="AC25" s="1028"/>
      <c r="AD25" s="1028"/>
      <c r="AE25" s="1028"/>
      <c r="AF25" s="1036"/>
      <c r="AG25" s="1203"/>
    </row>
    <row r="26" spans="1:33" ht="15.75">
      <c r="A26" s="408" t="s">
        <v>4</v>
      </c>
      <c r="B26" s="141"/>
      <c r="C26" s="279" t="s">
        <v>102</v>
      </c>
      <c r="D26" s="378"/>
      <c r="E26" s="379">
        <f>+'Budget-Summary MYP'!H29/12</f>
        <v>328934.71083333332</v>
      </c>
      <c r="F26" s="341">
        <f>IF($AE$26&lt;1," ",IF(E26&lt;1," ",(E26)/$AE$26))</f>
        <v>8.3333333333333329E-2</v>
      </c>
      <c r="G26" s="392">
        <f t="shared" ref="G26:AA33" si="3">+E26</f>
        <v>328934.71083333332</v>
      </c>
      <c r="H26" s="341">
        <f>IF($AE$26&lt;1," ",IF(G26&lt;1," ",(G26)/$AE$26))</f>
        <v>8.3333333333333329E-2</v>
      </c>
      <c r="I26" s="392">
        <f t="shared" si="3"/>
        <v>328934.71083333332</v>
      </c>
      <c r="J26" s="341">
        <f>IF($AE$26&lt;1," ",IF(I26&lt;1," ",(I26)/$AE$26))</f>
        <v>8.3333333333333329E-2</v>
      </c>
      <c r="K26" s="392">
        <f t="shared" si="3"/>
        <v>328934.71083333332</v>
      </c>
      <c r="L26" s="341">
        <f>IF($AE$26&lt;1," ",IF(K26&lt;1," ",(K26)/$AE$26))</f>
        <v>8.3333333333333329E-2</v>
      </c>
      <c r="M26" s="392">
        <f t="shared" si="3"/>
        <v>328934.71083333332</v>
      </c>
      <c r="N26" s="534">
        <f>IF($AE$26&lt;1," ",IF(M26&lt;1," ",(M26)/$AE$26))</f>
        <v>8.3333333333333329E-2</v>
      </c>
      <c r="O26" s="392">
        <f t="shared" si="3"/>
        <v>328934.71083333332</v>
      </c>
      <c r="P26" s="534">
        <f>IF($AE$26&lt;1," ",IF(O26&lt;1," ",(O26)/$AE$26))</f>
        <v>8.3333333333333329E-2</v>
      </c>
      <c r="Q26" s="392">
        <f t="shared" si="3"/>
        <v>328934.71083333332</v>
      </c>
      <c r="R26" s="534">
        <f>IF($AE$26&lt;1," ",IF(Q26&lt;1," ",(Q26)/$AE$26))</f>
        <v>8.3333333333333329E-2</v>
      </c>
      <c r="S26" s="392">
        <f t="shared" si="3"/>
        <v>328934.71083333332</v>
      </c>
      <c r="T26" s="341">
        <f>IF($AE$26&lt;1," ",IF(S26&lt;1," ",(S26)/$AE$26))</f>
        <v>8.3333333333333329E-2</v>
      </c>
      <c r="U26" s="392">
        <f t="shared" si="3"/>
        <v>328934.71083333332</v>
      </c>
      <c r="V26" s="341">
        <f>IF($AE$26&lt;1," ",IF(U26&lt;1," ",(U26)/$AE$26))</f>
        <v>8.3333333333333329E-2</v>
      </c>
      <c r="W26" s="392">
        <f t="shared" si="3"/>
        <v>328934.71083333332</v>
      </c>
      <c r="X26" s="341">
        <f>IF($AE$26&lt;1," ",IF(W26&lt;1," ",(W26)/$AE$26))</f>
        <v>8.3333333333333329E-2</v>
      </c>
      <c r="Y26" s="392">
        <f t="shared" si="3"/>
        <v>328934.71083333332</v>
      </c>
      <c r="Z26" s="341">
        <f>IF($AE$26&lt;1," ",IF(Y26&lt;1," ",(Y26)/$AE$26))</f>
        <v>8.3333333333333329E-2</v>
      </c>
      <c r="AA26" s="392">
        <f t="shared" si="3"/>
        <v>328934.71083333332</v>
      </c>
      <c r="AB26" s="341">
        <f>IF($AE$26&lt;1," ",IF(AA26&lt;1," ",(AA26)/$AE$26))</f>
        <v>8.3333333333333329E-2</v>
      </c>
      <c r="AC26" s="1565">
        <f t="shared" ref="AC26:AC33" si="4">AE26-(E26+G26+I26+K26+M26+O26+Q26+S26+U26+W26+Y26+AA26)</f>
        <v>0</v>
      </c>
      <c r="AD26" s="389">
        <f t="shared" ref="AD26:AD33" si="5">+E26+G26+I26+K26+M26+O26+Q26+S26+U26+W26+Y26+AA26+AC26</f>
        <v>3947216.5300000007</v>
      </c>
      <c r="AE26" s="389">
        <f>'Budget-Summary MYP'!H29</f>
        <v>3947216.53</v>
      </c>
      <c r="AF26" s="389">
        <f t="shared" ref="AF26:AF33" si="6">+AE26-AD26</f>
        <v>0</v>
      </c>
      <c r="AG26" s="1203"/>
    </row>
    <row r="27" spans="1:33" ht="15.75">
      <c r="A27" s="408" t="s">
        <v>23</v>
      </c>
      <c r="B27" s="141"/>
      <c r="C27" s="279" t="s">
        <v>103</v>
      </c>
      <c r="D27" s="378"/>
      <c r="E27" s="379">
        <f>+'Budget-Summary MYP'!H30/12</f>
        <v>11762.772291666666</v>
      </c>
      <c r="F27" s="341">
        <f>IF($AE$27&lt;1," ",IF(E27&lt;1," ",(E27)/$AE$27))</f>
        <v>8.3333333333333343E-2</v>
      </c>
      <c r="G27" s="392">
        <f t="shared" si="3"/>
        <v>11762.772291666666</v>
      </c>
      <c r="H27" s="341">
        <f>IF($AE$27&lt;1," ",IF(G27&lt;1," ",(G27)/$AE$27))</f>
        <v>8.3333333333333343E-2</v>
      </c>
      <c r="I27" s="392">
        <f t="shared" si="3"/>
        <v>11762.772291666666</v>
      </c>
      <c r="J27" s="341">
        <f>IF($AE$27&lt;1," ",IF(I27&lt;1," ",(I27)/$AE$27))</f>
        <v>8.3333333333333343E-2</v>
      </c>
      <c r="K27" s="392">
        <f t="shared" si="3"/>
        <v>11762.772291666666</v>
      </c>
      <c r="L27" s="341">
        <f>IF($AE$27&lt;1," ",IF(K27&lt;1," ",(K27)/$AE$27))</f>
        <v>8.3333333333333343E-2</v>
      </c>
      <c r="M27" s="392">
        <f t="shared" si="3"/>
        <v>11762.772291666666</v>
      </c>
      <c r="N27" s="534">
        <f>IF($AE$27&lt;1," ",IF(M27&lt;1," ",(M27)/$AE$27))</f>
        <v>8.3333333333333343E-2</v>
      </c>
      <c r="O27" s="392">
        <f t="shared" si="3"/>
        <v>11762.772291666666</v>
      </c>
      <c r="P27" s="534">
        <f>IF($AE$27&lt;1," ",IF(O27&lt;1," ",(O27)/$AE$27))</f>
        <v>8.3333333333333343E-2</v>
      </c>
      <c r="Q27" s="392">
        <f t="shared" si="3"/>
        <v>11762.772291666666</v>
      </c>
      <c r="R27" s="534">
        <f>IF($AE$27&lt;1," ",IF(Q27&lt;1," ",(Q27)/$AE$27))</f>
        <v>8.3333333333333343E-2</v>
      </c>
      <c r="S27" s="392">
        <f t="shared" si="3"/>
        <v>11762.772291666666</v>
      </c>
      <c r="T27" s="341">
        <f>IF($AE$27&lt;1," ",IF(S27&lt;1," ",(S27)/$AE$27))</f>
        <v>8.3333333333333343E-2</v>
      </c>
      <c r="U27" s="392">
        <f t="shared" si="3"/>
        <v>11762.772291666666</v>
      </c>
      <c r="V27" s="341">
        <f>IF($AE$27&lt;1," ",IF(U27&lt;1," ",(U27)/$AE$27))</f>
        <v>8.3333333333333343E-2</v>
      </c>
      <c r="W27" s="392">
        <f t="shared" si="3"/>
        <v>11762.772291666666</v>
      </c>
      <c r="X27" s="341">
        <f>IF($AE$27&lt;1," ",IF(W27&lt;1," ",(W27)/$AE$27))</f>
        <v>8.3333333333333343E-2</v>
      </c>
      <c r="Y27" s="392">
        <f t="shared" si="3"/>
        <v>11762.772291666666</v>
      </c>
      <c r="Z27" s="341">
        <f>IF($AE$27&lt;1," ",IF(Y27&lt;1," ",(Y27)/$AE$27))</f>
        <v>8.3333333333333343E-2</v>
      </c>
      <c r="AA27" s="392">
        <f t="shared" si="3"/>
        <v>11762.772291666666</v>
      </c>
      <c r="AB27" s="341">
        <f>IF($AE$27&lt;1," ",IF(AA27&lt;1," ",(AA27)/$AE$27))</f>
        <v>8.3333333333333343E-2</v>
      </c>
      <c r="AC27" s="1565">
        <f t="shared" si="4"/>
        <v>0</v>
      </c>
      <c r="AD27" s="389">
        <f t="shared" si="5"/>
        <v>141153.26749999999</v>
      </c>
      <c r="AE27" s="389">
        <f>'Budget-Summary MYP'!H30</f>
        <v>141153.26749999999</v>
      </c>
      <c r="AF27" s="389">
        <f t="shared" si="6"/>
        <v>0</v>
      </c>
      <c r="AG27" s="1203"/>
    </row>
    <row r="28" spans="1:33" ht="15.75">
      <c r="A28" s="408" t="s">
        <v>24</v>
      </c>
      <c r="B28" s="141"/>
      <c r="C28" s="279" t="s">
        <v>104</v>
      </c>
      <c r="D28" s="378"/>
      <c r="E28" s="379">
        <f>+'Budget-Summary MYP'!H31/12</f>
        <v>100481.52228562499</v>
      </c>
      <c r="F28" s="341">
        <f>IF($AE$28&lt;1," ",IF(E28&lt;1," ",(E28)/$AE$28))</f>
        <v>8.3333333333333329E-2</v>
      </c>
      <c r="G28" s="392">
        <f t="shared" si="3"/>
        <v>100481.52228562499</v>
      </c>
      <c r="H28" s="341">
        <f>IF($AE$28&lt;1," ",IF(G28&lt;1," ",(G28)/$AE$28))</f>
        <v>8.3333333333333329E-2</v>
      </c>
      <c r="I28" s="392">
        <f t="shared" si="3"/>
        <v>100481.52228562499</v>
      </c>
      <c r="J28" s="341">
        <f>IF($AE$28&lt;1," ",IF(I28&lt;1," ",(I28)/$AE$28))</f>
        <v>8.3333333333333329E-2</v>
      </c>
      <c r="K28" s="392">
        <f t="shared" si="3"/>
        <v>100481.52228562499</v>
      </c>
      <c r="L28" s="341">
        <f>IF($AE$28&lt;1," ",IF(K28&lt;1," ",(K28)/$AE$28))</f>
        <v>8.3333333333333329E-2</v>
      </c>
      <c r="M28" s="392">
        <f t="shared" si="3"/>
        <v>100481.52228562499</v>
      </c>
      <c r="N28" s="534">
        <f>IF($AE$28&lt;1," ",IF(M28&lt;1," ",(M28)/$AE$28))</f>
        <v>8.3333333333333329E-2</v>
      </c>
      <c r="O28" s="392">
        <f t="shared" si="3"/>
        <v>100481.52228562499</v>
      </c>
      <c r="P28" s="534">
        <f>IF($AE$28&lt;1," ",IF(O28&lt;1," ",(O28)/$AE$28))</f>
        <v>8.3333333333333329E-2</v>
      </c>
      <c r="Q28" s="392">
        <f t="shared" si="3"/>
        <v>100481.52228562499</v>
      </c>
      <c r="R28" s="534">
        <f>IF($AE$28&lt;1," ",IF(Q28&lt;1," ",(Q28)/$AE$28))</f>
        <v>8.3333333333333329E-2</v>
      </c>
      <c r="S28" s="392">
        <f t="shared" si="3"/>
        <v>100481.52228562499</v>
      </c>
      <c r="T28" s="341">
        <f>IF($AE$28&lt;1," ",IF(S28&lt;1," ",(S28)/$AE$28))</f>
        <v>8.3333333333333329E-2</v>
      </c>
      <c r="U28" s="392">
        <f t="shared" si="3"/>
        <v>100481.52228562499</v>
      </c>
      <c r="V28" s="341">
        <f>IF($AE$28&lt;1," ",IF(U28&lt;1," ",(U28)/$AE$28))</f>
        <v>8.3333333333333329E-2</v>
      </c>
      <c r="W28" s="392">
        <f t="shared" si="3"/>
        <v>100481.52228562499</v>
      </c>
      <c r="X28" s="341">
        <f>IF($AE$28&lt;1," ",IF(W28&lt;1," ",(W28)/$AE$28))</f>
        <v>8.3333333333333329E-2</v>
      </c>
      <c r="Y28" s="392">
        <f t="shared" si="3"/>
        <v>100481.52228562499</v>
      </c>
      <c r="Z28" s="341">
        <f>IF($AE$28&lt;1," ",IF(Y28&lt;1," ",(Y28)/$AE$28))</f>
        <v>8.3333333333333329E-2</v>
      </c>
      <c r="AA28" s="392">
        <f t="shared" si="3"/>
        <v>100481.52228562499</v>
      </c>
      <c r="AB28" s="341">
        <f>IF($AE$28&lt;1," ",IF(AA28&lt;1," ",(AA28)/$AE$28))</f>
        <v>8.3333333333333329E-2</v>
      </c>
      <c r="AC28" s="1565">
        <f t="shared" si="4"/>
        <v>0</v>
      </c>
      <c r="AD28" s="389">
        <f t="shared" si="5"/>
        <v>1205778.2674274999</v>
      </c>
      <c r="AE28" s="389">
        <f>'Budget-Summary MYP'!H31</f>
        <v>1205778.2674274999</v>
      </c>
      <c r="AF28" s="389">
        <f t="shared" si="6"/>
        <v>0</v>
      </c>
      <c r="AG28" s="1203"/>
    </row>
    <row r="29" spans="1:33" ht="15.75">
      <c r="A29" s="408" t="s">
        <v>25</v>
      </c>
      <c r="B29" s="141"/>
      <c r="C29" s="279" t="s">
        <v>105</v>
      </c>
      <c r="D29" s="378"/>
      <c r="E29" s="379">
        <f>+'Budget-Summary MYP'!H32/12</f>
        <v>43530.944166666668</v>
      </c>
      <c r="F29" s="341">
        <f>IF($AE$29&lt;1," ",IF(E29&lt;1," ",(E29)/$AE$29))</f>
        <v>8.3333333333333329E-2</v>
      </c>
      <c r="G29" s="392">
        <f t="shared" si="3"/>
        <v>43530.944166666668</v>
      </c>
      <c r="H29" s="341">
        <f>IF($AE$29&lt;1," ",IF(G29&lt;1," ",(G29)/$AE$29))</f>
        <v>8.3333333333333329E-2</v>
      </c>
      <c r="I29" s="392">
        <f t="shared" si="3"/>
        <v>43530.944166666668</v>
      </c>
      <c r="J29" s="341">
        <f>IF($AE$29&lt;1," ",IF(I29&lt;1," ",(I29)/$AE$29))</f>
        <v>8.3333333333333329E-2</v>
      </c>
      <c r="K29" s="392">
        <f t="shared" si="3"/>
        <v>43530.944166666668</v>
      </c>
      <c r="L29" s="341">
        <f>IF($AE$29&lt;1," ",IF(K29&lt;1," ",(K29)/$AE$29))</f>
        <v>8.3333333333333329E-2</v>
      </c>
      <c r="M29" s="392">
        <f t="shared" si="3"/>
        <v>43530.944166666668</v>
      </c>
      <c r="N29" s="534">
        <f>IF($AE$29&lt;1," ",IF(M29&lt;1," ",(M29)/$AE$29))</f>
        <v>8.3333333333333329E-2</v>
      </c>
      <c r="O29" s="392">
        <f t="shared" si="3"/>
        <v>43530.944166666668</v>
      </c>
      <c r="P29" s="534">
        <f>IF($AE$29&lt;1," ",IF(O29&lt;1," ",(O29)/$AE$29))</f>
        <v>8.3333333333333329E-2</v>
      </c>
      <c r="Q29" s="392">
        <f t="shared" si="3"/>
        <v>43530.944166666668</v>
      </c>
      <c r="R29" s="534">
        <f>IF($AE$29&lt;1," ",IF(Q29&lt;1," ",(Q29)/$AE$29))</f>
        <v>8.3333333333333329E-2</v>
      </c>
      <c r="S29" s="392">
        <f t="shared" si="3"/>
        <v>43530.944166666668</v>
      </c>
      <c r="T29" s="341">
        <f>IF($AE$29&lt;1," ",IF(S29&lt;1," ",(S29)/$AE$29))</f>
        <v>8.3333333333333329E-2</v>
      </c>
      <c r="U29" s="392">
        <f t="shared" si="3"/>
        <v>43530.944166666668</v>
      </c>
      <c r="V29" s="341">
        <f>IF($AE$29&lt;1," ",IF(U29&lt;1," ",(U29)/$AE$29))</f>
        <v>8.3333333333333329E-2</v>
      </c>
      <c r="W29" s="392">
        <f t="shared" si="3"/>
        <v>43530.944166666668</v>
      </c>
      <c r="X29" s="341">
        <f>IF($AE$29&lt;1," ",IF(W29&lt;1," ",(W29)/$AE$29))</f>
        <v>8.3333333333333329E-2</v>
      </c>
      <c r="Y29" s="392">
        <f t="shared" si="3"/>
        <v>43530.944166666668</v>
      </c>
      <c r="Z29" s="341">
        <f>IF($AE$29&lt;1," ",IF(Y29&lt;1," ",(Y29)/$AE$29))</f>
        <v>8.3333333333333329E-2</v>
      </c>
      <c r="AA29" s="392">
        <f t="shared" si="3"/>
        <v>43530.944166666668</v>
      </c>
      <c r="AB29" s="341">
        <f>IF($AE$29&lt;1," ",IF(AA29&lt;1," ",(AA29)/$AE$29))</f>
        <v>8.3333333333333329E-2</v>
      </c>
      <c r="AC29" s="1565">
        <f t="shared" si="4"/>
        <v>0</v>
      </c>
      <c r="AD29" s="389">
        <f t="shared" si="5"/>
        <v>522371.3299999999</v>
      </c>
      <c r="AE29" s="389">
        <f>'Budget-Summary MYP'!H32</f>
        <v>522371.33</v>
      </c>
      <c r="AF29" s="389">
        <f t="shared" si="6"/>
        <v>0</v>
      </c>
      <c r="AG29" s="1203"/>
    </row>
    <row r="30" spans="1:33" ht="15.75">
      <c r="A30" s="408" t="s">
        <v>26</v>
      </c>
      <c r="B30" s="141"/>
      <c r="C30" s="279" t="s">
        <v>106</v>
      </c>
      <c r="D30" s="378"/>
      <c r="E30" s="379">
        <f>+'Budget-Summary MYP'!H33/12</f>
        <v>396452.85754055</v>
      </c>
      <c r="F30" s="341">
        <f>IF($AE$30&lt;1," ",IF(E30&lt;1," ",(E30)/$AE$30))</f>
        <v>8.3333333333333329E-2</v>
      </c>
      <c r="G30" s="392">
        <f t="shared" si="3"/>
        <v>396452.85754055</v>
      </c>
      <c r="H30" s="341">
        <f>IF($AE$30&lt;1," ",IF(G30&lt;1," ",(G30)/$AE$30))</f>
        <v>8.3333333333333329E-2</v>
      </c>
      <c r="I30" s="392">
        <f t="shared" si="3"/>
        <v>396452.85754055</v>
      </c>
      <c r="J30" s="341">
        <f>IF($AE$30&lt;1," ",IF(I30&lt;1," ",(I30)/$AE$30))</f>
        <v>8.3333333333333329E-2</v>
      </c>
      <c r="K30" s="392">
        <f t="shared" si="3"/>
        <v>396452.85754055</v>
      </c>
      <c r="L30" s="341">
        <f>IF($AE$30&lt;1," ",IF(K30&lt;1," ",(K30)/$AE$30))</f>
        <v>8.3333333333333329E-2</v>
      </c>
      <c r="M30" s="392">
        <f t="shared" si="3"/>
        <v>396452.85754055</v>
      </c>
      <c r="N30" s="534">
        <f>IF($AE$30&lt;1," ",IF(M30&lt;1," ",(M30)/$AE$30))</f>
        <v>8.3333333333333329E-2</v>
      </c>
      <c r="O30" s="392">
        <f t="shared" si="3"/>
        <v>396452.85754055</v>
      </c>
      <c r="P30" s="534">
        <f>IF($AE$30&lt;1," ",IF(O30&lt;1," ",(O30)/$AE$30))</f>
        <v>8.3333333333333329E-2</v>
      </c>
      <c r="Q30" s="392">
        <f t="shared" si="3"/>
        <v>396452.85754055</v>
      </c>
      <c r="R30" s="534">
        <f>IF($AE$30&lt;1," ",IF(Q30&lt;1," ",(Q30)/$AE$30))</f>
        <v>8.3333333333333329E-2</v>
      </c>
      <c r="S30" s="392">
        <f t="shared" si="3"/>
        <v>396452.85754055</v>
      </c>
      <c r="T30" s="341">
        <f>IF($AE$30&lt;1," ",IF(S30&lt;1," ",(S30)/$AE$30))</f>
        <v>8.3333333333333329E-2</v>
      </c>
      <c r="U30" s="392">
        <f t="shared" si="3"/>
        <v>396452.85754055</v>
      </c>
      <c r="V30" s="341">
        <f>IF($AE$30&lt;1," ",IF(U30&lt;1," ",(U30)/$AE$30))</f>
        <v>8.3333333333333329E-2</v>
      </c>
      <c r="W30" s="392">
        <f t="shared" si="3"/>
        <v>396452.85754055</v>
      </c>
      <c r="X30" s="341">
        <f>IF($AE$30&lt;1," ",IF(W30&lt;1," ",(W30)/$AE$30))</f>
        <v>8.3333333333333329E-2</v>
      </c>
      <c r="Y30" s="392">
        <f t="shared" si="3"/>
        <v>396452.85754055</v>
      </c>
      <c r="Z30" s="341">
        <f>IF($AE$30&lt;1," ",IF(Y30&lt;1," ",(Y30)/$AE$30))</f>
        <v>8.3333333333333329E-2</v>
      </c>
      <c r="AA30" s="392">
        <f t="shared" si="3"/>
        <v>396452.85754055</v>
      </c>
      <c r="AB30" s="341">
        <f>IF($AE$30&lt;1," ",IF(AA30&lt;1," ",(AA30)/$AE$30))</f>
        <v>8.3333333333333329E-2</v>
      </c>
      <c r="AC30" s="1565">
        <f t="shared" si="4"/>
        <v>0</v>
      </c>
      <c r="AD30" s="389">
        <f t="shared" si="5"/>
        <v>4757434.2904866003</v>
      </c>
      <c r="AE30" s="389">
        <f>'Budget-Summary MYP'!H33</f>
        <v>4757434.2904866003</v>
      </c>
      <c r="AF30" s="389">
        <f t="shared" si="6"/>
        <v>0</v>
      </c>
      <c r="AG30" s="1203"/>
    </row>
    <row r="31" spans="1:33" ht="15.75">
      <c r="A31" s="408" t="s">
        <v>5</v>
      </c>
      <c r="B31" s="141"/>
      <c r="C31" s="279" t="s">
        <v>107</v>
      </c>
      <c r="D31" s="378"/>
      <c r="E31" s="379">
        <f>+'Budget-Summary MYP'!H34/12</f>
        <v>1196.8575000000003</v>
      </c>
      <c r="F31" s="341">
        <f>IF($AE$31&lt;1," ",IF(E31&lt;1," ",(E31)/$AE$31))</f>
        <v>8.3333333333333329E-2</v>
      </c>
      <c r="G31" s="392">
        <f t="shared" si="3"/>
        <v>1196.8575000000003</v>
      </c>
      <c r="H31" s="341">
        <f>IF($AE$31&lt;1," ",IF(G31&lt;1," ",(G31)/$AE$31))</f>
        <v>8.3333333333333329E-2</v>
      </c>
      <c r="I31" s="392">
        <f t="shared" si="3"/>
        <v>1196.8575000000003</v>
      </c>
      <c r="J31" s="341">
        <f>IF($AE$31&lt;1," ",IF(I31&lt;1," ",(I31)/$AE$31))</f>
        <v>8.3333333333333329E-2</v>
      </c>
      <c r="K31" s="392">
        <f t="shared" si="3"/>
        <v>1196.8575000000003</v>
      </c>
      <c r="L31" s="341">
        <f>IF($AE$31&lt;1," ",IF(K31&lt;1," ",(K31)/$AE$31))</f>
        <v>8.3333333333333329E-2</v>
      </c>
      <c r="M31" s="392">
        <f t="shared" si="3"/>
        <v>1196.8575000000003</v>
      </c>
      <c r="N31" s="534">
        <f>IF($AE$31&lt;1," ",IF(M31&lt;1," ",(M31)/$AE$31))</f>
        <v>8.3333333333333329E-2</v>
      </c>
      <c r="O31" s="392">
        <f t="shared" si="3"/>
        <v>1196.8575000000003</v>
      </c>
      <c r="P31" s="534">
        <f>IF($AE$31&lt;1," ",IF(O31&lt;1," ",(O31)/$AE$31))</f>
        <v>8.3333333333333329E-2</v>
      </c>
      <c r="Q31" s="392">
        <f t="shared" si="3"/>
        <v>1196.8575000000003</v>
      </c>
      <c r="R31" s="534">
        <f>IF($AE$31&lt;1," ",IF(Q31&lt;1," ",(Q31)/$AE$31))</f>
        <v>8.3333333333333329E-2</v>
      </c>
      <c r="S31" s="392">
        <f t="shared" si="3"/>
        <v>1196.8575000000003</v>
      </c>
      <c r="T31" s="341">
        <f>IF($AE$31&lt;1," ",IF(S31&lt;1," ",(S31)/$AE$31))</f>
        <v>8.3333333333333329E-2</v>
      </c>
      <c r="U31" s="392">
        <f t="shared" si="3"/>
        <v>1196.8575000000003</v>
      </c>
      <c r="V31" s="341">
        <f>IF($AE$31&lt;1," ",IF(U31&lt;1," ",(U31)/$AE$31))</f>
        <v>8.3333333333333329E-2</v>
      </c>
      <c r="W31" s="392">
        <f t="shared" si="3"/>
        <v>1196.8575000000003</v>
      </c>
      <c r="X31" s="341">
        <f>IF($AE$31&lt;1," ",IF(W31&lt;1," ",(W31)/$AE$31))</f>
        <v>8.3333333333333329E-2</v>
      </c>
      <c r="Y31" s="392">
        <f t="shared" si="3"/>
        <v>1196.8575000000003</v>
      </c>
      <c r="Z31" s="341">
        <f>IF($AE$31&lt;1," ",IF(Y31&lt;1," ",(Y31)/$AE$31))</f>
        <v>8.3333333333333329E-2</v>
      </c>
      <c r="AA31" s="392">
        <f t="shared" si="3"/>
        <v>1196.8575000000003</v>
      </c>
      <c r="AB31" s="341">
        <f>IF($AE$31&lt;1," ",IF(AA31&lt;1," ",(AA31)/$AE$31))</f>
        <v>8.3333333333333329E-2</v>
      </c>
      <c r="AC31" s="1565">
        <f t="shared" si="4"/>
        <v>0</v>
      </c>
      <c r="AD31" s="389">
        <f t="shared" si="5"/>
        <v>14362.290000000003</v>
      </c>
      <c r="AE31" s="389">
        <f>'Budget-Summary MYP'!H34</f>
        <v>14362.290000000005</v>
      </c>
      <c r="AF31" s="389">
        <f t="shared" si="6"/>
        <v>0</v>
      </c>
      <c r="AG31" s="1203"/>
    </row>
    <row r="32" spans="1:33" ht="15.75">
      <c r="A32" s="408" t="s">
        <v>27</v>
      </c>
      <c r="B32" s="141"/>
      <c r="C32" s="279" t="s">
        <v>108</v>
      </c>
      <c r="D32" s="378"/>
      <c r="E32" s="379">
        <f>+'Budget-Summary MYP'!H35/12</f>
        <v>208.25</v>
      </c>
      <c r="F32" s="341">
        <f>IF($AE$32&lt;1," ",IF(E32&lt;1," ",(E32)/$AE$32))</f>
        <v>8.3333333333333329E-2</v>
      </c>
      <c r="G32" s="392">
        <f t="shared" si="3"/>
        <v>208.25</v>
      </c>
      <c r="H32" s="341">
        <f>IF($AE$32&lt;1," ",IF(G32&lt;1," ",(G32)/$AE$32))</f>
        <v>8.3333333333333329E-2</v>
      </c>
      <c r="I32" s="392">
        <f t="shared" si="3"/>
        <v>208.25</v>
      </c>
      <c r="J32" s="341">
        <f>IF($AE$32&lt;1," ",IF(I32&lt;1," ",(I32)/$AE$32))</f>
        <v>8.3333333333333329E-2</v>
      </c>
      <c r="K32" s="392">
        <f t="shared" si="3"/>
        <v>208.25</v>
      </c>
      <c r="L32" s="341">
        <f>IF($AE$32&lt;1," ",IF(K32&lt;1," ",(K32)/$AE$32))</f>
        <v>8.3333333333333329E-2</v>
      </c>
      <c r="M32" s="392">
        <f t="shared" si="3"/>
        <v>208.25</v>
      </c>
      <c r="N32" s="534">
        <f>IF($AE$32&lt;1," ",IF(M32&lt;1," ",(M32)/$AE$32))</f>
        <v>8.3333333333333329E-2</v>
      </c>
      <c r="O32" s="392">
        <f t="shared" si="3"/>
        <v>208.25</v>
      </c>
      <c r="P32" s="534">
        <f>IF($AE$32&lt;1," ",IF(O32&lt;1," ",(O32)/$AE$32))</f>
        <v>8.3333333333333329E-2</v>
      </c>
      <c r="Q32" s="392">
        <f t="shared" si="3"/>
        <v>208.25</v>
      </c>
      <c r="R32" s="534">
        <f>IF($AE$32&lt;1," ",IF(Q32&lt;1," ",(Q32)/$AE$32))</f>
        <v>8.3333333333333329E-2</v>
      </c>
      <c r="S32" s="392">
        <f t="shared" si="3"/>
        <v>208.25</v>
      </c>
      <c r="T32" s="341">
        <f>IF($AE$32&lt;1," ",IF(S32&lt;1," ",(S32)/$AE$32))</f>
        <v>8.3333333333333329E-2</v>
      </c>
      <c r="U32" s="392">
        <f t="shared" si="3"/>
        <v>208.25</v>
      </c>
      <c r="V32" s="341">
        <f>IF($AE$32&lt;1," ",IF(U32&lt;1," ",(U32)/$AE$32))</f>
        <v>8.3333333333333329E-2</v>
      </c>
      <c r="W32" s="392">
        <f t="shared" si="3"/>
        <v>208.25</v>
      </c>
      <c r="X32" s="341">
        <f>IF($AE$32&lt;1," ",IF(W32&lt;1," ",(W32)/$AE$32))</f>
        <v>8.3333333333333329E-2</v>
      </c>
      <c r="Y32" s="392">
        <f t="shared" si="3"/>
        <v>208.25</v>
      </c>
      <c r="Z32" s="341">
        <f>IF($AE$32&lt;1," ",IF(Y32&lt;1," ",(Y32)/$AE$32))</f>
        <v>8.3333333333333329E-2</v>
      </c>
      <c r="AA32" s="392">
        <f t="shared" si="3"/>
        <v>208.25</v>
      </c>
      <c r="AB32" s="341">
        <f>IF($AE$32&lt;1," ",IF(AA32&lt;1," ",(AA32)/$AE$32))</f>
        <v>8.3333333333333329E-2</v>
      </c>
      <c r="AC32" s="1565">
        <f t="shared" si="4"/>
        <v>0</v>
      </c>
      <c r="AD32" s="389">
        <f t="shared" si="5"/>
        <v>2499</v>
      </c>
      <c r="AE32" s="389">
        <f>'Budget-Summary MYP'!H35</f>
        <v>2499</v>
      </c>
      <c r="AF32" s="389">
        <f t="shared" si="6"/>
        <v>0</v>
      </c>
      <c r="AG32" s="1203"/>
    </row>
    <row r="33" spans="1:33" ht="15.75">
      <c r="A33" s="408" t="s">
        <v>149</v>
      </c>
      <c r="B33" s="141"/>
      <c r="C33" s="279" t="s">
        <v>114</v>
      </c>
      <c r="D33" s="378"/>
      <c r="E33" s="379">
        <f>+'Budget-Summary MYP'!H36/12</f>
        <v>0</v>
      </c>
      <c r="F33" s="341" t="str">
        <f>IF($AE33&lt;1," ",IF(E33&lt;1," ",(E33)/$AE33))</f>
        <v xml:space="preserve"> </v>
      </c>
      <c r="G33" s="392">
        <f t="shared" si="3"/>
        <v>0</v>
      </c>
      <c r="H33" s="341" t="str">
        <f>IF($AE33&lt;1," ",IF(G33&lt;1," ",(G33)/$AE33))</f>
        <v xml:space="preserve"> </v>
      </c>
      <c r="I33" s="392">
        <f t="shared" si="3"/>
        <v>0</v>
      </c>
      <c r="J33" s="341" t="str">
        <f>IF($AE33&lt;1," ",IF(I33&lt;1," ",(I33)/$AE33))</f>
        <v xml:space="preserve"> </v>
      </c>
      <c r="K33" s="392">
        <f t="shared" si="3"/>
        <v>0</v>
      </c>
      <c r="L33" s="341" t="str">
        <f>IF($AE33&lt;1," ",IF(K33&lt;1," ",(K33)/$AE33))</f>
        <v xml:space="preserve"> </v>
      </c>
      <c r="M33" s="392">
        <f t="shared" si="3"/>
        <v>0</v>
      </c>
      <c r="N33" s="534" t="str">
        <f>IF($AE33&lt;1," ",IF(M33&lt;1," ",(M33)/$AE33))</f>
        <v xml:space="preserve"> </v>
      </c>
      <c r="O33" s="392">
        <f t="shared" si="3"/>
        <v>0</v>
      </c>
      <c r="P33" s="534" t="str">
        <f>IF($AE33&lt;1," ",IF(O33&lt;1," ",(O33)/$AE33))</f>
        <v xml:space="preserve"> </v>
      </c>
      <c r="Q33" s="392">
        <f t="shared" si="3"/>
        <v>0</v>
      </c>
      <c r="R33" s="534" t="str">
        <f>IF($AE33&lt;1," ",IF(Q33&lt;1," ",(Q33)/$AE33))</f>
        <v xml:space="preserve"> </v>
      </c>
      <c r="S33" s="392">
        <f t="shared" si="3"/>
        <v>0</v>
      </c>
      <c r="T33" s="341" t="str">
        <f>IF($AE33&lt;1," ",IF(S33&lt;1," ",(S33)/$AE33))</f>
        <v xml:space="preserve"> </v>
      </c>
      <c r="U33" s="392">
        <f t="shared" si="3"/>
        <v>0</v>
      </c>
      <c r="V33" s="341" t="str">
        <f>IF($AE33&lt;1," ",IF(U33&lt;1," ",(U33)/$AE33))</f>
        <v xml:space="preserve"> </v>
      </c>
      <c r="W33" s="392">
        <f t="shared" si="3"/>
        <v>0</v>
      </c>
      <c r="X33" s="341" t="str">
        <f>IF($AE33&lt;1," ",IF(W33&lt;1," ",(W33)/$AE33))</f>
        <v xml:space="preserve"> </v>
      </c>
      <c r="Y33" s="392">
        <f t="shared" si="3"/>
        <v>0</v>
      </c>
      <c r="Z33" s="341" t="str">
        <f>IF($AE33&lt;1," ",IF(Y33&lt;1," ",(Y33)/$AE33))</f>
        <v xml:space="preserve"> </v>
      </c>
      <c r="AA33" s="392">
        <f t="shared" si="3"/>
        <v>0</v>
      </c>
      <c r="AB33" s="341" t="str">
        <f>IF($AE33&lt;1," ",IF(AA33&lt;1," ",(AA33)/$AE33))</f>
        <v xml:space="preserve"> </v>
      </c>
      <c r="AC33" s="1565">
        <f t="shared" si="4"/>
        <v>0</v>
      </c>
      <c r="AD33" s="389">
        <f t="shared" si="5"/>
        <v>0</v>
      </c>
      <c r="AE33" s="389">
        <f>'Budget-Summary MYP'!H36</f>
        <v>0</v>
      </c>
      <c r="AF33" s="389">
        <f t="shared" si="6"/>
        <v>0</v>
      </c>
      <c r="AG33" s="1203"/>
    </row>
    <row r="34" spans="1:33" ht="16.5" thickBot="1">
      <c r="A34" s="407" t="s">
        <v>28</v>
      </c>
      <c r="B34" s="384"/>
      <c r="C34" s="385"/>
      <c r="D34" s="385"/>
      <c r="E34" s="773">
        <f>+SUM(E26:E33)</f>
        <v>882567.91461784171</v>
      </c>
      <c r="F34" s="386">
        <f>IF($AE34&lt;1," ",IF(E34&lt;1," ",(E34)/$AE34))</f>
        <v>8.3333333333333343E-2</v>
      </c>
      <c r="G34" s="774">
        <f>+SUM(G26:G33)</f>
        <v>882567.91461784171</v>
      </c>
      <c r="H34" s="386">
        <f>IF($AE34&lt;1," ",IF(G34&lt;1," ",(G34)/$AE34))</f>
        <v>8.3333333333333343E-2</v>
      </c>
      <c r="I34" s="774">
        <f>+SUM(I26:I33)</f>
        <v>882567.91461784171</v>
      </c>
      <c r="J34" s="386">
        <f>IF($AE34&lt;1," ",IF(I34&lt;1," ",(I34)/$AE34))</f>
        <v>8.3333333333333343E-2</v>
      </c>
      <c r="K34" s="774">
        <f>+SUM(K26:K33)</f>
        <v>882567.91461784171</v>
      </c>
      <c r="L34" s="386">
        <f>IF($AE34&lt;1," ",IF(K34&lt;1," ",(K34)/$AE34))</f>
        <v>8.3333333333333343E-2</v>
      </c>
      <c r="M34" s="774">
        <f>+SUM(M26:M33)</f>
        <v>882567.91461784171</v>
      </c>
      <c r="N34" s="536">
        <f>IF($AE34&lt;1," ",IF(M34&lt;1," ",(M34)/$AE34))</f>
        <v>8.3333333333333343E-2</v>
      </c>
      <c r="O34" s="774">
        <f>+SUM(O26:O33)</f>
        <v>882567.91461784171</v>
      </c>
      <c r="P34" s="386">
        <f>IF($AE34&lt;1," ",IF(O34&lt;1," ",(O34)/$AE34))</f>
        <v>8.3333333333333343E-2</v>
      </c>
      <c r="Q34" s="774">
        <f>+SUM(Q26:Q33)</f>
        <v>882567.91461784171</v>
      </c>
      <c r="R34" s="536">
        <f>IF($AE34&lt;1," ",IF(Q34&lt;1," ",(Q34)/$AE34))</f>
        <v>8.3333333333333343E-2</v>
      </c>
      <c r="S34" s="775">
        <f>+SUM(S26:S33)</f>
        <v>882567.91461784171</v>
      </c>
      <c r="T34" s="386">
        <f>IF($AE34&lt;1," ",IF(S34&lt;1," ",(S34)/$AE34))</f>
        <v>8.3333333333333343E-2</v>
      </c>
      <c r="U34" s="774">
        <f>+SUM(U26:U33)</f>
        <v>882567.91461784171</v>
      </c>
      <c r="V34" s="386">
        <f>IF($AE34&lt;1," ",IF(U34&lt;1," ",(U34)/$AE34))</f>
        <v>8.3333333333333343E-2</v>
      </c>
      <c r="W34" s="774">
        <f>+SUM(W26:W33)</f>
        <v>882567.91461784171</v>
      </c>
      <c r="X34" s="386">
        <f>IF($AE34&lt;1," ",IF(W34&lt;1," ",(W34)/$AE34))</f>
        <v>8.3333333333333343E-2</v>
      </c>
      <c r="Y34" s="774">
        <f>+SUM(Y26:Y33)</f>
        <v>882567.91461784171</v>
      </c>
      <c r="Z34" s="386">
        <f>IF($AE34&lt;1," ",IF(Y34&lt;1," ",(Y34)/$AE34))</f>
        <v>8.3333333333333343E-2</v>
      </c>
      <c r="AA34" s="774">
        <f>+SUM(AA26:AA33)</f>
        <v>882567.91461784171</v>
      </c>
      <c r="AB34" s="386">
        <f>IF($AE34&lt;1," ",IF(AA34&lt;1," ",(AA34)/$AE34))</f>
        <v>8.3333333333333343E-2</v>
      </c>
      <c r="AC34" s="1564">
        <f>+SUM(AC26:AC33)</f>
        <v>0</v>
      </c>
      <c r="AD34" s="776">
        <f>+SUM(AD26:AD33)</f>
        <v>10590814.975414101</v>
      </c>
      <c r="AE34" s="776">
        <f>+SUM(AE26:AE33)</f>
        <v>10590814.975414099</v>
      </c>
      <c r="AF34" s="776">
        <f>+SUM(AF26:AF33)</f>
        <v>0</v>
      </c>
      <c r="AG34" s="1203"/>
    </row>
    <row r="35" spans="1:33" ht="15.75">
      <c r="A35" s="411"/>
      <c r="B35" s="373"/>
      <c r="C35" s="72"/>
      <c r="D35" s="72"/>
      <c r="E35" s="75"/>
      <c r="F35" s="197"/>
      <c r="G35" s="76"/>
      <c r="H35" s="197"/>
      <c r="I35" s="76"/>
      <c r="J35" s="197"/>
      <c r="K35" s="76"/>
      <c r="L35" s="197"/>
      <c r="M35" s="76"/>
      <c r="N35" s="197"/>
      <c r="O35" s="76"/>
      <c r="P35" s="197"/>
      <c r="Q35" s="76"/>
      <c r="R35" s="197"/>
      <c r="S35" s="76"/>
      <c r="T35" s="197"/>
      <c r="U35" s="76"/>
      <c r="V35" s="197"/>
      <c r="W35" s="76"/>
      <c r="X35" s="197"/>
      <c r="Y35" s="76"/>
      <c r="Z35" s="197"/>
      <c r="AA35" s="76"/>
      <c r="AB35" s="197"/>
      <c r="AC35" s="1024"/>
      <c r="AD35" s="1024"/>
      <c r="AE35" s="1024"/>
      <c r="AF35" s="1040"/>
      <c r="AG35" s="1203"/>
    </row>
    <row r="36" spans="1:33" ht="15.75">
      <c r="A36" s="67" t="s">
        <v>109</v>
      </c>
      <c r="B36" s="181"/>
      <c r="C36" s="375"/>
      <c r="D36" s="375"/>
      <c r="E36" s="548"/>
      <c r="F36" s="484"/>
      <c r="G36" s="528"/>
      <c r="H36" s="484"/>
      <c r="I36" s="528"/>
      <c r="J36" s="484"/>
      <c r="K36" s="528"/>
      <c r="L36" s="484"/>
      <c r="M36" s="528"/>
      <c r="N36" s="484"/>
      <c r="O36" s="528"/>
      <c r="P36" s="484"/>
      <c r="Q36" s="528"/>
      <c r="R36" s="484"/>
      <c r="S36" s="528"/>
      <c r="T36" s="484"/>
      <c r="U36" s="528"/>
      <c r="V36" s="484"/>
      <c r="W36" s="528"/>
      <c r="X36" s="484"/>
      <c r="Y36" s="528"/>
      <c r="Z36" s="484"/>
      <c r="AA36" s="528"/>
      <c r="AB36" s="484"/>
      <c r="AC36" s="1028"/>
      <c r="AD36" s="1028"/>
      <c r="AE36" s="1028"/>
      <c r="AF36" s="1036"/>
      <c r="AG36" s="1203"/>
    </row>
    <row r="37" spans="1:33" ht="15.75">
      <c r="A37" s="408" t="s">
        <v>127</v>
      </c>
      <c r="B37" s="141"/>
      <c r="C37" s="279">
        <v>8900</v>
      </c>
      <c r="D37" s="397"/>
      <c r="E37" s="379"/>
      <c r="F37" s="341" t="str">
        <f>IF($AE37&lt;1," ",IF(E37&lt;1," ",(E37)/$AE37))</f>
        <v xml:space="preserve"> </v>
      </c>
      <c r="G37" s="392"/>
      <c r="H37" s="341" t="str">
        <f>IF($AE37&lt;1," ",IF(G37&lt;1," ",(G37)/$AE37))</f>
        <v xml:space="preserve"> </v>
      </c>
      <c r="I37" s="392"/>
      <c r="J37" s="341" t="str">
        <f>IF($AE37&lt;1," ",IF(I37&lt;1," ",(I37)/$AE37))</f>
        <v xml:space="preserve"> </v>
      </c>
      <c r="K37" s="392"/>
      <c r="L37" s="341" t="str">
        <f>IF($AE37&lt;1," ",IF(K37&lt;1," ",(K37)/$AE37))</f>
        <v xml:space="preserve"> </v>
      </c>
      <c r="M37" s="392"/>
      <c r="N37" s="534" t="str">
        <f>IF($AE37&lt;1," ",IF(M37&lt;1," ",(M37)/$AE37))</f>
        <v xml:space="preserve"> </v>
      </c>
      <c r="O37" s="392"/>
      <c r="P37" s="341" t="str">
        <f>IF($AE37&lt;1," ",IF(O37&lt;1," ",(O37)/$AE37))</f>
        <v xml:space="preserve"> </v>
      </c>
      <c r="Q37" s="392"/>
      <c r="R37" s="341" t="str">
        <f>IF($AE37&lt;1," ",IF(Q37&lt;1," ",(Q37)/$AE37))</f>
        <v xml:space="preserve"> </v>
      </c>
      <c r="S37" s="392"/>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565">
        <f>AE37-(E37+G37+I37+K37+M37+O37+Q37+S37+U37+W37+Y37+AA37)</f>
        <v>0</v>
      </c>
      <c r="AD37" s="389">
        <f>+E37+G37+I37+K37+M37+O37+Q37+S37+U37+W37+Y37+AA37+AC37</f>
        <v>0</v>
      </c>
      <c r="AE37" s="389">
        <f>'Budget-Summary MYP'!H42</f>
        <v>0</v>
      </c>
      <c r="AF37" s="389">
        <f>+AE37-AD37</f>
        <v>0</v>
      </c>
      <c r="AG37" s="1203"/>
    </row>
    <row r="38" spans="1:33" ht="15.75">
      <c r="A38" s="408" t="s">
        <v>30</v>
      </c>
      <c r="B38" s="141"/>
      <c r="C38" s="279">
        <v>7600</v>
      </c>
      <c r="D38" s="397"/>
      <c r="E38" s="379"/>
      <c r="F38" s="341" t="str">
        <f>IF($AE38&lt;1," ",IF(E38&lt;1," ",(E38)/$AE38))</f>
        <v xml:space="preserve"> </v>
      </c>
      <c r="G38" s="392"/>
      <c r="H38" s="341" t="str">
        <f>IF($AE38&lt;1," ",IF(G38&lt;1," ",(G38)/$AE38))</f>
        <v xml:space="preserve"> </v>
      </c>
      <c r="I38" s="392"/>
      <c r="J38" s="341" t="str">
        <f>IF($AE38&lt;1," ",IF(I38&lt;1," ",(I38)/$AE38))</f>
        <v xml:space="preserve"> </v>
      </c>
      <c r="K38" s="392"/>
      <c r="L38" s="341" t="str">
        <f>IF($AE38&lt;1," ",IF(K38&lt;1," ",(K38)/$AE38))</f>
        <v xml:space="preserve"> </v>
      </c>
      <c r="M38" s="392"/>
      <c r="N38" s="534" t="str">
        <f>IF($AE38&lt;1," ",IF(M38&lt;1," ",(M38)/$AE38))</f>
        <v xml:space="preserve"> </v>
      </c>
      <c r="O38" s="392">
        <v>-86384.319808674976</v>
      </c>
      <c r="P38" s="341" t="str">
        <f>IF($AE38&lt;1," ",IF(O38&lt;1," ",(O38)/$AE38))</f>
        <v xml:space="preserve"> </v>
      </c>
      <c r="Q38" s="392">
        <v>-86384.319808674976</v>
      </c>
      <c r="R38" s="341" t="str">
        <f>IF($AE38&lt;1," ",IF(Q38&lt;1," ",(Q38)/$AE38))</f>
        <v xml:space="preserve"> </v>
      </c>
      <c r="S38" s="392">
        <v>-86384.319808674976</v>
      </c>
      <c r="T38" s="341" t="str">
        <f>IF($AE38&lt;1," ",IF(S38&lt;1," ",(S38)/$AE38))</f>
        <v xml:space="preserve"> </v>
      </c>
      <c r="U38" s="392">
        <v>-86384.319808674976</v>
      </c>
      <c r="V38" s="341" t="str">
        <f>IF($AE38&lt;1," ",IF(U38&lt;1," ",(U38)/$AE38))</f>
        <v xml:space="preserve"> </v>
      </c>
      <c r="W38" s="392">
        <v>-86384.319808674976</v>
      </c>
      <c r="X38" s="341" t="str">
        <f>IF($AE38&lt;1," ",IF(W38&lt;1," ",(W38)/$AE38))</f>
        <v xml:space="preserve"> </v>
      </c>
      <c r="Y38" s="392">
        <v>-86384.319808674976</v>
      </c>
      <c r="Z38" s="341" t="str">
        <f>IF($AE38&lt;1," ",IF(Y38&lt;1," ",(Y38)/$AE38))</f>
        <v xml:space="preserve"> </v>
      </c>
      <c r="AA38" s="392">
        <v>-456694.08114795014</v>
      </c>
      <c r="AB38" s="341" t="str">
        <f>IF($AE38&lt;1," ",IF(AA38&lt;1," ",(AA38)/$AE38))</f>
        <v xml:space="preserve"> </v>
      </c>
      <c r="AC38" s="1565">
        <f>AE38-(E38+G38+I38+K38+M38+O38+Q38+S38+U38+W38+Y38+AA38)</f>
        <v>0</v>
      </c>
      <c r="AD38" s="389">
        <f>+E38+G38+I38+K38+M38+O38+Q38+S38+U38+W38+Y38+AA38+AC38</f>
        <v>-975000</v>
      </c>
      <c r="AE38" s="389">
        <f>'Budget-Summary MYP'!H43</f>
        <v>-975000</v>
      </c>
      <c r="AF38" s="389">
        <f>+AE38-AD38</f>
        <v>0</v>
      </c>
      <c r="AG38" s="1203"/>
    </row>
    <row r="39" spans="1:33" ht="16.5" thickBot="1">
      <c r="A39" s="412" t="s">
        <v>31</v>
      </c>
      <c r="B39" s="384"/>
      <c r="C39" s="385"/>
      <c r="D39" s="385"/>
      <c r="E39" s="773">
        <f>+E37-E38</f>
        <v>0</v>
      </c>
      <c r="F39" s="386" t="str">
        <f>IF($AE39&lt;1," ",IF(E39&lt;1," ",(E39)/$AE39))</f>
        <v xml:space="preserve"> </v>
      </c>
      <c r="G39" s="774">
        <f>+G37-G38</f>
        <v>0</v>
      </c>
      <c r="H39" s="386" t="str">
        <f>IF($AE39&lt;1," ",IF(G39&lt;1," ",(G39)/$AE39))</f>
        <v xml:space="preserve"> </v>
      </c>
      <c r="I39" s="774">
        <f>+I37-I38</f>
        <v>0</v>
      </c>
      <c r="J39" s="386" t="str">
        <f>IF($AE39&lt;1," ",IF(I39&lt;1," ",(I39)/$AE39))</f>
        <v xml:space="preserve"> </v>
      </c>
      <c r="K39" s="774">
        <f>+K37-K38</f>
        <v>0</v>
      </c>
      <c r="L39" s="386" t="str">
        <f>IF($AE39&lt;1," ",IF(K39&lt;1," ",(K39)/$AE39))</f>
        <v xml:space="preserve"> </v>
      </c>
      <c r="M39" s="774">
        <f>+M37-M38</f>
        <v>0</v>
      </c>
      <c r="N39" s="536" t="str">
        <f>IF($AE39&lt;1," ",IF(M39&lt;1," ",(M39)/$AE39))</f>
        <v xml:space="preserve"> </v>
      </c>
      <c r="O39" s="774">
        <f>+O37-O38</f>
        <v>86384.319808674976</v>
      </c>
      <c r="P39" s="386">
        <f>IF($AE39&lt;1," ",IF(O39&lt;1," ",(O39)/$AE39))</f>
        <v>8.8599302367871766E-2</v>
      </c>
      <c r="Q39" s="774">
        <f>+Q37-Q38</f>
        <v>86384.319808674976</v>
      </c>
      <c r="R39" s="536">
        <f>IF($AE39&lt;1," ",IF(Q39&lt;1," ",(Q39)/$AE39))</f>
        <v>8.8599302367871766E-2</v>
      </c>
      <c r="S39" s="775">
        <f>+S37-S38</f>
        <v>86384.319808674976</v>
      </c>
      <c r="T39" s="386">
        <f>IF($AE39&lt;1," ",IF(S39&lt;1," ",(S39)/$AE39))</f>
        <v>8.8599302367871766E-2</v>
      </c>
      <c r="U39" s="774">
        <f>+U37-U38</f>
        <v>86384.319808674976</v>
      </c>
      <c r="V39" s="386">
        <f>IF($AE39&lt;1," ",IF(U39&lt;1," ",(U39)/$AE39))</f>
        <v>8.8599302367871766E-2</v>
      </c>
      <c r="W39" s="774">
        <f>+W37-W38</f>
        <v>86384.319808674976</v>
      </c>
      <c r="X39" s="386">
        <f>IF($AE39&lt;1," ",IF(W39&lt;1," ",(W39)/$AE39))</f>
        <v>8.8599302367871766E-2</v>
      </c>
      <c r="Y39" s="774">
        <f>+Y37-Y38</f>
        <v>86384.319808674976</v>
      </c>
      <c r="Z39" s="386">
        <f>IF($AE39&lt;1," ",IF(Y39&lt;1," ",(Y39)/$AE39))</f>
        <v>8.8599302367871766E-2</v>
      </c>
      <c r="AA39" s="774">
        <f>+AA37-AA38</f>
        <v>456694.08114795014</v>
      </c>
      <c r="AB39" s="386">
        <f>IF($AE39&lt;1," ",IF(AA39&lt;1," ",(AA39)/$AE39))</f>
        <v>0.46840418579276938</v>
      </c>
      <c r="AC39" s="1564">
        <f>+AC37-AC38</f>
        <v>0</v>
      </c>
      <c r="AD39" s="776">
        <f>+AD37-AD38</f>
        <v>975000</v>
      </c>
      <c r="AE39" s="776">
        <f>+AE37-AE38</f>
        <v>975000</v>
      </c>
      <c r="AF39" s="776">
        <f>+AF37-AF38</f>
        <v>0</v>
      </c>
      <c r="AG39" s="1203"/>
    </row>
    <row r="40" spans="1:33" ht="15.75" customHeight="1">
      <c r="A40" s="411"/>
      <c r="B40" s="183"/>
      <c r="C40" s="23"/>
      <c r="D40" s="1819" t="s">
        <v>213</v>
      </c>
      <c r="E40" s="24"/>
      <c r="F40" s="199" t="s">
        <v>82</v>
      </c>
      <c r="G40" s="394"/>
      <c r="H40" s="199" t="s">
        <v>82</v>
      </c>
      <c r="I40" s="394"/>
      <c r="J40" s="199" t="s">
        <v>82</v>
      </c>
      <c r="K40" s="394"/>
      <c r="L40" s="199" t="s">
        <v>82</v>
      </c>
      <c r="M40" s="394"/>
      <c r="N40" s="538" t="s">
        <v>82</v>
      </c>
      <c r="O40" s="394"/>
      <c r="P40" s="199" t="s">
        <v>82</v>
      </c>
      <c r="Q40" s="394"/>
      <c r="R40" s="537" t="s">
        <v>82</v>
      </c>
      <c r="S40" s="21"/>
      <c r="T40" s="199" t="s">
        <v>82</v>
      </c>
      <c r="U40" s="394"/>
      <c r="V40" s="199" t="s">
        <v>82</v>
      </c>
      <c r="W40" s="394"/>
      <c r="X40" s="199" t="s">
        <v>82</v>
      </c>
      <c r="Y40" s="394"/>
      <c r="Z40" s="199" t="s">
        <v>82</v>
      </c>
      <c r="AA40" s="394"/>
      <c r="AB40" s="199" t="s">
        <v>82</v>
      </c>
      <c r="AC40" s="1566"/>
      <c r="AD40" s="1035"/>
      <c r="AE40" s="1822" t="s">
        <v>214</v>
      </c>
      <c r="AF40" s="1041"/>
    </row>
    <row r="41" spans="1:33" ht="15.75">
      <c r="A41" s="67" t="s">
        <v>110</v>
      </c>
      <c r="B41" s="181"/>
      <c r="C41" s="23"/>
      <c r="D41" s="1820"/>
      <c r="E41" s="24"/>
      <c r="F41" s="199" t="s">
        <v>230</v>
      </c>
      <c r="G41" s="394"/>
      <c r="H41" s="199" t="s">
        <v>230</v>
      </c>
      <c r="I41" s="394"/>
      <c r="J41" s="199" t="s">
        <v>230</v>
      </c>
      <c r="K41" s="394"/>
      <c r="L41" s="199" t="s">
        <v>230</v>
      </c>
      <c r="M41" s="394"/>
      <c r="N41" s="538" t="s">
        <v>230</v>
      </c>
      <c r="O41" s="394"/>
      <c r="P41" s="199" t="s">
        <v>230</v>
      </c>
      <c r="Q41" s="394"/>
      <c r="R41" s="538" t="s">
        <v>230</v>
      </c>
      <c r="S41" s="21"/>
      <c r="T41" s="199" t="s">
        <v>230</v>
      </c>
      <c r="U41" s="394"/>
      <c r="V41" s="199" t="s">
        <v>230</v>
      </c>
      <c r="W41" s="394"/>
      <c r="X41" s="199" t="s">
        <v>230</v>
      </c>
      <c r="Y41" s="394"/>
      <c r="Z41" s="199" t="s">
        <v>230</v>
      </c>
      <c r="AA41" s="394"/>
      <c r="AB41" s="199" t="s">
        <v>230</v>
      </c>
      <c r="AC41" s="1566"/>
      <c r="AD41" s="1035"/>
      <c r="AE41" s="1823"/>
      <c r="AF41" s="777"/>
    </row>
    <row r="42" spans="1:33" ht="15.75">
      <c r="A42" s="69"/>
      <c r="B42" s="183"/>
      <c r="C42" s="23"/>
      <c r="D42" s="1821"/>
      <c r="E42" s="24"/>
      <c r="F42" s="195"/>
      <c r="G42" s="394"/>
      <c r="H42" s="195"/>
      <c r="I42" s="394"/>
      <c r="J42" s="195"/>
      <c r="K42" s="394"/>
      <c r="L42" s="195"/>
      <c r="M42" s="394"/>
      <c r="N42" s="539"/>
      <c r="O42" s="394"/>
      <c r="P42" s="195"/>
      <c r="Q42" s="394"/>
      <c r="R42" s="539"/>
      <c r="S42" s="21"/>
      <c r="T42" s="195"/>
      <c r="U42" s="394"/>
      <c r="V42" s="195"/>
      <c r="W42" s="394"/>
      <c r="X42" s="195"/>
      <c r="Y42" s="394"/>
      <c r="Z42" s="195"/>
      <c r="AA42" s="394"/>
      <c r="AB42" s="195"/>
      <c r="AC42" s="1566"/>
      <c r="AD42" s="1035"/>
      <c r="AE42" s="1824"/>
      <c r="AF42" s="777"/>
    </row>
    <row r="43" spans="1:33" ht="15.75">
      <c r="A43" s="413" t="s">
        <v>330</v>
      </c>
      <c r="B43" s="398"/>
      <c r="C43" s="626">
        <v>9210</v>
      </c>
      <c r="D43" s="1019"/>
      <c r="E43" s="399"/>
      <c r="F43" s="341" t="str">
        <f>IF($D43&lt;1," ",IF(E43&lt;1," ",(E43)/$D43))</f>
        <v xml:space="preserve"> </v>
      </c>
      <c r="G43" s="400"/>
      <c r="H43" s="341" t="str">
        <f>IF($D43&lt;1," ",IF(G43&lt;1," ",(G43)/$D43))</f>
        <v xml:space="preserve"> </v>
      </c>
      <c r="I43" s="400"/>
      <c r="J43" s="341" t="str">
        <f>IF($D43&lt;1," ",IF(I43&lt;1," ",(I43)/$D43))</f>
        <v xml:space="preserve"> </v>
      </c>
      <c r="K43" s="400"/>
      <c r="L43" s="341" t="str">
        <f>IF($D43&lt;1," ",IF(K43&lt;1," ",(K43)/$D43))</f>
        <v xml:space="preserve"> </v>
      </c>
      <c r="M43" s="400"/>
      <c r="N43" s="534" t="str">
        <f>IF($D43&lt;1," ",IF(M43&lt;1," ",(M43)/$D43))</f>
        <v xml:space="preserve"> </v>
      </c>
      <c r="O43" s="400"/>
      <c r="P43" s="341" t="str">
        <f>IF($D43&lt;1," ",IF(O43&lt;1," ",(O43)/$D43))</f>
        <v xml:space="preserve"> </v>
      </c>
      <c r="Q43" s="400"/>
      <c r="R43" s="534" t="str">
        <f>IF($D43&lt;1," ",IF(Q43&lt;1," ",(Q43)/$D43))</f>
        <v xml:space="preserve"> </v>
      </c>
      <c r="S43" s="514"/>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567"/>
      <c r="AD43" s="1570">
        <f>+E43+G43+I43+K43+M43+O43+Q43+S43+U43+W43+Y43+AA43</f>
        <v>0</v>
      </c>
      <c r="AE43" s="401">
        <f>D43-AD43</f>
        <v>0</v>
      </c>
      <c r="AF43" s="777"/>
      <c r="AG43" s="1571" t="str">
        <f>IF(AD43=D43,"","Prior Year Transactions should be zero'd out by Year End")</f>
        <v/>
      </c>
    </row>
    <row r="44" spans="1:33" ht="15.75">
      <c r="A44" s="413" t="s">
        <v>11</v>
      </c>
      <c r="B44" s="398"/>
      <c r="C44" s="626">
        <v>9330</v>
      </c>
      <c r="D44" s="1019"/>
      <c r="E44" s="399"/>
      <c r="F44" s="341" t="str">
        <f>IF($D44&lt;1," ",IF(E44&lt;1," ",(E44)/$D44))</f>
        <v xml:space="preserve"> </v>
      </c>
      <c r="G44" s="400"/>
      <c r="H44" s="341" t="str">
        <f>IF($D44&lt;1," ",IF(G44&lt;1," ",(G44)/$D44))</f>
        <v xml:space="preserve"> </v>
      </c>
      <c r="I44" s="400"/>
      <c r="J44" s="341" t="str">
        <f>IF($D44&lt;1," ",IF(I44&lt;1," ",(I44)/$D44))</f>
        <v xml:space="preserve"> </v>
      </c>
      <c r="K44" s="400"/>
      <c r="L44" s="341" t="str">
        <f>IF($D44&lt;1," ",IF(K44&lt;1," ",(K44)/$D44))</f>
        <v xml:space="preserve"> </v>
      </c>
      <c r="M44" s="400"/>
      <c r="N44" s="534" t="str">
        <f>IF($D44&lt;1," ",IF(M44&lt;1," ",(M44)/$D44))</f>
        <v xml:space="preserve"> </v>
      </c>
      <c r="O44" s="400"/>
      <c r="P44" s="341" t="str">
        <f>IF($D44&lt;1," ",IF(O44&lt;1," ",(O44)/$D44))</f>
        <v xml:space="preserve"> </v>
      </c>
      <c r="Q44" s="400"/>
      <c r="R44" s="534" t="str">
        <f>IF($D44&lt;1," ",IF(Q44&lt;1," ",(Q44)/$D44))</f>
        <v xml:space="preserve"> </v>
      </c>
      <c r="S44" s="514"/>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567"/>
      <c r="AD44" s="1570">
        <f>+E44+G44+I44+K44+M44+O44+Q44+S44+U44+W44+Y44+AA44</f>
        <v>0</v>
      </c>
      <c r="AE44" s="401">
        <f>D44-AD44</f>
        <v>0</v>
      </c>
      <c r="AF44" s="777"/>
      <c r="AG44" s="1571" t="str">
        <f>IF(AD44=D44,"","Prior Year Transactions should be zero'd out by Year End")</f>
        <v/>
      </c>
    </row>
    <row r="45" spans="1:33" ht="15.75">
      <c r="A45" s="413" t="s">
        <v>331</v>
      </c>
      <c r="B45" s="398"/>
      <c r="C45" s="626">
        <v>9510</v>
      </c>
      <c r="D45" s="1019"/>
      <c r="E45" s="399"/>
      <c r="F45" s="341" t="str">
        <f>IF($D45&lt;1," ",IF(E45&lt;1," ",(E45)/$D45))</f>
        <v xml:space="preserve"> </v>
      </c>
      <c r="G45" s="400"/>
      <c r="H45" s="341" t="str">
        <f>IF($D45&lt;1," ",IF(G45&lt;1," ",(G45)/$D45))</f>
        <v xml:space="preserve"> </v>
      </c>
      <c r="I45" s="400"/>
      <c r="J45" s="341" t="str">
        <f>IF($D45&lt;1," ",IF(I45&lt;1," ",(I45)/$D45))</f>
        <v xml:space="preserve"> </v>
      </c>
      <c r="K45" s="400"/>
      <c r="L45" s="341" t="str">
        <f>IF($D45&lt;1," ",IF(K45&lt;1," ",(K45)/$D45))</f>
        <v xml:space="preserve"> </v>
      </c>
      <c r="M45" s="400"/>
      <c r="N45" s="534" t="str">
        <f>IF($D45&lt;1," ",IF(M45&lt;1," ",(M45)/$D45))</f>
        <v xml:space="preserve"> </v>
      </c>
      <c r="O45" s="400"/>
      <c r="P45" s="341" t="str">
        <f>IF($D45&lt;1," ",IF(O45&lt;1," ",(O45)/$D45))</f>
        <v xml:space="preserve"> </v>
      </c>
      <c r="Q45" s="400"/>
      <c r="R45" s="534" t="str">
        <f>IF($D45&lt;1," ",IF(Q45&lt;1," ",(Q45)/$D45))</f>
        <v xml:space="preserve"> </v>
      </c>
      <c r="S45" s="514"/>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567"/>
      <c r="AD45" s="1570">
        <f>+E45+G45+I45+K45+M45+O45+Q45+S45+U45+W45+Y45+AA45</f>
        <v>0</v>
      </c>
      <c r="AE45" s="401">
        <f>D45-AD45</f>
        <v>0</v>
      </c>
      <c r="AF45" s="777"/>
      <c r="AG45" s="1571" t="str">
        <f>IF(AD45=D45,"","Prior Year Transactions should be zero'd out by Year End")</f>
        <v/>
      </c>
    </row>
    <row r="46" spans="1:33" ht="15.75">
      <c r="A46" s="413" t="s">
        <v>332</v>
      </c>
      <c r="B46" s="398"/>
      <c r="C46" s="627">
        <v>9640</v>
      </c>
      <c r="D46" s="1020"/>
      <c r="E46" s="399"/>
      <c r="F46" s="341" t="str">
        <f>IF($D46&lt;1," ",IF(E46&lt;1," ",(E46)/$D46))</f>
        <v xml:space="preserve"> </v>
      </c>
      <c r="G46" s="400"/>
      <c r="H46" s="341" t="str">
        <f>IF($D46&lt;1," ",IF(G46&lt;1," ",(G46)/$D46))</f>
        <v xml:space="preserve"> </v>
      </c>
      <c r="I46" s="400"/>
      <c r="J46" s="341" t="str">
        <f>IF($D46&lt;1," ",IF(I46&lt;1," ",(I46)/$D46))</f>
        <v xml:space="preserve"> </v>
      </c>
      <c r="K46" s="400"/>
      <c r="L46" s="341" t="str">
        <f>IF($D46&lt;1," ",IF(K46&lt;1," ",(K46)/$D46))</f>
        <v xml:space="preserve"> </v>
      </c>
      <c r="M46" s="400"/>
      <c r="N46" s="534" t="str">
        <f>IF($D46&lt;1," ",IF(M46&lt;1," ",(M46)/$D46))</f>
        <v xml:space="preserve"> </v>
      </c>
      <c r="O46" s="400"/>
      <c r="P46" s="341" t="str">
        <f>IF($D46&lt;1," ",IF(O46&lt;1," ",(O46)/$D46))</f>
        <v xml:space="preserve"> </v>
      </c>
      <c r="Q46" s="400"/>
      <c r="R46" s="534" t="str">
        <f>IF($D46&lt;1," ",IF(Q46&lt;1," ",(Q46)/$D46))</f>
        <v xml:space="preserve"> </v>
      </c>
      <c r="S46" s="514"/>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567"/>
      <c r="AD46" s="1570">
        <f>+E46+G46+I46+K46+M46+O46+Q46+S46+U46+W46+Y46+AA46</f>
        <v>0</v>
      </c>
      <c r="AE46" s="401">
        <f>D46-AD46</f>
        <v>0</v>
      </c>
      <c r="AF46" s="777"/>
      <c r="AG46" s="1571" t="str">
        <f>IF(AD46=D46,"","Prior Year Transactions should be zero'd out by Year End")</f>
        <v/>
      </c>
    </row>
    <row r="47" spans="1:33" ht="15.75">
      <c r="A47" s="413" t="s">
        <v>333</v>
      </c>
      <c r="B47" s="398"/>
      <c r="C47" s="626">
        <v>9650</v>
      </c>
      <c r="D47" s="1019"/>
      <c r="E47" s="399"/>
      <c r="F47" s="341" t="str">
        <f>IF($D47&lt;1," ",IF(E47&lt;1," ",(E47)/$D47))</f>
        <v xml:space="preserve"> </v>
      </c>
      <c r="G47" s="400"/>
      <c r="H47" s="341" t="str">
        <f>IF($D47&lt;1," ",IF(G47&lt;1," ",(G47)/$D47))</f>
        <v xml:space="preserve"> </v>
      </c>
      <c r="I47" s="400"/>
      <c r="J47" s="341" t="str">
        <f>IF($D47&lt;1," ",IF(I47&lt;1," ",(I47)/$D47))</f>
        <v xml:space="preserve"> </v>
      </c>
      <c r="K47" s="400"/>
      <c r="L47" s="341" t="str">
        <f>IF($D47&lt;1," ",IF(K47&lt;1," ",(K47)/$D47))</f>
        <v xml:space="preserve"> </v>
      </c>
      <c r="M47" s="400"/>
      <c r="N47" s="534" t="str">
        <f>IF($D47&lt;1," ",IF(M47&lt;1," ",(M47)/$D47))</f>
        <v xml:space="preserve"> </v>
      </c>
      <c r="O47" s="400"/>
      <c r="P47" s="341" t="str">
        <f>IF($D47&lt;1," ",IF(O47&lt;1," ",(O47)/$D47))</f>
        <v xml:space="preserve"> </v>
      </c>
      <c r="Q47" s="400"/>
      <c r="R47" s="534" t="str">
        <f>IF($D47&lt;1," ",IF(Q47&lt;1," ",(Q47)/$D47))</f>
        <v xml:space="preserve"> </v>
      </c>
      <c r="S47" s="514"/>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567"/>
      <c r="AD47" s="1570">
        <f>+E47+G47+I47+K47+M47+O47+Q47+S47+U47+W47+Y47+AA47</f>
        <v>0</v>
      </c>
      <c r="AE47" s="401">
        <f>D47-AD47</f>
        <v>0</v>
      </c>
      <c r="AF47" s="777"/>
      <c r="AG47" s="1571" t="str">
        <f>IF(AD47=D47,"","Prior Year Transactions should be zero'd out by Year End")</f>
        <v/>
      </c>
    </row>
    <row r="48" spans="1:33" ht="16.5" thickBot="1">
      <c r="A48" s="70" t="s">
        <v>111</v>
      </c>
      <c r="B48" s="371"/>
      <c r="C48" s="71"/>
      <c r="D48" s="1045">
        <f>+D43+D44-D45-D46-D47</f>
        <v>0</v>
      </c>
      <c r="E48" s="773">
        <f>+E43+E44-E45-E46-E47</f>
        <v>0</v>
      </c>
      <c r="F48" s="386"/>
      <c r="G48" s="774">
        <f>+G43+G44-G45-G46-G47</f>
        <v>0</v>
      </c>
      <c r="H48" s="386"/>
      <c r="I48" s="774">
        <f>+I43+I44-I45-I46-I47</f>
        <v>0</v>
      </c>
      <c r="J48" s="386"/>
      <c r="K48" s="774">
        <f>+K43+K44-K45-K46-K47</f>
        <v>0</v>
      </c>
      <c r="L48" s="386"/>
      <c r="M48" s="774">
        <f>+M43+M44-M45-M46-M47</f>
        <v>0</v>
      </c>
      <c r="N48" s="536"/>
      <c r="O48" s="774">
        <f>+O43+O44-O45-O46-O47</f>
        <v>0</v>
      </c>
      <c r="P48" s="386"/>
      <c r="Q48" s="774">
        <f>+Q43+Q44-Q45-Q46-Q47</f>
        <v>0</v>
      </c>
      <c r="R48" s="536"/>
      <c r="S48" s="775">
        <f>+S43+S44-S45-S46-S47</f>
        <v>0</v>
      </c>
      <c r="T48" s="386"/>
      <c r="U48" s="774">
        <f>+U43+U44-U45-U46-U47</f>
        <v>0</v>
      </c>
      <c r="V48" s="386"/>
      <c r="W48" s="774">
        <f>+W43+W44-W45-W46-W47</f>
        <v>0</v>
      </c>
      <c r="X48" s="386"/>
      <c r="Y48" s="774">
        <f>+Y43+Y44-Y45-Y46-Y47</f>
        <v>0</v>
      </c>
      <c r="Z48" s="386"/>
      <c r="AA48" s="774">
        <f>+AA43+AA44-AA45-AA46-AA47</f>
        <v>0</v>
      </c>
      <c r="AB48" s="386"/>
      <c r="AC48" s="1564"/>
      <c r="AD48" s="776">
        <f>+AD43+AD44-AD45-AD46-AD47</f>
        <v>0</v>
      </c>
      <c r="AE48" s="776">
        <f>+AE43+AE44-AE45-AE46-AE47</f>
        <v>0</v>
      </c>
      <c r="AF48" s="1042"/>
    </row>
    <row r="49" spans="1:33" ht="15.75">
      <c r="A49" s="409"/>
      <c r="B49" s="372"/>
      <c r="C49" s="72"/>
      <c r="D49" s="72"/>
      <c r="E49" s="73"/>
      <c r="F49" s="197"/>
      <c r="G49" s="74"/>
      <c r="H49" s="197"/>
      <c r="I49" s="74"/>
      <c r="J49" s="197"/>
      <c r="K49" s="74"/>
      <c r="L49" s="197"/>
      <c r="M49" s="74"/>
      <c r="N49" s="197"/>
      <c r="O49" s="74"/>
      <c r="P49" s="197"/>
      <c r="Q49" s="74"/>
      <c r="R49" s="197"/>
      <c r="S49" s="74"/>
      <c r="T49" s="197"/>
      <c r="U49" s="74"/>
      <c r="V49" s="197"/>
      <c r="W49" s="74"/>
      <c r="X49" s="197"/>
      <c r="Y49" s="74"/>
      <c r="Z49" s="197"/>
      <c r="AA49" s="74"/>
      <c r="AB49" s="197"/>
      <c r="AC49" s="1024"/>
      <c r="AD49" s="1024"/>
      <c r="AE49" s="1024"/>
      <c r="AF49" s="1040"/>
    </row>
    <row r="50" spans="1:33" ht="15.75">
      <c r="A50" s="67" t="s">
        <v>116</v>
      </c>
      <c r="B50" s="181"/>
      <c r="C50" s="375"/>
      <c r="D50" s="375"/>
      <c r="E50" s="548"/>
      <c r="F50" s="533"/>
      <c r="G50" s="528"/>
      <c r="H50" s="533"/>
      <c r="I50" s="528"/>
      <c r="J50" s="533"/>
      <c r="K50" s="528"/>
      <c r="L50" s="533"/>
      <c r="M50" s="528"/>
      <c r="N50" s="533"/>
      <c r="O50" s="528"/>
      <c r="P50" s="533"/>
      <c r="Q50" s="528"/>
      <c r="R50" s="533"/>
      <c r="S50" s="528"/>
      <c r="T50" s="533"/>
      <c r="U50" s="528"/>
      <c r="V50" s="533"/>
      <c r="W50" s="528"/>
      <c r="X50" s="533"/>
      <c r="Y50" s="528"/>
      <c r="Z50" s="533"/>
      <c r="AA50" s="528"/>
      <c r="AB50" s="533"/>
      <c r="AC50" s="1028"/>
      <c r="AD50" s="1028"/>
      <c r="AE50" s="1028"/>
      <c r="AF50" s="1036"/>
    </row>
    <row r="51" spans="1:33" ht="15.75">
      <c r="A51" s="1816" t="s">
        <v>514</v>
      </c>
      <c r="B51" s="1817"/>
      <c r="C51" s="378"/>
      <c r="D51" s="1599"/>
      <c r="E51" s="399"/>
      <c r="F51" s="341" t="str">
        <f>IF($AE51&lt;1," ",IF(E51&lt;1," ",(E51)/$AE51))</f>
        <v xml:space="preserve"> </v>
      </c>
      <c r="G51" s="400"/>
      <c r="H51" s="341" t="str">
        <f>IF($AE51&lt;1," ",IF(G51&lt;1," ",(G51)/$AE51))</f>
        <v xml:space="preserve"> </v>
      </c>
      <c r="I51" s="400"/>
      <c r="J51" s="341" t="str">
        <f>IF($AE51&lt;1," ",IF(I51&lt;1," ",(I51)/$AE51))</f>
        <v xml:space="preserve"> </v>
      </c>
      <c r="K51" s="400"/>
      <c r="L51" s="341" t="str">
        <f>IF($AE51&lt;1," ",IF(K51&lt;1," ",(K51)/$AE51))</f>
        <v xml:space="preserve"> </v>
      </c>
      <c r="M51" s="400"/>
      <c r="N51" s="534" t="str">
        <f>IF($AE51&lt;1," ",IF(M51&lt;1," ",(M51)/$AE51))</f>
        <v xml:space="preserve"> </v>
      </c>
      <c r="O51" s="400"/>
      <c r="P51" s="341" t="str">
        <f>IF($AE51&lt;1," ",IF(O51&lt;1," ",(O51)/$AE51))</f>
        <v xml:space="preserve"> </v>
      </c>
      <c r="Q51" s="400"/>
      <c r="R51" s="534" t="str">
        <f>IF($AE51&lt;1," ",IF(Q51&lt;1," ",(Q51)/$AE51))</f>
        <v xml:space="preserve"> </v>
      </c>
      <c r="S51" s="514"/>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400"/>
      <c r="AD51" s="381">
        <f>D51+E51+G51+I51+K51+M51+O51+Q51+S51+U51+W51+Y51+AA51+AC51</f>
        <v>0</v>
      </c>
      <c r="AE51" s="778"/>
      <c r="AF51" s="779"/>
      <c r="AG51" s="1203"/>
    </row>
    <row r="52" spans="1:33" ht="15.75">
      <c r="A52" s="1816"/>
      <c r="B52" s="1817"/>
      <c r="C52" s="397"/>
      <c r="D52" s="1599"/>
      <c r="E52" s="399"/>
      <c r="F52" s="341" t="str">
        <f>IF($AE52&lt;1," ",IF(E52&lt;1," ",(E52)/$AE52))</f>
        <v xml:space="preserve"> </v>
      </c>
      <c r="G52" s="400"/>
      <c r="H52" s="341" t="str">
        <f>IF($AE52&lt;1," ",IF(G52&lt;1," ",(G52)/$AE52))</f>
        <v xml:space="preserve"> </v>
      </c>
      <c r="I52" s="400"/>
      <c r="J52" s="341" t="str">
        <f>IF($AE52&lt;1," ",IF(I52&lt;1," ",(I52)/$AE52))</f>
        <v xml:space="preserve"> </v>
      </c>
      <c r="K52" s="400"/>
      <c r="L52" s="341" t="str">
        <f>IF($AE52&lt;1," ",IF(K52&lt;1," ",(K52)/$AE52))</f>
        <v xml:space="preserve"> </v>
      </c>
      <c r="M52" s="400"/>
      <c r="N52" s="534" t="str">
        <f>IF($AE52&lt;1," ",IF(M52&lt;1," ",(M52)/$AE52))</f>
        <v xml:space="preserve"> </v>
      </c>
      <c r="O52" s="400"/>
      <c r="P52" s="341" t="str">
        <f>IF($AE52&lt;1," ",IF(O52&lt;1," ",(O52)/$AE52))</f>
        <v xml:space="preserve"> </v>
      </c>
      <c r="Q52" s="400"/>
      <c r="R52" s="534" t="str">
        <f>IF($AE52&lt;1," ",IF(Q52&lt;1," ",(Q52)/$AE52))</f>
        <v xml:space="preserve"> </v>
      </c>
      <c r="S52" s="514"/>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400"/>
      <c r="AD52" s="381">
        <f>+E52+G52+I52+K52+M52+O52+Q52+S52+U52+W52+Y52+AA52+AC52</f>
        <v>0</v>
      </c>
      <c r="AE52" s="780"/>
      <c r="AF52" s="781"/>
      <c r="AG52" s="1223"/>
    </row>
    <row r="53" spans="1:33" ht="15.75">
      <c r="A53" s="1816"/>
      <c r="B53" s="1817"/>
      <c r="C53" s="378"/>
      <c r="D53" s="1599"/>
      <c r="E53" s="399"/>
      <c r="F53" s="341" t="str">
        <f>IF($AE53&lt;1," ",IF(E53&lt;1," ",(E53)/$AE53))</f>
        <v xml:space="preserve"> </v>
      </c>
      <c r="G53" s="400"/>
      <c r="H53" s="341" t="str">
        <f>IF($AE53&lt;1," ",IF(G53&lt;1," ",(G53)/$AE53))</f>
        <v xml:space="preserve"> </v>
      </c>
      <c r="I53" s="400"/>
      <c r="J53" s="341" t="str">
        <f>IF($AE53&lt;1," ",IF(I53&lt;1," ",(I53)/$AE53))</f>
        <v xml:space="preserve"> </v>
      </c>
      <c r="K53" s="400"/>
      <c r="L53" s="341" t="str">
        <f>IF($AE53&lt;1," ",IF(K53&lt;1," ",(K53)/$AE53))</f>
        <v xml:space="preserve"> </v>
      </c>
      <c r="M53" s="400"/>
      <c r="N53" s="534" t="str">
        <f>IF($AE53&lt;1," ",IF(M53&lt;1," ",(M53)/$AE53))</f>
        <v xml:space="preserve"> </v>
      </c>
      <c r="O53" s="400"/>
      <c r="P53" s="341" t="str">
        <f>IF($AE53&lt;1," ",IF(O53&lt;1," ",(O53)/$AE53))</f>
        <v xml:space="preserve"> </v>
      </c>
      <c r="Q53" s="400"/>
      <c r="R53" s="534" t="str">
        <f>IF($AE53&lt;1," ",IF(Q53&lt;1," ",(Q53)/$AE53))</f>
        <v xml:space="preserve"> </v>
      </c>
      <c r="S53" s="514"/>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400"/>
      <c r="AD53" s="381">
        <f>+E53+G53+I53+K53+M53+O53+Q53+S53+U53+W53+Y53+AA53+AC53</f>
        <v>0</v>
      </c>
      <c r="AE53" s="780"/>
      <c r="AF53" s="781"/>
      <c r="AG53" s="1223"/>
    </row>
    <row r="54" spans="1:33" ht="15.75">
      <c r="A54" s="1816"/>
      <c r="B54" s="1817"/>
      <c r="C54" s="378"/>
      <c r="D54" s="1599"/>
      <c r="E54" s="399"/>
      <c r="F54" s="341" t="str">
        <f>IF($AE54&lt;1," ",IF(E54&lt;1," ",(E54)/$AE54))</f>
        <v xml:space="preserve"> </v>
      </c>
      <c r="G54" s="400"/>
      <c r="H54" s="341" t="str">
        <f>IF($AE54&lt;1," ",IF(G54&lt;1," ",(G54)/$AE54))</f>
        <v xml:space="preserve"> </v>
      </c>
      <c r="I54" s="400"/>
      <c r="J54" s="341" t="str">
        <f>IF($AE54&lt;1," ",IF(I54&lt;1," ",(I54)/$AE54))</f>
        <v xml:space="preserve"> </v>
      </c>
      <c r="K54" s="400"/>
      <c r="L54" s="341" t="str">
        <f>IF($AE54&lt;1," ",IF(K54&lt;1," ",(K54)/$AE54))</f>
        <v xml:space="preserve"> </v>
      </c>
      <c r="M54" s="400"/>
      <c r="N54" s="534" t="str">
        <f>IF($AE54&lt;1," ",IF(M54&lt;1," ",(M54)/$AE54))</f>
        <v xml:space="preserve"> </v>
      </c>
      <c r="O54" s="400"/>
      <c r="P54" s="341" t="str">
        <f>IF($AE54&lt;1," ",IF(O54&lt;1," ",(O54)/$AE54))</f>
        <v xml:space="preserve"> </v>
      </c>
      <c r="Q54" s="400"/>
      <c r="R54" s="534" t="str">
        <f>IF($AE54&lt;1," ",IF(Q54&lt;1," ",(Q54)/$AE54))</f>
        <v xml:space="preserve"> </v>
      </c>
      <c r="S54" s="514"/>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400"/>
      <c r="AD54" s="381">
        <f>+E54+G54+I54+K54+M54+O54+Q54+S54+U54+W54+Y54+AA54+AC54</f>
        <v>0</v>
      </c>
      <c r="AE54" s="780"/>
      <c r="AF54" s="781"/>
      <c r="AG54" s="1203"/>
    </row>
    <row r="55" spans="1:33" ht="15.75">
      <c r="A55" s="1816"/>
      <c r="B55" s="1817"/>
      <c r="C55" s="378"/>
      <c r="D55" s="1599"/>
      <c r="E55" s="399"/>
      <c r="F55" s="341" t="str">
        <f>IF($AE55&lt;1," ",IF(E55&lt;1," ",(E55)/$AE55))</f>
        <v xml:space="preserve"> </v>
      </c>
      <c r="G55" s="400"/>
      <c r="H55" s="341" t="str">
        <f>IF($AE55&lt;1," ",IF(G55&lt;1," ",(G55)/$AE55))</f>
        <v xml:space="preserve"> </v>
      </c>
      <c r="I55" s="400"/>
      <c r="J55" s="341" t="str">
        <f>IF($AE55&lt;1," ",IF(I55&lt;1," ",(I55)/$AE55))</f>
        <v xml:space="preserve"> </v>
      </c>
      <c r="K55" s="400"/>
      <c r="L55" s="341" t="str">
        <f>IF($AE55&lt;1," ",IF(K55&lt;1," ",(K55)/$AE55))</f>
        <v xml:space="preserve"> </v>
      </c>
      <c r="M55" s="400"/>
      <c r="N55" s="534" t="str">
        <f>IF($AE55&lt;1," ",IF(M55&lt;1," ",(M55)/$AE55))</f>
        <v xml:space="preserve"> </v>
      </c>
      <c r="O55" s="400"/>
      <c r="P55" s="341" t="str">
        <f>IF($AE55&lt;1," ",IF(O55&lt;1," ",(O55)/$AE55))</f>
        <v xml:space="preserve"> </v>
      </c>
      <c r="Q55" s="400"/>
      <c r="R55" s="534" t="str">
        <f>IF($AE55&lt;1," ",IF(Q55&lt;1," ",(Q55)/$AE55))</f>
        <v xml:space="preserve"> </v>
      </c>
      <c r="S55" s="514"/>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400"/>
      <c r="AD55" s="381">
        <f>+E55+G55+I55+K55+M55+O55+Q55+S55+U55+W55+Y55+AA55+AC55</f>
        <v>0</v>
      </c>
      <c r="AE55" s="780"/>
      <c r="AF55" s="781"/>
      <c r="AG55" s="1203"/>
    </row>
    <row r="56" spans="1:33" ht="16.5" thickBot="1">
      <c r="A56" s="70" t="s">
        <v>112</v>
      </c>
      <c r="B56" s="371"/>
      <c r="C56" s="71"/>
      <c r="D56" s="1077">
        <f>SUM(D51:D55)</f>
        <v>0</v>
      </c>
      <c r="E56" s="773">
        <f>SUM(E51:E55)</f>
        <v>0</v>
      </c>
      <c r="F56" s="386" t="s">
        <v>2</v>
      </c>
      <c r="G56" s="774">
        <f>SUM(G51:G55)</f>
        <v>0</v>
      </c>
      <c r="H56" s="386" t="s">
        <v>2</v>
      </c>
      <c r="I56" s="774">
        <f>SUM(I51:I55)</f>
        <v>0</v>
      </c>
      <c r="J56" s="386" t="s">
        <v>2</v>
      </c>
      <c r="K56" s="774">
        <f>SUM(K51:K55)</f>
        <v>0</v>
      </c>
      <c r="L56" s="386" t="s">
        <v>2</v>
      </c>
      <c r="M56" s="774">
        <f>SUM(M51:M55)</f>
        <v>0</v>
      </c>
      <c r="N56" s="536" t="s">
        <v>2</v>
      </c>
      <c r="O56" s="774">
        <f>SUM(O51:O55)</f>
        <v>0</v>
      </c>
      <c r="P56" s="386" t="s">
        <v>2</v>
      </c>
      <c r="Q56" s="774">
        <f>SUM(Q51:Q55)</f>
        <v>0</v>
      </c>
      <c r="R56" s="536" t="s">
        <v>2</v>
      </c>
      <c r="S56" s="775">
        <f>SUM(S51:S55)</f>
        <v>0</v>
      </c>
      <c r="T56" s="386" t="s">
        <v>2</v>
      </c>
      <c r="U56" s="774">
        <f>SUM(U51:U55)</f>
        <v>0</v>
      </c>
      <c r="V56" s="386" t="s">
        <v>2</v>
      </c>
      <c r="W56" s="774">
        <f>SUM(W51:W55)</f>
        <v>0</v>
      </c>
      <c r="X56" s="386" t="s">
        <v>2</v>
      </c>
      <c r="Y56" s="774">
        <f>SUM(Y51:Y55)</f>
        <v>0</v>
      </c>
      <c r="Z56" s="386" t="s">
        <v>2</v>
      </c>
      <c r="AA56" s="774">
        <f>SUM(AA51:AA55)</f>
        <v>0</v>
      </c>
      <c r="AB56" s="386" t="s">
        <v>2</v>
      </c>
      <c r="AC56" s="774">
        <f>SUM(AC51:AC55)</f>
        <v>0</v>
      </c>
      <c r="AD56" s="776">
        <f>SUM(AD51:AD55)</f>
        <v>0</v>
      </c>
      <c r="AE56" s="782"/>
      <c r="AF56" s="783"/>
      <c r="AG56" s="1203"/>
    </row>
    <row r="57" spans="1:33" ht="15.75">
      <c r="A57" s="785"/>
      <c r="B57" s="786"/>
      <c r="C57" s="375"/>
      <c r="D57" s="375"/>
      <c r="E57" s="548"/>
      <c r="F57" s="484"/>
      <c r="G57" s="528"/>
      <c r="H57" s="484"/>
      <c r="I57" s="528"/>
      <c r="J57" s="484"/>
      <c r="K57" s="528"/>
      <c r="L57" s="484"/>
      <c r="M57" s="528"/>
      <c r="N57" s="484"/>
      <c r="O57" s="528"/>
      <c r="P57" s="484"/>
      <c r="Q57" s="528"/>
      <c r="R57" s="484"/>
      <c r="S57" s="528"/>
      <c r="T57" s="484"/>
      <c r="U57" s="528"/>
      <c r="V57" s="484"/>
      <c r="W57" s="528"/>
      <c r="X57" s="484"/>
      <c r="Y57" s="528"/>
      <c r="Z57" s="484"/>
      <c r="AA57" s="528"/>
      <c r="AB57" s="484"/>
      <c r="AC57" s="1568"/>
      <c r="AD57" s="1036"/>
      <c r="AE57" s="1037"/>
      <c r="AF57" s="1043"/>
      <c r="AG57" s="1203"/>
    </row>
    <row r="58" spans="1:33" ht="16.5" thickBot="1">
      <c r="A58" s="402" t="s">
        <v>115</v>
      </c>
      <c r="B58" s="403"/>
      <c r="C58" s="378"/>
      <c r="D58" s="378"/>
      <c r="E58" s="773">
        <f>+E23-E34+E39+E48+E56</f>
        <v>-87697.216846175026</v>
      </c>
      <c r="F58" s="386"/>
      <c r="G58" s="774">
        <f>+G23-G34+G39+G48+G56</f>
        <v>-87697.216846175026</v>
      </c>
      <c r="H58" s="386"/>
      <c r="I58" s="774">
        <f>+I23-I34+I39+I48+I56</f>
        <v>-87697.216846175026</v>
      </c>
      <c r="J58" s="386"/>
      <c r="K58" s="774">
        <f>+K23-K34+K39+K48+K56</f>
        <v>-87697.216846175026</v>
      </c>
      <c r="L58" s="386"/>
      <c r="M58" s="774">
        <f>+M23-M34+M39+M48+M56</f>
        <v>-87697.216846175026</v>
      </c>
      <c r="N58" s="536"/>
      <c r="O58" s="774">
        <f>+O23-O34+O39+O48+O56</f>
        <v>-1312.8970375000499</v>
      </c>
      <c r="P58" s="386"/>
      <c r="Q58" s="774">
        <f>+Q23-Q34+Q39+Q48+Q56</f>
        <v>-1312.8970375000499</v>
      </c>
      <c r="R58" s="536"/>
      <c r="S58" s="775">
        <f>+S23-S34+S39+S48+S56</f>
        <v>-1312.8970375000499</v>
      </c>
      <c r="T58" s="386"/>
      <c r="U58" s="774">
        <f>+U23-U34+U39+U48+U56</f>
        <v>-1312.8970375000499</v>
      </c>
      <c r="V58" s="386"/>
      <c r="W58" s="774">
        <f>+W23-W34+W39+W48+W56</f>
        <v>-1312.8970375000499</v>
      </c>
      <c r="X58" s="386"/>
      <c r="Y58" s="774">
        <f>+Y23-Y34+Y39+Y48+Y56</f>
        <v>-1312.8970375000499</v>
      </c>
      <c r="Z58" s="386"/>
      <c r="AA58" s="774">
        <f>+AA23-AA34+AA39+AA48+AA56</f>
        <v>368996.86430177512</v>
      </c>
      <c r="AB58" s="386"/>
      <c r="AC58" s="1564">
        <f>+AC23-AC34+AC39+AC48+AC56</f>
        <v>0</v>
      </c>
      <c r="AD58" s="776">
        <f>+AD23-AD34+AD39+AD48+AD56</f>
        <v>-77366.602154100314</v>
      </c>
      <c r="AE58" s="782"/>
      <c r="AF58" s="783"/>
      <c r="AG58" s="1203"/>
    </row>
    <row r="59" spans="1:33" ht="16.5" thickBot="1">
      <c r="A59" s="70"/>
      <c r="B59" s="371"/>
      <c r="C59" s="71"/>
      <c r="D59" s="71"/>
      <c r="E59" s="48"/>
      <c r="F59" s="198"/>
      <c r="G59" s="22"/>
      <c r="H59" s="198"/>
      <c r="I59" s="22"/>
      <c r="J59" s="198"/>
      <c r="K59" s="22"/>
      <c r="L59" s="198"/>
      <c r="M59" s="22"/>
      <c r="N59" s="198"/>
      <c r="O59" s="22"/>
      <c r="P59" s="198"/>
      <c r="Q59" s="22"/>
      <c r="R59" s="198"/>
      <c r="S59" s="22"/>
      <c r="T59" s="198"/>
      <c r="U59" s="22"/>
      <c r="V59" s="198"/>
      <c r="W59" s="22"/>
      <c r="X59" s="198"/>
      <c r="Y59" s="22"/>
      <c r="Z59" s="198"/>
      <c r="AA59" s="22"/>
      <c r="AB59" s="198"/>
      <c r="AC59" s="1569"/>
      <c r="AD59" s="192"/>
      <c r="AE59" s="782"/>
      <c r="AF59" s="783"/>
      <c r="AG59" s="1203"/>
    </row>
    <row r="60" spans="1:33" ht="16.5" thickBot="1">
      <c r="A60" s="70" t="s">
        <v>113</v>
      </c>
      <c r="B60" s="371"/>
      <c r="C60" s="71"/>
      <c r="D60" s="71"/>
      <c r="E60" s="773">
        <f>+E6+E58</f>
        <v>426858.97112722369</v>
      </c>
      <c r="F60" s="386"/>
      <c r="G60" s="774">
        <f>+G6+G58</f>
        <v>339161.75428104866</v>
      </c>
      <c r="H60" s="386"/>
      <c r="I60" s="774">
        <f>+I6+I58</f>
        <v>251464.53743487364</v>
      </c>
      <c r="J60" s="386"/>
      <c r="K60" s="774">
        <f>+K6+K58</f>
        <v>163767.32058869861</v>
      </c>
      <c r="L60" s="386"/>
      <c r="M60" s="774">
        <f>+M6+M58</f>
        <v>76070.103742523585</v>
      </c>
      <c r="N60" s="1003"/>
      <c r="O60" s="1004">
        <f>+O6+O58</f>
        <v>74757.206705023535</v>
      </c>
      <c r="P60" s="386"/>
      <c r="Q60" s="774">
        <f>+Q6+Q58</f>
        <v>73444.309667523485</v>
      </c>
      <c r="R60" s="536"/>
      <c r="S60" s="775">
        <f>+S6+S58</f>
        <v>72131.412630023435</v>
      </c>
      <c r="T60" s="386"/>
      <c r="U60" s="774">
        <f>+U6+U58</f>
        <v>70818.515592523385</v>
      </c>
      <c r="V60" s="386"/>
      <c r="W60" s="774">
        <f>+W6+W58</f>
        <v>69505.618555023335</v>
      </c>
      <c r="X60" s="386"/>
      <c r="Y60" s="774">
        <f>+Y6+Y58</f>
        <v>68192.721517523285</v>
      </c>
      <c r="Z60" s="386"/>
      <c r="AA60" s="774">
        <f>+AA6+AA58</f>
        <v>437189.5858192984</v>
      </c>
      <c r="AB60" s="386"/>
      <c r="AC60" s="1564">
        <f>+AC6+AC58</f>
        <v>437189.5858192984</v>
      </c>
      <c r="AD60" s="1241"/>
      <c r="AE60" s="1038"/>
      <c r="AF60" s="1044"/>
      <c r="AG60" s="1203"/>
    </row>
    <row r="62" spans="1:33" ht="16.5">
      <c r="AB62" s="1573" t="s">
        <v>502</v>
      </c>
      <c r="AC62" s="1574">
        <f>'Budget-Summary MYP'!H55</f>
        <v>385889.42357342079</v>
      </c>
    </row>
    <row r="63" spans="1:33" ht="17.25" thickBot="1">
      <c r="AB63" s="1575" t="s">
        <v>503</v>
      </c>
      <c r="AC63" s="1577">
        <f>AC60-AC62</f>
        <v>51300.162245877611</v>
      </c>
    </row>
    <row r="64" spans="1:33" ht="17.25" thickTop="1">
      <c r="AC64" s="1574"/>
    </row>
    <row r="65" spans="29:29" ht="16.5">
      <c r="AC65" s="1576"/>
    </row>
  </sheetData>
  <sheetProtection password="D94D" sheet="1"/>
  <mergeCells count="10">
    <mergeCell ref="F1:L1"/>
    <mergeCell ref="T1:Z1"/>
    <mergeCell ref="G2:K2"/>
    <mergeCell ref="D40:D42"/>
    <mergeCell ref="A51:B51"/>
    <mergeCell ref="A52:B52"/>
    <mergeCell ref="A53:B53"/>
    <mergeCell ref="A54:B54"/>
    <mergeCell ref="A55:B55"/>
    <mergeCell ref="AE40:AE42"/>
  </mergeCells>
  <conditionalFormatting sqref="T1">
    <cfRule type="containsText" dxfId="328" priority="7" stopIfTrue="1" operator="containsText" text="Enter">
      <formula>NOT(ISERROR(SEARCH("Enter",T1)))</formula>
    </cfRule>
  </conditionalFormatting>
  <conditionalFormatting sqref="F1">
    <cfRule type="containsText" dxfId="327" priority="8" stopIfTrue="1" operator="containsText" text="Enter">
      <formula>NOT(ISERROR(SEARCH("Enter",F1)))</formula>
    </cfRule>
  </conditionalFormatting>
  <conditionalFormatting sqref="E60 G60 I60 K60 M60 O60 Q60 S60 U60 W60 Y60 AA60">
    <cfRule type="expression" dxfId="326" priority="6" stopIfTrue="1">
      <formula>"&lt;0"</formula>
    </cfRule>
  </conditionalFormatting>
  <conditionalFormatting sqref="AD47">
    <cfRule type="cellIs" dxfId="325" priority="1" stopIfTrue="1" operator="notEqual">
      <formula>$D$47</formula>
    </cfRule>
  </conditionalFormatting>
  <conditionalFormatting sqref="AD43">
    <cfRule type="cellIs" dxfId="324" priority="5" stopIfTrue="1" operator="notEqual">
      <formula>$D$43</formula>
    </cfRule>
  </conditionalFormatting>
  <conditionalFormatting sqref="AD44">
    <cfRule type="cellIs" dxfId="323" priority="4" stopIfTrue="1" operator="notEqual">
      <formula>$D$44</formula>
    </cfRule>
  </conditionalFormatting>
  <conditionalFormatting sqref="AD45">
    <cfRule type="cellIs" dxfId="322" priority="3" stopIfTrue="1" operator="notEqual">
      <formula>$D$45</formula>
    </cfRule>
  </conditionalFormatting>
  <conditionalFormatting sqref="AD46">
    <cfRule type="cellIs" dxfId="321" priority="2" stopIfTrue="1" operator="notEqual">
      <formula>$D$46</formula>
    </cfRule>
  </conditionalFormatting>
  <pageMargins left="0.7" right="0.7" top="0.75" bottom="0.75" header="0.3" footer="0.3"/>
  <pageSetup scale="51" fitToWidth="2" orientation="landscape" r:id="rId1"/>
  <headerFooter>
    <oddHeader>&amp;RPage &amp;P of &amp;N</oddHeader>
  </headerFooter>
  <colBreaks count="1" manualBreakCount="1">
    <brk id="18" max="1048575" man="1"/>
  </col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4"/>
  <sheetViews>
    <sheetView workbookViewId="0">
      <pane xSplit="1" ySplit="5" topLeftCell="B120" activePane="bottomRight" state="frozen"/>
      <selection pane="topRight" activeCell="B1" sqref="B1"/>
      <selection pane="bottomLeft" activeCell="A6" sqref="A6"/>
      <selection pane="bottomRight" activeCell="C123" sqref="C123:E123"/>
    </sheetView>
  </sheetViews>
  <sheetFormatPr defaultColWidth="9.28515625" defaultRowHeight="12.75"/>
  <cols>
    <col min="1" max="1" width="56.7109375" style="1218" customWidth="1"/>
    <col min="2" max="2" width="17" style="1218" customWidth="1"/>
    <col min="3" max="3" width="14" style="1218" customWidth="1"/>
    <col min="4" max="4" width="14.7109375" style="1218" customWidth="1"/>
    <col min="5" max="5" width="14" style="1218" customWidth="1"/>
    <col min="6" max="8" width="9.28515625" style="1218"/>
    <col min="9" max="9" width="19" style="1218" customWidth="1"/>
    <col min="10" max="10" width="23.7109375" style="1218" customWidth="1"/>
    <col min="11" max="16384" width="9.28515625" style="1218"/>
  </cols>
  <sheetData>
    <row r="1" spans="1:10">
      <c r="A1" s="1600" t="str">
        <f>'BUDGET-CERTIFICATION'!H1</f>
        <v>Elite Academic Academy - Virtual Prep Lucerne</v>
      </c>
    </row>
    <row r="2" spans="1:10">
      <c r="A2" s="1600" t="s">
        <v>434</v>
      </c>
    </row>
    <row r="3" spans="1:10">
      <c r="A3" s="1600" t="str">
        <f>'Budget-ADA'!K7</f>
        <v>2022-23</v>
      </c>
    </row>
    <row r="4" spans="1:10">
      <c r="A4" s="1600" t="str">
        <f>'BUDGET-CERTIFICATION'!H3</f>
        <v>Lucerne Valley Unified School District</v>
      </c>
    </row>
    <row r="5" spans="1:10">
      <c r="B5" s="1601" t="s">
        <v>379</v>
      </c>
      <c r="C5" s="1601" t="s">
        <v>377</v>
      </c>
      <c r="D5" s="1601" t="s">
        <v>380</v>
      </c>
      <c r="E5" s="1601" t="s">
        <v>504</v>
      </c>
      <c r="H5" s="1601"/>
      <c r="I5" s="1601"/>
      <c r="J5" s="1601"/>
    </row>
    <row r="6" spans="1:10">
      <c r="A6" s="1218" t="s">
        <v>378</v>
      </c>
      <c r="B6" s="1623">
        <f>'Budget-ADA'!J76</f>
        <v>445.25</v>
      </c>
      <c r="C6" s="1623">
        <f>'Budget-ADA'!L76</f>
        <v>787</v>
      </c>
      <c r="D6" s="1623">
        <f>'Budget-ADA'!O76</f>
        <v>787</v>
      </c>
      <c r="E6" s="1623">
        <f>'Budget-ADA'!R76</f>
        <v>787</v>
      </c>
      <c r="H6" s="1602"/>
      <c r="I6" s="1603"/>
      <c r="J6" s="1603"/>
    </row>
    <row r="7" spans="1:10">
      <c r="A7" s="1218" t="s">
        <v>381</v>
      </c>
      <c r="B7" s="1604">
        <f>'Budget-Assumptions'!F24</f>
        <v>488</v>
      </c>
      <c r="C7" s="1605">
        <f>'Budget-Assumptions'!G24</f>
        <v>1000</v>
      </c>
      <c r="D7" s="1605">
        <f>'Budget-Assumptions'!H24</f>
        <v>1000</v>
      </c>
      <c r="E7" s="1605">
        <f>'Budget-Assumptions'!J24</f>
        <v>1000</v>
      </c>
      <c r="H7" s="1602"/>
      <c r="I7" s="1603"/>
      <c r="J7" s="1603"/>
    </row>
    <row r="8" spans="1:10">
      <c r="A8" s="1218" t="s">
        <v>369</v>
      </c>
      <c r="B8" s="1604">
        <f>'Budget-Assumptions'!F27</f>
        <v>283</v>
      </c>
      <c r="C8" s="1605">
        <f>'Budget-Assumptions'!G27</f>
        <v>0</v>
      </c>
      <c r="D8" s="1605">
        <f>'Budget-Assumptions'!H27</f>
        <v>0</v>
      </c>
      <c r="E8" s="1605">
        <f>'Budget-Assumptions'!J27</f>
        <v>0</v>
      </c>
      <c r="H8" s="1602"/>
      <c r="I8" s="1603"/>
      <c r="J8" s="1603"/>
    </row>
    <row r="9" spans="1:10">
      <c r="A9" s="1218" t="s">
        <v>382</v>
      </c>
      <c r="B9" s="1606">
        <f>'Budget-Assumptions'!F28</f>
        <v>0.60089999999999999</v>
      </c>
      <c r="C9" s="1606">
        <f>'Budget-Assumptions'!G28</f>
        <v>0.59209999999999996</v>
      </c>
      <c r="D9" s="1606">
        <f>'Budget-Assumptions'!H28</f>
        <v>0.59319999999999995</v>
      </c>
      <c r="E9" s="1606">
        <f>'Budget-Assumptions'!J28</f>
        <v>0.59540000000000004</v>
      </c>
      <c r="H9" s="1602"/>
      <c r="I9" s="1603"/>
      <c r="J9" s="1603"/>
    </row>
    <row r="10" spans="1:10">
      <c r="H10" s="1602"/>
      <c r="I10" s="1603"/>
      <c r="J10" s="1603"/>
    </row>
    <row r="11" spans="1:10">
      <c r="A11" s="1218" t="s">
        <v>155</v>
      </c>
      <c r="B11" s="1608">
        <f>'Budget-Unrestricted MYP'!E13+'Budget-Unrestricted MYP'!E14+'Budget-Unrestricted MYP'!E15+'Budget-Unrestricted MYP'!E16</f>
        <v>4461634.0599999996</v>
      </c>
      <c r="C11" s="1608">
        <f>'Budget-Assumptions'!G11</f>
        <v>8452168.0600000005</v>
      </c>
      <c r="D11" s="1608">
        <f>'Budget-Assumptions'!H11</f>
        <v>8759124</v>
      </c>
      <c r="E11" s="1608">
        <f>'Budget-Assumptions'!J11</f>
        <v>9080158</v>
      </c>
      <c r="H11" s="1602"/>
      <c r="I11" s="1603"/>
      <c r="J11" s="1603"/>
    </row>
    <row r="12" spans="1:10">
      <c r="H12" s="1602"/>
      <c r="I12" s="1603"/>
      <c r="J12" s="1603"/>
    </row>
    <row r="13" spans="1:10">
      <c r="A13" s="1218" t="s">
        <v>383</v>
      </c>
      <c r="C13" s="1623">
        <f>'Budget-Assumptions'!G31</f>
        <v>39</v>
      </c>
      <c r="D13" s="1623">
        <f>'Budget-Assumptions'!H31</f>
        <v>39</v>
      </c>
      <c r="E13" s="1623">
        <f>'Budget-Assumptions'!J31</f>
        <v>39</v>
      </c>
      <c r="H13" s="1602"/>
      <c r="I13" s="1603"/>
      <c r="J13" s="1603"/>
    </row>
    <row r="14" spans="1:10">
      <c r="A14" s="1218" t="s">
        <v>390</v>
      </c>
      <c r="C14" s="1623">
        <f>'Budget-Assumptions'!G33</f>
        <v>1</v>
      </c>
      <c r="D14" s="1623">
        <f>'Budget-Assumptions'!H33</f>
        <v>1</v>
      </c>
      <c r="E14" s="1623">
        <f>'Budget-Assumptions'!J33</f>
        <v>1</v>
      </c>
      <c r="H14" s="1602"/>
      <c r="I14" s="1603"/>
      <c r="J14" s="1603"/>
    </row>
    <row r="15" spans="1:10">
      <c r="A15" s="1218" t="s">
        <v>473</v>
      </c>
      <c r="C15" s="1623">
        <f>'Budget-Assumptions'!G32</f>
        <v>6</v>
      </c>
      <c r="D15" s="1623">
        <f>'Budget-Assumptions'!H32</f>
        <v>6</v>
      </c>
      <c r="E15" s="1623">
        <f>'Budget-Assumptions'!J32</f>
        <v>6</v>
      </c>
      <c r="H15" s="1602"/>
    </row>
    <row r="16" spans="1:10">
      <c r="C16" s="1623"/>
      <c r="D16" s="1623"/>
      <c r="E16" s="1623"/>
      <c r="H16" s="1602"/>
    </row>
    <row r="17" spans="1:5">
      <c r="A17" s="1218" t="s">
        <v>391</v>
      </c>
      <c r="C17" s="1623">
        <f>'Budget-Assumptions'!G51</f>
        <v>2</v>
      </c>
      <c r="D17" s="1623">
        <f>'Budget-Assumptions'!H51</f>
        <v>2</v>
      </c>
      <c r="E17" s="1623">
        <f>'Budget-Assumptions'!J51</f>
        <v>2</v>
      </c>
    </row>
    <row r="18" spans="1:5">
      <c r="A18" s="1218" t="s">
        <v>479</v>
      </c>
      <c r="C18" s="1623">
        <f>'Budget-Assumptions'!G52</f>
        <v>0</v>
      </c>
      <c r="D18" s="1623">
        <f>'Budget-Assumptions'!H52</f>
        <v>0</v>
      </c>
      <c r="E18" s="1623">
        <f>'Budget-Assumptions'!J52</f>
        <v>0</v>
      </c>
    </row>
    <row r="19" spans="1:5">
      <c r="C19" s="1609"/>
      <c r="D19" s="1609"/>
      <c r="E19" s="1609"/>
    </row>
    <row r="20" spans="1:5">
      <c r="A20" s="1218" t="s">
        <v>475</v>
      </c>
      <c r="C20" s="1608">
        <f>'Budget-Assumptions'!G36</f>
        <v>75085.256410256407</v>
      </c>
      <c r="D20" s="1608">
        <f>'Budget-Assumptions'!H36</f>
        <v>77713.240384615376</v>
      </c>
      <c r="E20" s="1608">
        <f>'Budget-Assumptions'!J36</f>
        <v>80433.203798076909</v>
      </c>
    </row>
    <row r="21" spans="1:5">
      <c r="A21" s="1218" t="s">
        <v>474</v>
      </c>
      <c r="C21" s="1608">
        <f>'Budget-Assumptions'!G38</f>
        <v>64170</v>
      </c>
      <c r="D21" s="1608">
        <f>'Budget-Assumptions'!H38</f>
        <v>66415.95</v>
      </c>
      <c r="E21" s="1608">
        <f>'Budget-Assumptions'!J38</f>
        <v>68740.508249999984</v>
      </c>
    </row>
    <row r="22" spans="1:5">
      <c r="A22" s="1218" t="s">
        <v>476</v>
      </c>
      <c r="C22" s="1608">
        <f>'Budget-Assumptions'!G37</f>
        <v>106905.5</v>
      </c>
      <c r="D22" s="1608">
        <f>'Budget-Assumptions'!H37</f>
        <v>110647.19249999999</v>
      </c>
      <c r="E22" s="1608">
        <f>'Budget-Assumptions'!J37</f>
        <v>114519.84423749999</v>
      </c>
    </row>
    <row r="23" spans="1:5">
      <c r="A23" s="1612" t="s">
        <v>510</v>
      </c>
      <c r="C23" s="1608">
        <f>'Budget-Assumptions'!G40</f>
        <v>184000</v>
      </c>
      <c r="D23" s="1608">
        <f>'Budget-Assumptions'!H40</f>
        <v>184000</v>
      </c>
      <c r="E23" s="1608">
        <f>'Budget-Assumptions'!J40</f>
        <v>184000</v>
      </c>
    </row>
    <row r="24" spans="1:5">
      <c r="A24" s="1612"/>
      <c r="C24" s="1608"/>
      <c r="D24" s="1608"/>
      <c r="E24" s="1608"/>
    </row>
    <row r="25" spans="1:5">
      <c r="A25" s="1218" t="s">
        <v>477</v>
      </c>
      <c r="C25" s="1608">
        <f>'Budget-Assumptions'!G53</f>
        <v>64325.25</v>
      </c>
      <c r="D25" s="1608">
        <f>'Budget-Assumptions'!H53</f>
        <v>66576.633749999994</v>
      </c>
      <c r="E25" s="1608">
        <f>'Budget-Assumptions'!J53</f>
        <v>68906.815931249992</v>
      </c>
    </row>
    <row r="26" spans="1:5">
      <c r="A26" s="1218" t="s">
        <v>478</v>
      </c>
      <c r="C26" s="1608">
        <f>'Budget-Assumptions'!G54</f>
        <v>0</v>
      </c>
      <c r="D26" s="1608">
        <f>'Budget-Assumptions'!H54</f>
        <v>0</v>
      </c>
      <c r="E26" s="1608">
        <f>'Budget-Assumptions'!J54</f>
        <v>0</v>
      </c>
    </row>
    <row r="27" spans="1:5">
      <c r="A27" s="1612" t="s">
        <v>511</v>
      </c>
      <c r="C27" s="1608">
        <f>'Budget-Assumptions'!G56</f>
        <v>8000</v>
      </c>
      <c r="D27" s="1608">
        <f>'Budget-Assumptions'!H56</f>
        <v>8000</v>
      </c>
      <c r="E27" s="1608">
        <f>'Budget-Assumptions'!J56</f>
        <v>8000</v>
      </c>
    </row>
    <row r="28" spans="1:5">
      <c r="C28" s="1608"/>
      <c r="D28" s="1608"/>
      <c r="E28" s="1608"/>
    </row>
    <row r="29" spans="1:5">
      <c r="A29" s="1612" t="s">
        <v>457</v>
      </c>
      <c r="C29" s="1608">
        <f>'Budget-Assumptions'!G41</f>
        <v>9527.7491995226646</v>
      </c>
      <c r="D29" s="1608">
        <f>'Budget-Assumptions'!H41</f>
        <v>9861.2204215059573</v>
      </c>
      <c r="E29" s="1608">
        <f>'Budget-Assumptions'!J41</f>
        <v>10206.363136258666</v>
      </c>
    </row>
    <row r="30" spans="1:5">
      <c r="A30" s="1218" t="s">
        <v>458</v>
      </c>
      <c r="C30" s="1608">
        <f>'Budget-Assumptions'!G57</f>
        <v>7758.0631930636428</v>
      </c>
      <c r="D30" s="1608">
        <f>'Budget-Assumptions'!H57</f>
        <v>8029.5954048208696</v>
      </c>
      <c r="E30" s="1608">
        <f>'Budget-Assumptions'!J57</f>
        <v>8310.6312439895992</v>
      </c>
    </row>
    <row r="31" spans="1:5">
      <c r="C31" s="1608"/>
      <c r="D31" s="1608"/>
      <c r="E31" s="1608"/>
    </row>
    <row r="32" spans="1:5">
      <c r="A32" s="1218" t="s">
        <v>447</v>
      </c>
      <c r="C32" s="1619">
        <f>'Budget-Assumptions'!G43</f>
        <v>0.14802944702827778</v>
      </c>
      <c r="D32" s="1619">
        <f>'Budget-Assumptions'!H43</f>
        <v>0.14802944702827778</v>
      </c>
      <c r="E32" s="1619">
        <f>'Budget-Assumptions'!J43</f>
        <v>0.14802944702827778</v>
      </c>
    </row>
    <row r="33" spans="1:5">
      <c r="A33" s="1218" t="s">
        <v>448</v>
      </c>
      <c r="C33" s="1619">
        <f>'Budget-Assumptions'!G59</f>
        <v>0</v>
      </c>
      <c r="D33" s="1619">
        <f>'Budget-Assumptions'!H59</f>
        <v>0</v>
      </c>
      <c r="E33" s="1619">
        <f>'Budget-Assumptions'!J59</f>
        <v>0</v>
      </c>
    </row>
    <row r="34" spans="1:5">
      <c r="A34" s="1218" t="s">
        <v>513</v>
      </c>
      <c r="B34" s="1610"/>
      <c r="C34" s="1603">
        <f>'Budget-Assumptions'!G42</f>
        <v>11694.094616969031</v>
      </c>
      <c r="D34" s="1603">
        <f>'Budget-Assumptions'!H42</f>
        <v>12103.387928562946</v>
      </c>
      <c r="E34" s="1603">
        <f>'Budget-Assumptions'!J42</f>
        <v>12527.006506062649</v>
      </c>
    </row>
    <row r="35" spans="1:5">
      <c r="A35" s="1218" t="s">
        <v>512</v>
      </c>
      <c r="B35" s="1610"/>
      <c r="C35" s="1603">
        <f>'Budget-Assumptions'!G57</f>
        <v>7758.0631930636428</v>
      </c>
      <c r="D35" s="1603">
        <f>'Budget-Assumptions'!H57</f>
        <v>8029.5954048208696</v>
      </c>
      <c r="E35" s="1603">
        <f>'Budget-Assumptions'!J57</f>
        <v>8310.6312439895992</v>
      </c>
    </row>
    <row r="36" spans="1:5">
      <c r="C36" s="1610"/>
      <c r="D36" s="1610"/>
      <c r="E36" s="1610"/>
    </row>
    <row r="37" spans="1:5">
      <c r="A37" s="1613" t="s">
        <v>453</v>
      </c>
      <c r="C37" s="1620">
        <f>'Budget-Assumptions'!G67</f>
        <v>1.5605041483138356E-2</v>
      </c>
      <c r="D37" s="1620">
        <f>'Budget-Assumptions'!H67</f>
        <v>1.5605041483138356E-2</v>
      </c>
      <c r="E37" s="1620">
        <f>'Budget-Assumptions'!J67</f>
        <v>1.5605041483138356E-2</v>
      </c>
    </row>
    <row r="38" spans="1:5">
      <c r="A38" s="1218" t="s">
        <v>454</v>
      </c>
      <c r="C38" s="1621">
        <f>'Budget-Assumptions'!G68</f>
        <v>1.3122609729044778E-2</v>
      </c>
      <c r="D38" s="1621">
        <f>'Budget-Assumptions'!H68</f>
        <v>1.3122609729044778E-2</v>
      </c>
      <c r="E38" s="1621">
        <f>'Budget-Assumptions'!J68</f>
        <v>1.3122609729044778E-2</v>
      </c>
    </row>
    <row r="39" spans="1:5">
      <c r="A39" s="1218" t="s">
        <v>455</v>
      </c>
      <c r="C39" s="1622">
        <f>'Budget-Assumptions'!G69</f>
        <v>1.2232472730360889E-2</v>
      </c>
      <c r="D39" s="1622">
        <f>'Budget-Assumptions'!H69</f>
        <v>1.2232472730360889E-2</v>
      </c>
      <c r="E39" s="1622">
        <f>'Budget-Assumptions'!J69</f>
        <v>1.2232472730360889E-2</v>
      </c>
    </row>
    <row r="40" spans="1:5">
      <c r="A40" s="1218" t="s">
        <v>456</v>
      </c>
      <c r="C40" s="1622">
        <f>'Budget-Assumptions'!G70</f>
        <v>0</v>
      </c>
      <c r="D40" s="1622">
        <f>'Budget-Assumptions'!H70</f>
        <v>0</v>
      </c>
      <c r="E40" s="1622">
        <f>'Budget-Assumptions'!J70</f>
        <v>0</v>
      </c>
    </row>
    <row r="41" spans="1:5">
      <c r="C41" s="1610"/>
      <c r="D41" s="1610"/>
      <c r="E41" s="1610"/>
    </row>
    <row r="42" spans="1:5">
      <c r="A42" s="1218" t="s">
        <v>400</v>
      </c>
      <c r="B42" s="1603"/>
      <c r="C42" s="1603"/>
      <c r="D42" s="1603"/>
      <c r="E42" s="1603"/>
    </row>
    <row r="43" spans="1:5">
      <c r="A43" s="1218" t="s">
        <v>396</v>
      </c>
      <c r="B43" s="1603">
        <f>'Budget-Unrestricted MYP'!E49</f>
        <v>30877</v>
      </c>
      <c r="C43" s="1603">
        <f>'Budget-Unrestricted MYP'!F49</f>
        <v>193690.83966911718</v>
      </c>
      <c r="D43" s="1603">
        <f>'Budget-Unrestricted MYP'!H49</f>
        <v>385104.05864251911</v>
      </c>
      <c r="E43" s="1603">
        <f>'Budget-Unrestricted MYP'!J49</f>
        <v>385889.17357342079</v>
      </c>
    </row>
    <row r="44" spans="1:5">
      <c r="A44" s="1218" t="s">
        <v>410</v>
      </c>
      <c r="B44" s="1603">
        <f>'Budget-Unrestricted MYP'!E50</f>
        <v>0</v>
      </c>
      <c r="C44" s="1603">
        <f>'Budget-Unrestricted MYP'!F50</f>
        <v>0</v>
      </c>
      <c r="D44" s="1603">
        <f>'Budget-Unrestricted MYP'!H50</f>
        <v>0</v>
      </c>
      <c r="E44" s="1603">
        <f>'Budget-Unrestricted MYP'!J50</f>
        <v>0</v>
      </c>
    </row>
    <row r="45" spans="1:5">
      <c r="A45" s="1218" t="s">
        <v>236</v>
      </c>
      <c r="B45" s="1603">
        <f>B43+B44</f>
        <v>30877</v>
      </c>
      <c r="C45" s="1617">
        <f>C43+C44</f>
        <v>193690.83966911718</v>
      </c>
      <c r="D45" s="1603">
        <f>D43+D44</f>
        <v>385104.05864251911</v>
      </c>
      <c r="E45" s="1603">
        <f>E43+E44</f>
        <v>385889.17357342079</v>
      </c>
    </row>
    <row r="46" spans="1:5">
      <c r="A46" s="1218" t="s">
        <v>397</v>
      </c>
      <c r="B46" s="1603">
        <f>'Budget-Unrestricted MYP'!E51</f>
        <v>0</v>
      </c>
      <c r="C46" s="1617">
        <f>'Budget-Unrestricted MYP'!F51</f>
        <v>0</v>
      </c>
      <c r="D46" s="1603">
        <f>'Budget-Unrestricted MYP'!H51</f>
        <v>0</v>
      </c>
      <c r="E46" s="1603">
        <f>'Budget-Unrestricted MYP'!J51</f>
        <v>0</v>
      </c>
    </row>
    <row r="47" spans="1:5">
      <c r="A47" s="1218" t="s">
        <v>398</v>
      </c>
      <c r="B47" s="1603">
        <f>'Budget-Unrestricted MYP'!E53</f>
        <v>0</v>
      </c>
      <c r="C47" s="1603">
        <f>'Budget-Unrestricted MYP'!F53</f>
        <v>0</v>
      </c>
      <c r="D47" s="1603">
        <f>'Budget-Unrestricted MYP'!H53</f>
        <v>0</v>
      </c>
      <c r="E47" s="1603">
        <f>'Budget-Unrestricted MYP'!J53</f>
        <v>0</v>
      </c>
    </row>
    <row r="48" spans="1:5">
      <c r="A48" s="1218" t="s">
        <v>284</v>
      </c>
      <c r="B48" s="1603">
        <f>'Budget-Unrestricted MYP'!E54</f>
        <v>30877</v>
      </c>
      <c r="C48" s="1617">
        <f>'Budget-Unrestricted MYP'!F54</f>
        <v>0</v>
      </c>
      <c r="D48" s="1603">
        <f>'Budget-Unrestricted MYP'!H54</f>
        <v>0</v>
      </c>
      <c r="E48" s="1603">
        <f>'Budget-Unrestricted MYP'!J54</f>
        <v>0</v>
      </c>
    </row>
    <row r="49" spans="1:5">
      <c r="A49" s="1218" t="s">
        <v>399</v>
      </c>
      <c r="B49" s="1603">
        <f>'Budget-Unrestricted MYP'!E55</f>
        <v>193690.83966911718</v>
      </c>
      <c r="C49" s="1617">
        <f>'Budget-Unrestricted MYP'!F55</f>
        <v>385104.05864251911</v>
      </c>
      <c r="D49" s="1603">
        <f>'Budget-Unrestricted MYP'!H55</f>
        <v>385889.17357342079</v>
      </c>
      <c r="E49" s="1603">
        <f>'Budget-Unrestricted MYP'!J55</f>
        <v>395260.76817983523</v>
      </c>
    </row>
    <row r="50" spans="1:5">
      <c r="B50" s="1603"/>
      <c r="C50" s="1617"/>
      <c r="D50" s="1603"/>
      <c r="E50" s="1603"/>
    </row>
    <row r="51" spans="1:5">
      <c r="A51" s="1218" t="s">
        <v>402</v>
      </c>
      <c r="B51" s="1603">
        <f>'Budget-Unrestricted MYP'!E59</f>
        <v>0</v>
      </c>
      <c r="C51" s="1617">
        <f>'Budget-Unrestricted MYP'!F59</f>
        <v>0</v>
      </c>
      <c r="D51" s="1603">
        <f>'Budget-Unrestricted MYP'!H59</f>
        <v>0</v>
      </c>
      <c r="E51" s="1603">
        <f>'Budget-Unrestricted MYP'!J59</f>
        <v>0</v>
      </c>
    </row>
    <row r="52" spans="1:5">
      <c r="A52" s="1218" t="s">
        <v>411</v>
      </c>
      <c r="B52" s="1603">
        <f>'Budget-Unrestricted MYP'!E60</f>
        <v>0</v>
      </c>
      <c r="C52" s="1603">
        <f>'Budget-Unrestricted MYP'!F60</f>
        <v>0</v>
      </c>
      <c r="D52" s="1603">
        <f>'Budget-Unrestricted MYP'!H60</f>
        <v>0</v>
      </c>
      <c r="E52" s="1603">
        <f>'Budget-Unrestricted MYP'!J60</f>
        <v>0</v>
      </c>
    </row>
    <row r="53" spans="1:5">
      <c r="A53" s="1614" t="s">
        <v>403</v>
      </c>
      <c r="B53" s="1618">
        <f>'Budget-Unrestricted MYP'!E61</f>
        <v>0</v>
      </c>
      <c r="C53" s="1603">
        <f>'Budget-Unrestricted MYP'!F61</f>
        <v>0</v>
      </c>
      <c r="D53" s="1603">
        <f>'Budget-Unrestricted MYP'!H61</f>
        <v>0</v>
      </c>
      <c r="E53" s="1603">
        <f>'Budget-Unrestricted MYP'!J61</f>
        <v>0</v>
      </c>
    </row>
    <row r="54" spans="1:5">
      <c r="A54" s="1614" t="s">
        <v>404</v>
      </c>
      <c r="B54" s="1618">
        <f>'Budget-Unrestricted MYP'!E62</f>
        <v>0</v>
      </c>
      <c r="C54" s="1603">
        <f>'Budget-Unrestricted MYP'!F62</f>
        <v>0</v>
      </c>
      <c r="D54" s="1603">
        <f>'Budget-Unrestricted MYP'!H62</f>
        <v>0</v>
      </c>
      <c r="E54" s="1603">
        <f>'Budget-Unrestricted MYP'!J62</f>
        <v>0</v>
      </c>
    </row>
    <row r="55" spans="1:5">
      <c r="A55" s="1614" t="s">
        <v>405</v>
      </c>
      <c r="B55" s="1618">
        <f>'Budget-Unrestricted MYP'!E65</f>
        <v>0</v>
      </c>
      <c r="C55" s="1603">
        <f>'Budget-Unrestricted MYP'!F65</f>
        <v>0</v>
      </c>
      <c r="D55" s="1603">
        <f>'Budget-Unrestricted MYP'!H65</f>
        <v>0</v>
      </c>
      <c r="E55" s="1603">
        <f>'Budget-Unrestricted MYP'!J65</f>
        <v>0</v>
      </c>
    </row>
    <row r="56" spans="1:5">
      <c r="A56" s="1614" t="s">
        <v>406</v>
      </c>
      <c r="B56" s="1618">
        <f>'Budget-Unrestricted MYP'!E66</f>
        <v>0</v>
      </c>
      <c r="C56" s="1603">
        <f>'Budget-Unrestricted MYP'!F66</f>
        <v>0</v>
      </c>
      <c r="D56" s="1603">
        <f>'Budget-Unrestricted MYP'!H66</f>
        <v>0</v>
      </c>
      <c r="E56" s="1603">
        <f>'Budget-Unrestricted MYP'!J66</f>
        <v>0</v>
      </c>
    </row>
    <row r="57" spans="1:5">
      <c r="A57" s="1614" t="s">
        <v>407</v>
      </c>
      <c r="B57" s="1618">
        <f>'Budget-Unrestricted MYP'!E67</f>
        <v>0</v>
      </c>
      <c r="C57" s="1603">
        <f>'Budget-Unrestricted MYP'!F67</f>
        <v>0</v>
      </c>
      <c r="D57" s="1603">
        <f>'Budget-Unrestricted MYP'!H67</f>
        <v>0</v>
      </c>
      <c r="E57" s="1603">
        <f>'Budget-Unrestricted MYP'!J67</f>
        <v>0</v>
      </c>
    </row>
    <row r="58" spans="1:5">
      <c r="A58" s="1614" t="s">
        <v>408</v>
      </c>
      <c r="B58" s="1618">
        <f>'Budget-Unrestricted MYP'!E69</f>
        <v>0</v>
      </c>
      <c r="C58" s="1603">
        <f>'Budget-Unrestricted MYP'!F69</f>
        <v>0</v>
      </c>
      <c r="D58" s="1603">
        <f>'Budget-Unrestricted MYP'!H69</f>
        <v>0</v>
      </c>
      <c r="E58" s="1603">
        <f>'Budget-Unrestricted MYP'!J69</f>
        <v>0</v>
      </c>
    </row>
    <row r="59" spans="1:5">
      <c r="A59" s="1614" t="s">
        <v>409</v>
      </c>
      <c r="B59" s="1618">
        <f>'Budget-Unrestricted MYP'!E70</f>
        <v>193690.83966911718</v>
      </c>
      <c r="C59" s="1603">
        <f>'Budget-Unrestricted MYP'!F70</f>
        <v>385104.05864251911</v>
      </c>
      <c r="D59" s="1603">
        <f>'Budget-Unrestricted MYP'!H70</f>
        <v>385889.17357342079</v>
      </c>
      <c r="E59" s="1603">
        <f>'Budget-Unrestricted MYP'!J70</f>
        <v>395260.76817983523</v>
      </c>
    </row>
    <row r="60" spans="1:5">
      <c r="A60" s="1614"/>
      <c r="B60" s="1618"/>
      <c r="C60" s="1603"/>
      <c r="D60" s="1603"/>
      <c r="E60" s="1603"/>
    </row>
    <row r="61" spans="1:5">
      <c r="A61" s="1614" t="s">
        <v>401</v>
      </c>
      <c r="B61" s="1618"/>
      <c r="C61" s="1603"/>
      <c r="D61" s="1603"/>
      <c r="E61" s="1603"/>
    </row>
    <row r="62" spans="1:5">
      <c r="A62" s="1218" t="s">
        <v>396</v>
      </c>
      <c r="B62" s="1603">
        <f>'Budget-Restricted MYP'!E49</f>
        <v>0</v>
      </c>
      <c r="C62" s="1603">
        <f>'Budget-Restricted MYP'!F49</f>
        <v>0</v>
      </c>
      <c r="D62" s="1603">
        <f>'Budget-Restricted MYP'!H49</f>
        <v>78151.97</v>
      </c>
      <c r="E62" s="1603">
        <f>'Budget-Restricted MYP'!J49</f>
        <v>0.25</v>
      </c>
    </row>
    <row r="63" spans="1:5">
      <c r="A63" s="1218" t="s">
        <v>410</v>
      </c>
      <c r="B63" s="1603">
        <f>'Budget-Restricted MYP'!E50</f>
        <v>0</v>
      </c>
      <c r="C63" s="1603">
        <f>'Budget-Restricted MYP'!F50</f>
        <v>0</v>
      </c>
      <c r="D63" s="1603">
        <f>'Budget-Restricted MYP'!H50</f>
        <v>0</v>
      </c>
      <c r="E63" s="1603">
        <f>'Budget-Restricted MYP'!J50</f>
        <v>0</v>
      </c>
    </row>
    <row r="64" spans="1:5">
      <c r="A64" s="1218" t="s">
        <v>236</v>
      </c>
      <c r="B64" s="1603">
        <f>B62+B63</f>
        <v>0</v>
      </c>
      <c r="C64" s="1603">
        <f>C62+C63</f>
        <v>0</v>
      </c>
      <c r="D64" s="1603">
        <f>D62+D63</f>
        <v>78151.97</v>
      </c>
      <c r="E64" s="1603">
        <f>E62+E63</f>
        <v>0.25</v>
      </c>
    </row>
    <row r="65" spans="1:5">
      <c r="A65" s="1218" t="s">
        <v>397</v>
      </c>
      <c r="B65" s="1603">
        <f>'Budget-Restricted MYP'!E51</f>
        <v>0</v>
      </c>
      <c r="C65" s="1603">
        <f>'Budget-Restricted MYP'!F51</f>
        <v>0</v>
      </c>
      <c r="D65" s="1603">
        <f>'Budget-Restricted MYP'!H51</f>
        <v>0</v>
      </c>
      <c r="E65" s="1603">
        <f>'Budget-Restricted MYP'!J51</f>
        <v>0</v>
      </c>
    </row>
    <row r="66" spans="1:5">
      <c r="A66" s="1218" t="s">
        <v>398</v>
      </c>
      <c r="B66" s="1603">
        <f>'Budget-Restricted MYP'!E53</f>
        <v>0</v>
      </c>
      <c r="C66" s="1603">
        <f>'Budget-Restricted MYP'!F53</f>
        <v>0</v>
      </c>
      <c r="D66" s="1603">
        <f>'Budget-Restricted MYP'!H53</f>
        <v>0</v>
      </c>
      <c r="E66" s="1603">
        <f>'Budget-Restricted MYP'!J53</f>
        <v>0</v>
      </c>
    </row>
    <row r="67" spans="1:5">
      <c r="A67" s="1218" t="s">
        <v>284</v>
      </c>
      <c r="B67" s="1603">
        <f>'Budget-Restricted MYP'!E54</f>
        <v>0</v>
      </c>
      <c r="C67" s="1603">
        <f>'Budget-Restricted MYP'!F54</f>
        <v>0</v>
      </c>
      <c r="D67" s="1603">
        <f>'Budget-Restricted MYP'!H54</f>
        <v>0</v>
      </c>
      <c r="E67" s="1603">
        <f>'Budget-Restricted MYP'!J54</f>
        <v>0</v>
      </c>
    </row>
    <row r="68" spans="1:5">
      <c r="A68" s="1218" t="s">
        <v>399</v>
      </c>
      <c r="B68" s="1603">
        <f>'Budget-Restricted MYP'!E55</f>
        <v>0</v>
      </c>
      <c r="C68" s="1603">
        <f>'Budget-Restricted MYP'!F55</f>
        <v>78151.97</v>
      </c>
      <c r="D68" s="1603">
        <f>'Budget-Restricted MYP'!H55</f>
        <v>0.25</v>
      </c>
      <c r="E68" s="1603">
        <f>'Budget-Restricted MYP'!J55</f>
        <v>0.42</v>
      </c>
    </row>
    <row r="69" spans="1:5">
      <c r="B69" s="1603"/>
      <c r="C69" s="1603"/>
      <c r="D69" s="1603"/>
      <c r="E69" s="1603"/>
    </row>
    <row r="70" spans="1:5">
      <c r="A70" s="1218" t="s">
        <v>393</v>
      </c>
      <c r="B70" s="1603">
        <f>'Budget-Unrestricted MYP'!E13</f>
        <v>4278045</v>
      </c>
      <c r="C70" s="1603">
        <f>'Budget-Unrestricted MYP'!F13</f>
        <v>8090636.0600000005</v>
      </c>
      <c r="D70" s="1603">
        <f>'Budget-Unrestricted MYP'!H13</f>
        <v>8398465.5099999998</v>
      </c>
      <c r="E70" s="1603">
        <f>'Budget-Unrestricted MYP'!J13</f>
        <v>8719664.7799999993</v>
      </c>
    </row>
    <row r="71" spans="1:5">
      <c r="A71" s="1218" t="s">
        <v>412</v>
      </c>
      <c r="B71" s="1603">
        <f>'Budget-Unrestricted MYP'!E14</f>
        <v>79202</v>
      </c>
      <c r="C71" s="1603">
        <f>'Budget-Unrestricted MYP'!F14</f>
        <v>157400</v>
      </c>
      <c r="D71" s="1603">
        <f>'Budget-Unrestricted MYP'!H14</f>
        <v>157400</v>
      </c>
      <c r="E71" s="1603">
        <f>'Budget-Unrestricted MYP'!J14</f>
        <v>157400</v>
      </c>
    </row>
    <row r="72" spans="1:5">
      <c r="A72" s="1218" t="s">
        <v>395</v>
      </c>
      <c r="B72" s="1603">
        <f>'Budget-Unrestricted MYP'!E15</f>
        <v>-1398.94</v>
      </c>
      <c r="C72" s="1603">
        <f>'Budget-Unrestricted MYP'!F15</f>
        <v>0</v>
      </c>
      <c r="D72" s="1603">
        <f>'Budget-Unrestricted MYP'!H15</f>
        <v>0</v>
      </c>
      <c r="E72" s="1603">
        <f>'Budget-Unrestricted MYP'!J15</f>
        <v>0</v>
      </c>
    </row>
    <row r="73" spans="1:5">
      <c r="A73" s="1218" t="s">
        <v>394</v>
      </c>
      <c r="B73" s="1603">
        <f>'Budget-Unrestricted MYP'!E16</f>
        <v>105786</v>
      </c>
      <c r="C73" s="1603">
        <f>'Budget-Unrestricted MYP'!F16</f>
        <v>204132</v>
      </c>
      <c r="D73" s="1603">
        <f>'Budget-Unrestricted MYP'!H16</f>
        <v>203258.49</v>
      </c>
      <c r="E73" s="1603">
        <f>'Budget-Unrestricted MYP'!J16</f>
        <v>203093.22</v>
      </c>
    </row>
    <row r="74" spans="1:5">
      <c r="B74" s="1607"/>
      <c r="C74" s="1607"/>
      <c r="D74" s="1607"/>
      <c r="E74" s="1607"/>
    </row>
    <row r="75" spans="1:5">
      <c r="A75" s="1218" t="s">
        <v>467</v>
      </c>
      <c r="B75" s="1616">
        <f>'Budget-Summary MYP'!E73</f>
        <v>0.04</v>
      </c>
      <c r="C75" s="1616">
        <f>'Budget-Summary MYP'!F73</f>
        <v>0.04</v>
      </c>
      <c r="D75" s="1616">
        <f>'Budget-Summary MYP'!H73</f>
        <v>0.04</v>
      </c>
      <c r="E75" s="1616">
        <f>'Budget-Summary MYP'!J73</f>
        <v>0.04</v>
      </c>
    </row>
    <row r="76" spans="1:5">
      <c r="A76" s="1218" t="s">
        <v>483</v>
      </c>
      <c r="B76" s="1616" t="str">
        <f>IF('Budget-Summary MYP'!E74="","",'Budget-Summary MYP'!E74)</f>
        <v/>
      </c>
      <c r="C76" s="1616" t="str">
        <f>IF('Budget-Summary MYP'!F74="","",'Budget-Summary MYP'!F74)</f>
        <v/>
      </c>
      <c r="D76" s="1616" t="str">
        <f>IF('Budget-Summary MYP'!G74="","",'Budget-Summary MYP'!G74)</f>
        <v/>
      </c>
      <c r="E76" s="1616" t="str">
        <f>IF('Budget-Summary MYP'!H74="","",'Budget-Summary MYP'!H74)</f>
        <v/>
      </c>
    </row>
    <row r="77" spans="1:5">
      <c r="A77" s="1218" t="s">
        <v>426</v>
      </c>
      <c r="B77" s="1611">
        <f>'Budget-Summary MYP'!E71</f>
        <v>4.0047922127796329E-2</v>
      </c>
      <c r="C77" s="1611">
        <f>'Budget-Summary MYP'!F71</f>
        <v>4.0550919004897018E-2</v>
      </c>
      <c r="D77" s="1611">
        <f>'Budget-Summary MYP'!H71</f>
        <v>4.013067790510421E-2</v>
      </c>
      <c r="E77" s="1611">
        <f>'Budget-Summary MYP'!J71</f>
        <v>4.0127546156181297E-2</v>
      </c>
    </row>
    <row r="78" spans="1:5">
      <c r="A78" s="1218" t="s">
        <v>421</v>
      </c>
      <c r="B78" s="1611">
        <f>'Budget-Summary MYP'!E81</f>
        <v>1.2999999999999999E-2</v>
      </c>
      <c r="C78" s="1611">
        <f>'Budget-Summary MYP'!F81</f>
        <v>1.4E-2</v>
      </c>
      <c r="D78" s="1611">
        <f>'Budget-Summary MYP'!H81</f>
        <v>1.2999999999999999E-2</v>
      </c>
      <c r="E78" s="1611">
        <f>'Budget-Summary MYP'!J81</f>
        <v>1.2999999999999999E-2</v>
      </c>
    </row>
    <row r="79" spans="1:5">
      <c r="A79" s="1218" t="s">
        <v>427</v>
      </c>
      <c r="B79" s="1611">
        <f>'Budget-Summary MYP'!E80</f>
        <v>0</v>
      </c>
      <c r="C79" s="1611">
        <f>'Budget-Summary MYP'!F80</f>
        <v>0</v>
      </c>
      <c r="D79" s="1611">
        <f>'Budget-Summary MYP'!H80</f>
        <v>0</v>
      </c>
      <c r="E79" s="1611">
        <f>'Budget-Summary MYP'!J80</f>
        <v>0</v>
      </c>
    </row>
    <row r="80" spans="1:5">
      <c r="B80" s="1611"/>
      <c r="C80" s="1611"/>
      <c r="D80" s="1611"/>
      <c r="E80" s="1611"/>
    </row>
    <row r="81" spans="1:5">
      <c r="A81" s="1218" t="s">
        <v>435</v>
      </c>
      <c r="B81" s="1615">
        <f>'Budget-Unrestricted MYP'!E26+'Budget-Unrestricted MYP'!E42</f>
        <v>4487107.0599999996</v>
      </c>
      <c r="C81" s="1615">
        <f>'Budget-Unrestricted MYP'!F26+'Budget-Unrestricted MYP'!F42</f>
        <v>8586152.4332600012</v>
      </c>
      <c r="D81" s="1615">
        <f>'Budget-Unrestricted MYP'!H26+'Budget-Unrestricted MYP'!H42</f>
        <v>8485753.3732600007</v>
      </c>
      <c r="E81" s="1615">
        <f>'Budget-Unrestricted MYP'!J26+'Budget-Unrestricted MYP'!J42</f>
        <v>8698844.3732600007</v>
      </c>
    </row>
    <row r="82" spans="1:5">
      <c r="A82" s="1218" t="s">
        <v>436</v>
      </c>
      <c r="B82" s="1603">
        <f>'Budget-Unrestricted MYP'!E37+'Budget-Unrestricted MYP'!E43</f>
        <v>4324293.2203308828</v>
      </c>
      <c r="C82" s="1603">
        <f>'Budget-Unrestricted MYP'!F37+'Budget-Unrestricted MYP'!F43</f>
        <v>8394739.2142865993</v>
      </c>
      <c r="D82" s="1603">
        <f>'Budget-Unrestricted MYP'!H37+'Budget-Unrestricted MYP'!H43</f>
        <v>8484968.258329099</v>
      </c>
      <c r="E82" s="1603">
        <f>'Budget-Unrestricted MYP'!J37+'Budget-Unrestricted MYP'!J43</f>
        <v>8689472.7786535863</v>
      </c>
    </row>
    <row r="83" spans="1:5">
      <c r="B83" s="1603"/>
      <c r="C83" s="1603"/>
      <c r="D83" s="1603"/>
      <c r="E83" s="1603"/>
    </row>
    <row r="84" spans="1:5">
      <c r="A84" s="1218" t="s">
        <v>437</v>
      </c>
      <c r="B84" s="1603">
        <f>'Budget-Restricted MYP'!E26+'Budget-Restricted MYP'!E42</f>
        <v>512183.14</v>
      </c>
      <c r="C84" s="1603">
        <f>'Budget-Restricted MYP'!F26+'Budget-Restricted MYP'!F42</f>
        <v>1180215</v>
      </c>
      <c r="D84" s="1603">
        <f>'Budget-Restricted MYP'!H26+'Budget-Restricted MYP'!H42</f>
        <v>1052695</v>
      </c>
      <c r="E84" s="1603">
        <f>'Budget-Restricted MYP'!J26+'Budget-Restricted MYP'!J42</f>
        <v>1160638</v>
      </c>
    </row>
    <row r="85" spans="1:5">
      <c r="A85" s="1218" t="s">
        <v>438</v>
      </c>
      <c r="B85" s="1603">
        <f>'Budget-Restricted MYP'!E37+'Budget-Restricted MYP'!E43</f>
        <v>512183.41511185531</v>
      </c>
      <c r="C85" s="1603">
        <f>'Budget-Restricted MYP'!F37+'Budget-Restricted MYP'!F43</f>
        <v>1102063.031</v>
      </c>
      <c r="D85" s="1603">
        <f>'Budget-Restricted MYP'!H37+'Budget-Restricted MYP'!H43</f>
        <v>1130846.7170849999</v>
      </c>
      <c r="E85" s="1603">
        <f>'Budget-Restricted MYP'!J37+'Budget-Restricted MYP'!J43</f>
        <v>1160637.8321829748</v>
      </c>
    </row>
    <row r="86" spans="1:5">
      <c r="B86" s="1608"/>
      <c r="C86" s="1608"/>
      <c r="D86" s="1608"/>
      <c r="E86" s="1608"/>
    </row>
    <row r="87" spans="1:5">
      <c r="A87" s="1218" t="s">
        <v>439</v>
      </c>
      <c r="B87" s="1624">
        <f>'Budget-Restricted MYP'!E149</f>
        <v>0.159</v>
      </c>
      <c r="C87" s="1624">
        <f>'Budget-Restricted MYP'!F149</f>
        <v>0.159</v>
      </c>
      <c r="D87" s="1624">
        <f>'Budget-Restricted MYP'!H149</f>
        <v>0.159</v>
      </c>
      <c r="E87" s="1624">
        <f>'Budget-Restricted MYP'!J149</f>
        <v>0.159</v>
      </c>
    </row>
    <row r="88" spans="1:5">
      <c r="A88" s="1218" t="s">
        <v>445</v>
      </c>
      <c r="C88" s="1218" t="str">
        <f>T('Budget-Restricted MYP'!E150:K150)</f>
        <v>Member</v>
      </c>
    </row>
    <row r="89" spans="1:5">
      <c r="A89" s="1218" t="s">
        <v>441</v>
      </c>
      <c r="B89" s="1603">
        <f>'Budget-Restricted MYP'!E151</f>
        <v>389407</v>
      </c>
      <c r="C89" s="1603">
        <f>'Budget-Restricted MYP'!F151</f>
        <v>645340</v>
      </c>
      <c r="D89" s="1603">
        <f>'Budget-Restricted MYP'!H151</f>
        <v>645340</v>
      </c>
      <c r="E89" s="1603">
        <f>'Budget-Restricted MYP'!J151</f>
        <v>645340</v>
      </c>
    </row>
    <row r="90" spans="1:5">
      <c r="A90" s="1218" t="s">
        <v>442</v>
      </c>
      <c r="B90" s="1603">
        <f>'Budget-Restricted MYP'!E152</f>
        <v>0</v>
      </c>
      <c r="C90" s="1603">
        <f>'Budget-Restricted MYP'!F152</f>
        <v>0</v>
      </c>
      <c r="D90" s="1603">
        <f>'Budget-Restricted MYP'!H152</f>
        <v>0</v>
      </c>
      <c r="E90" s="1603">
        <f>'Budget-Restricted MYP'!J152</f>
        <v>0</v>
      </c>
    </row>
    <row r="91" spans="1:5">
      <c r="A91" s="1218" t="s">
        <v>440</v>
      </c>
      <c r="B91" s="1608">
        <f>'Budget-Restricted MYP'!E153</f>
        <v>0</v>
      </c>
      <c r="C91" s="1608">
        <f>'Budget-Restricted MYP'!F153</f>
        <v>0</v>
      </c>
      <c r="D91" s="1608">
        <f>'Budget-Restricted MYP'!H153</f>
        <v>0</v>
      </c>
      <c r="E91" s="1608">
        <f>'Budget-Restricted MYP'!J153</f>
        <v>0</v>
      </c>
    </row>
    <row r="92" spans="1:5">
      <c r="A92" s="1218" t="s">
        <v>443</v>
      </c>
      <c r="B92" s="1608">
        <f>'Budget-Restricted MYP'!E154</f>
        <v>389407</v>
      </c>
      <c r="C92" s="1608">
        <f>'Budget-Restricted MYP'!F154</f>
        <v>645340</v>
      </c>
      <c r="D92" s="1608">
        <f>'Budget-Restricted MYP'!H154</f>
        <v>645340</v>
      </c>
      <c r="E92" s="1608">
        <f>'Budget-Restricted MYP'!J154</f>
        <v>645340</v>
      </c>
    </row>
    <row r="93" spans="1:5">
      <c r="A93" s="1218" t="s">
        <v>444</v>
      </c>
      <c r="B93" s="1608">
        <f>'Budget-Restricted MYP'!E155</f>
        <v>0</v>
      </c>
      <c r="C93" s="1608">
        <f>'Budget-Restricted MYP'!F155</f>
        <v>0</v>
      </c>
      <c r="D93" s="1608">
        <f>'Budget-Restricted MYP'!H155</f>
        <v>0</v>
      </c>
      <c r="E93" s="1608">
        <f>'Budget-Restricted MYP'!J155</f>
        <v>0</v>
      </c>
    </row>
    <row r="94" spans="1:5">
      <c r="B94" s="1608"/>
      <c r="C94" s="1608"/>
      <c r="D94" s="1608"/>
      <c r="E94" s="1608"/>
    </row>
    <row r="95" spans="1:5">
      <c r="A95" s="1218" t="s">
        <v>449</v>
      </c>
      <c r="B95" s="1608"/>
      <c r="C95" s="1608"/>
      <c r="D95" s="1608"/>
      <c r="E95" s="1608"/>
    </row>
    <row r="96" spans="1:5">
      <c r="A96" s="1218" t="s">
        <v>4</v>
      </c>
      <c r="B96" s="1603">
        <f>'Budget-Unrestricted MYP'!E29</f>
        <v>1487406.8552000001</v>
      </c>
      <c r="C96" s="1603">
        <f>'Budget-Unrestricted MYP'!F29</f>
        <v>3153669</v>
      </c>
      <c r="D96" s="1603">
        <f>'Budget-Unrestricted MYP'!H29</f>
        <v>3260968.4649999999</v>
      </c>
      <c r="E96" s="1603">
        <f>'Budget-Unrestricted MYP'!J29</f>
        <v>3372023.4112749989</v>
      </c>
    </row>
    <row r="97" spans="1:5">
      <c r="A97" s="1218" t="s">
        <v>23</v>
      </c>
      <c r="B97" s="1603">
        <f>'Budget-Unrestricted MYP'!E30</f>
        <v>0</v>
      </c>
      <c r="C97" s="1603">
        <f>'Budget-Unrestricted MYP'!F30</f>
        <v>136650.5</v>
      </c>
      <c r="D97" s="1603">
        <f>'Budget-Unrestricted MYP'!H30</f>
        <v>141153.26749999999</v>
      </c>
      <c r="E97" s="1603">
        <f>'Budget-Unrestricted MYP'!J30</f>
        <v>145813.63186249998</v>
      </c>
    </row>
    <row r="98" spans="1:5">
      <c r="A98" s="1218" t="s">
        <v>24</v>
      </c>
      <c r="B98" s="1603">
        <f>'Budget-Unrestricted MYP'!E31</f>
        <v>393407.94265864859</v>
      </c>
      <c r="C98" s="1603">
        <f>'Budget-Unrestricted MYP'!F31</f>
        <v>968504.72549999994</v>
      </c>
      <c r="D98" s="1603">
        <f>'Budget-Unrestricted MYP'!H31</f>
        <v>1003051.6153424999</v>
      </c>
      <c r="E98" s="1603">
        <f>'Budget-Unrestricted MYP'!J31</f>
        <v>1038807.6463294872</v>
      </c>
    </row>
    <row r="99" spans="1:5">
      <c r="A99" s="1218" t="s">
        <v>25</v>
      </c>
      <c r="B99" s="1603">
        <f>'Budget-Unrestricted MYP'!E32</f>
        <v>332606.91000000003</v>
      </c>
      <c r="C99" s="1603">
        <f>'Budget-Unrestricted MYP'!F32</f>
        <v>522371.33</v>
      </c>
      <c r="D99" s="1603">
        <f>'Budget-Unrestricted MYP'!H32</f>
        <v>522371.33</v>
      </c>
      <c r="E99" s="1603">
        <f>'Budget-Unrestricted MYP'!J32</f>
        <v>522371.33</v>
      </c>
    </row>
    <row r="100" spans="1:5">
      <c r="A100" s="1218" t="s">
        <v>26</v>
      </c>
      <c r="B100" s="1603">
        <f>'Budget-Unrestricted MYP'!E33</f>
        <v>2318499.09</v>
      </c>
      <c r="C100" s="1603">
        <f>'Budget-Unrestricted MYP'!F33</f>
        <v>4541682.3687866004</v>
      </c>
      <c r="D100" s="1603">
        <f>'Budget-Unrestricted MYP'!H33</f>
        <v>4515562.2904866003</v>
      </c>
      <c r="E100" s="1603">
        <f>'Budget-Unrestricted MYP'!J33</f>
        <v>4578595.4691866003</v>
      </c>
    </row>
    <row r="101" spans="1:5">
      <c r="A101" s="1218" t="s">
        <v>5</v>
      </c>
      <c r="B101" s="1603">
        <f>'Budget-Unrestricted MYP'!E34</f>
        <v>14362.290000000005</v>
      </c>
      <c r="C101" s="1603">
        <f>'Budget-Unrestricted MYP'!F34</f>
        <v>14362.290000000005</v>
      </c>
      <c r="D101" s="1603">
        <f>'Budget-Unrestricted MYP'!H34</f>
        <v>14362.290000000005</v>
      </c>
      <c r="E101" s="1603">
        <f>'Budget-Unrestricted MYP'!J34</f>
        <v>14362.290000000005</v>
      </c>
    </row>
    <row r="102" spans="1:5">
      <c r="A102" s="1218" t="s">
        <v>27</v>
      </c>
      <c r="B102" s="1603">
        <f>'Budget-Unrestricted MYP'!E35</f>
        <v>2499</v>
      </c>
      <c r="C102" s="1603">
        <f>'Budget-Unrestricted MYP'!F35</f>
        <v>2499</v>
      </c>
      <c r="D102" s="1603">
        <f>'Budget-Unrestricted MYP'!H35</f>
        <v>2499</v>
      </c>
      <c r="E102" s="1603">
        <f>'Budget-Unrestricted MYP'!J35</f>
        <v>2499</v>
      </c>
    </row>
    <row r="103" spans="1:5">
      <c r="A103" s="1218" t="s">
        <v>149</v>
      </c>
      <c r="B103" s="1603">
        <f>'Budget-Unrestricted MYP'!E36</f>
        <v>0</v>
      </c>
      <c r="C103" s="1603">
        <f>'Budget-Unrestricted MYP'!F36</f>
        <v>0</v>
      </c>
      <c r="D103" s="1603">
        <f>'Budget-Unrestricted MYP'!H36</f>
        <v>0</v>
      </c>
      <c r="E103" s="1603">
        <f>'Budget-Unrestricted MYP'!J36</f>
        <v>0</v>
      </c>
    </row>
    <row r="104" spans="1:5">
      <c r="A104" s="1218" t="s">
        <v>450</v>
      </c>
      <c r="B104" s="1603">
        <f>'Budget-Unrestricted MYP'!E37</f>
        <v>4548782.087858648</v>
      </c>
      <c r="C104" s="1603">
        <f>'Budget-Unrestricted MYP'!F37</f>
        <v>9339739.2142865993</v>
      </c>
      <c r="D104" s="1603">
        <f>'Budget-Unrestricted MYP'!H37</f>
        <v>9459968.258329099</v>
      </c>
      <c r="E104" s="1603">
        <f>'Budget-Unrestricted MYP'!J37</f>
        <v>9674472.7786535863</v>
      </c>
    </row>
    <row r="105" spans="1:5">
      <c r="B105" s="1603"/>
      <c r="C105" s="1603"/>
      <c r="D105" s="1603"/>
      <c r="E105" s="1603"/>
    </row>
    <row r="106" spans="1:5">
      <c r="A106" s="1218" t="s">
        <v>451</v>
      </c>
      <c r="B106" s="1603"/>
      <c r="C106" s="1603"/>
      <c r="D106" s="1603"/>
      <c r="E106" s="1603"/>
    </row>
    <row r="107" spans="1:5">
      <c r="A107" s="1218" t="s">
        <v>4</v>
      </c>
      <c r="B107" s="1603">
        <f>'Budget-Restricted MYP'!E29</f>
        <v>296868.71999999997</v>
      </c>
      <c r="C107" s="1603">
        <f>'Budget-Restricted MYP'!F29</f>
        <v>664259</v>
      </c>
      <c r="D107" s="1603">
        <f>'Budget-Restricted MYP'!H29</f>
        <v>686248.06499999994</v>
      </c>
      <c r="E107" s="1603">
        <f>'Budget-Restricted MYP'!J29</f>
        <v>709006.74727499986</v>
      </c>
    </row>
    <row r="108" spans="1:5">
      <c r="A108" s="1218" t="s">
        <v>23</v>
      </c>
      <c r="B108" s="1603">
        <f>'Budget-Restricted MYP'!E30</f>
        <v>0</v>
      </c>
      <c r="C108" s="1603">
        <f>'Budget-Restricted MYP'!F30</f>
        <v>0</v>
      </c>
      <c r="D108" s="1603">
        <f>'Budget-Restricted MYP'!H30</f>
        <v>0</v>
      </c>
      <c r="E108" s="1603">
        <f>'Budget-Restricted MYP'!J30</f>
        <v>0</v>
      </c>
    </row>
    <row r="109" spans="1:5">
      <c r="A109" s="1218" t="s">
        <v>24</v>
      </c>
      <c r="B109" s="1603">
        <f>'Budget-Restricted MYP'!E31</f>
        <v>91413.975111855369</v>
      </c>
      <c r="C109" s="1603">
        <f>'Budget-Restricted MYP'!F31</f>
        <v>195932.03099999999</v>
      </c>
      <c r="D109" s="1603">
        <f>'Budget-Restricted MYP'!H31</f>
        <v>202726.65208499998</v>
      </c>
      <c r="E109" s="1603">
        <f>'Budget-Restricted MYP'!J31</f>
        <v>209759.08490797496</v>
      </c>
    </row>
    <row r="110" spans="1:5">
      <c r="A110" s="1218" t="s">
        <v>25</v>
      </c>
      <c r="B110" s="1603">
        <f>'Budget-Restricted MYP'!E32</f>
        <v>1521.6</v>
      </c>
      <c r="C110" s="1603">
        <f>'Budget-Restricted MYP'!F32</f>
        <v>0</v>
      </c>
      <c r="D110" s="1603">
        <f>'Budget-Restricted MYP'!H32</f>
        <v>0</v>
      </c>
      <c r="E110" s="1603">
        <f>'Budget-Restricted MYP'!J32</f>
        <v>0</v>
      </c>
    </row>
    <row r="111" spans="1:5">
      <c r="A111" s="1218" t="s">
        <v>26</v>
      </c>
      <c r="B111" s="1603">
        <f>'Budget-Restricted MYP'!E33</f>
        <v>122379.12</v>
      </c>
      <c r="C111" s="1603">
        <f>'Budget-Restricted MYP'!F33</f>
        <v>241872</v>
      </c>
      <c r="D111" s="1603">
        <f>'Budget-Restricted MYP'!H33</f>
        <v>241872</v>
      </c>
      <c r="E111" s="1603">
        <f>'Budget-Restricted MYP'!J33</f>
        <v>241872</v>
      </c>
    </row>
    <row r="112" spans="1:5">
      <c r="A112" s="1218" t="s">
        <v>5</v>
      </c>
      <c r="B112" s="1603">
        <f>'Budget-Restricted MYP'!E34</f>
        <v>0</v>
      </c>
      <c r="C112" s="1603">
        <f>'Budget-Restricted MYP'!F34</f>
        <v>0</v>
      </c>
      <c r="D112" s="1603">
        <f>'Budget-Restricted MYP'!H34</f>
        <v>0</v>
      </c>
      <c r="E112" s="1603">
        <f>'Budget-Restricted MYP'!J34</f>
        <v>0</v>
      </c>
    </row>
    <row r="113" spans="1:5">
      <c r="A113" s="1218" t="s">
        <v>27</v>
      </c>
      <c r="B113" s="1603">
        <f>'Budget-Restricted MYP'!E35</f>
        <v>0</v>
      </c>
      <c r="C113" s="1603">
        <f>'Budget-Restricted MYP'!F35</f>
        <v>0</v>
      </c>
      <c r="D113" s="1603">
        <f>'Budget-Restricted MYP'!H35</f>
        <v>0</v>
      </c>
      <c r="E113" s="1603">
        <f>'Budget-Restricted MYP'!J35</f>
        <v>0</v>
      </c>
    </row>
    <row r="114" spans="1:5">
      <c r="A114" s="1218" t="s">
        <v>149</v>
      </c>
      <c r="B114" s="1603">
        <f>'Budget-Restricted MYP'!E36</f>
        <v>0</v>
      </c>
      <c r="C114" s="1603">
        <f>'Budget-Restricted MYP'!F36</f>
        <v>0</v>
      </c>
      <c r="D114" s="1603">
        <f>'Budget-Restricted MYP'!H36</f>
        <v>0</v>
      </c>
      <c r="E114" s="1603">
        <f>'Budget-Restricted MYP'!J36</f>
        <v>0</v>
      </c>
    </row>
    <row r="115" spans="1:5">
      <c r="A115" s="1218" t="s">
        <v>450</v>
      </c>
      <c r="B115" s="1603">
        <f>'Budget-Restricted MYP'!E37</f>
        <v>512183.41511185531</v>
      </c>
      <c r="C115" s="1603">
        <f>'Budget-Restricted MYP'!F37</f>
        <v>1102063.031</v>
      </c>
      <c r="D115" s="1603">
        <f>'Budget-Restricted MYP'!H37</f>
        <v>1130846.7170849999</v>
      </c>
      <c r="E115" s="1603">
        <f>'Budget-Restricted MYP'!J37</f>
        <v>1160637.8321829748</v>
      </c>
    </row>
    <row r="116" spans="1:5">
      <c r="B116" s="1603"/>
      <c r="C116" s="1603"/>
      <c r="D116" s="1603"/>
      <c r="E116" s="1603"/>
    </row>
    <row r="117" spans="1:5">
      <c r="A117" s="1218" t="s">
        <v>340</v>
      </c>
      <c r="B117" s="1603"/>
      <c r="C117" s="1603">
        <f>'Budget-Assumptions'!G73</f>
        <v>18315.059999999998</v>
      </c>
      <c r="D117" s="1603">
        <f>'Budget-Assumptions'!H73</f>
        <v>18896.490476190476</v>
      </c>
      <c r="E117" s="1603">
        <f>'Budget-Assumptions'!J73</f>
        <v>18896.490476190476</v>
      </c>
    </row>
    <row r="118" spans="1:5">
      <c r="A118" s="1218" t="s">
        <v>341</v>
      </c>
      <c r="B118" s="1603"/>
      <c r="C118" s="1603">
        <f>'Budget-Assumptions'!G74</f>
        <v>0</v>
      </c>
      <c r="D118" s="1603">
        <f>'Budget-Assumptions'!H74</f>
        <v>0</v>
      </c>
      <c r="E118" s="1603">
        <f>'Budget-Assumptions'!J74</f>
        <v>0</v>
      </c>
    </row>
    <row r="119" spans="1:5">
      <c r="A119" s="1218" t="s">
        <v>342</v>
      </c>
      <c r="B119" s="1603"/>
      <c r="C119" s="1603">
        <f>'Budget-Assumptions'!G75</f>
        <v>0</v>
      </c>
      <c r="D119" s="1603">
        <f>'Budget-Assumptions'!H75</f>
        <v>0</v>
      </c>
      <c r="E119" s="1603">
        <f>'Budget-Assumptions'!J75</f>
        <v>0</v>
      </c>
    </row>
    <row r="120" spans="1:5">
      <c r="A120" s="1218" t="s">
        <v>161</v>
      </c>
      <c r="B120" s="1603"/>
      <c r="C120" s="1603">
        <f>'Budget-Assumptions'!G76</f>
        <v>0</v>
      </c>
      <c r="D120" s="1603">
        <f>'Budget-Assumptions'!H76</f>
        <v>0</v>
      </c>
      <c r="E120" s="1603">
        <f>'Budget-Assumptions'!J76</f>
        <v>0</v>
      </c>
    </row>
    <row r="121" spans="1:5">
      <c r="C121" s="1608"/>
      <c r="D121" s="1608"/>
      <c r="E121" s="1608"/>
    </row>
    <row r="122" spans="1:5">
      <c r="A122" s="1218" t="s">
        <v>41</v>
      </c>
      <c r="C122" s="1608">
        <f>'Budget-Assumptions'!G82</f>
        <v>253565.04180000001</v>
      </c>
      <c r="D122" s="1608">
        <f>'Budget-Assumptions'!H82</f>
        <v>262773.71999999997</v>
      </c>
      <c r="E122" s="1608">
        <f>'Budget-Assumptions'!J82</f>
        <v>272404.74</v>
      </c>
    </row>
    <row r="123" spans="1:5">
      <c r="A123" s="1218" t="s">
        <v>235</v>
      </c>
      <c r="C123" s="1603">
        <f>'Budget-Assumptions'!G83</f>
        <v>3556001.28555803</v>
      </c>
      <c r="D123" s="1603">
        <f>'Budget-Assumptions'!H83</f>
        <v>3490662.3143580304</v>
      </c>
      <c r="E123" s="1603">
        <f>'Budget-Assumptions'!J83</f>
        <v>3534043.8711580299</v>
      </c>
    </row>
    <row r="124" spans="1:5">
      <c r="A124" s="1218" t="s">
        <v>515</v>
      </c>
      <c r="C124" s="1608">
        <f>'Budget-Assumptions'!G84</f>
        <v>0</v>
      </c>
      <c r="D124" s="1608">
        <f>'Budget-Assumptions'!H84</f>
        <v>0</v>
      </c>
      <c r="E124" s="1608">
        <f>'Budget-Assumptions'!J84</f>
        <v>0</v>
      </c>
    </row>
    <row r="125" spans="1:5">
      <c r="C125" s="1608"/>
      <c r="D125" s="1608"/>
      <c r="E125" s="1608"/>
    </row>
    <row r="126" spans="1:5">
      <c r="A126" s="1218" t="s">
        <v>482</v>
      </c>
      <c r="C126" s="1608"/>
      <c r="D126" s="1608"/>
      <c r="E126" s="1608"/>
    </row>
    <row r="127" spans="1:5">
      <c r="A127" s="1218" t="str">
        <f>T('Budget-DEBT'!A15)</f>
        <v>State School Building Loans</v>
      </c>
      <c r="C127" s="1608">
        <f>'Budget-DEBT'!E15+'Budget-DEBT'!F15</f>
        <v>0</v>
      </c>
      <c r="D127" s="1608">
        <f>'Budget-DEBT'!G15+'Budget-DEBT'!H15</f>
        <v>0</v>
      </c>
      <c r="E127" s="1608">
        <f>'Budget-DEBT'!I15+'Budget-DEBT'!J15</f>
        <v>0</v>
      </c>
    </row>
    <row r="128" spans="1:5">
      <c r="A128" s="1218" t="str">
        <f>T('Budget-DEBT'!A16)</f>
        <v>Charter School Start-up Loans</v>
      </c>
      <c r="C128" s="1603">
        <f>'Budget-DEBT'!E16+'Budget-DEBT'!F16</f>
        <v>63600</v>
      </c>
      <c r="D128" s="1603">
        <f>'Budget-DEBT'!G16+'Budget-DEBT'!H16</f>
        <v>0</v>
      </c>
      <c r="E128" s="1603">
        <f>'Budget-DEBT'!I16+'Budget-DEBT'!J16</f>
        <v>0</v>
      </c>
    </row>
    <row r="129" spans="1:5">
      <c r="A129" s="1218" t="str">
        <f>T('Budget-DEBT'!A17)</f>
        <v>Other Post Employment Benefits</v>
      </c>
      <c r="C129" s="1603">
        <f>'Budget-DEBT'!E17+'Budget-DEBT'!F17</f>
        <v>0</v>
      </c>
      <c r="D129" s="1603">
        <f>'Budget-DEBT'!G17+'Budget-DEBT'!H17</f>
        <v>0</v>
      </c>
      <c r="E129" s="1603">
        <f>'Budget-DEBT'!I17+'Budget-DEBT'!J17</f>
        <v>0</v>
      </c>
    </row>
    <row r="130" spans="1:5">
      <c r="A130" s="1218" t="str">
        <f>T('Budget-DEBT'!A18)</f>
        <v>Compensated Absences</v>
      </c>
      <c r="C130" s="1603">
        <f>'Budget-DEBT'!E18+'Budget-DEBT'!F18</f>
        <v>0</v>
      </c>
      <c r="D130" s="1603">
        <f>'Budget-DEBT'!G18+'Budget-DEBT'!H18</f>
        <v>0</v>
      </c>
      <c r="E130" s="1603">
        <f>'Budget-DEBT'!I18+'Budget-DEBT'!J18</f>
        <v>0</v>
      </c>
    </row>
    <row r="131" spans="1:5">
      <c r="A131" s="1218" t="str">
        <f>T('Budget-DEBT'!A19)</f>
        <v>Bank Line of Credit Loans</v>
      </c>
      <c r="C131" s="1603">
        <f>'Budget-DEBT'!E19+'Budget-DEBT'!F19</f>
        <v>0</v>
      </c>
      <c r="D131" s="1603">
        <f>'Budget-DEBT'!G19+'Budget-DEBT'!H19</f>
        <v>0</v>
      </c>
      <c r="E131" s="1603">
        <f>'Budget-DEBT'!I19+'Budget-DEBT'!J19</f>
        <v>0</v>
      </c>
    </row>
    <row r="132" spans="1:5">
      <c r="A132" s="1218" t="str">
        <f>T('Budget-DEBT'!A20)</f>
        <v>Municipal Lease</v>
      </c>
      <c r="C132" s="1603">
        <f>'Budget-DEBT'!E20+'Budget-DEBT'!F20</f>
        <v>0</v>
      </c>
      <c r="D132" s="1603">
        <f>'Budget-DEBT'!G20+'Budget-DEBT'!H20</f>
        <v>0</v>
      </c>
      <c r="E132" s="1603">
        <f>'Budget-DEBT'!I20+'Budget-DEBT'!J20</f>
        <v>0</v>
      </c>
    </row>
    <row r="133" spans="1:5">
      <c r="A133" s="1218" t="str">
        <f>T('Budget-DEBT'!A21)</f>
        <v>Capital Lease</v>
      </c>
      <c r="C133" s="1603">
        <f>'Budget-DEBT'!E21+'Budget-DEBT'!F21</f>
        <v>0</v>
      </c>
      <c r="D133" s="1603">
        <f>'Budget-DEBT'!G21+'Budget-DEBT'!H21</f>
        <v>0</v>
      </c>
      <c r="E133" s="1603">
        <f>'Budget-DEBT'!I21+'Budget-DEBT'!J21</f>
        <v>0</v>
      </c>
    </row>
    <row r="134" spans="1:5">
      <c r="A134" s="1218" t="str">
        <f>T('Budget-DEBT'!A22)</f>
        <v>Capital Lease</v>
      </c>
      <c r="C134" s="1603">
        <f>'Budget-DEBT'!E22+'Budget-DEBT'!F22</f>
        <v>0</v>
      </c>
      <c r="D134" s="1603">
        <f>'Budget-DEBT'!G22+'Budget-DEBT'!H22</f>
        <v>0</v>
      </c>
      <c r="E134" s="1603">
        <f>'Budget-DEBT'!I22+'Budget-DEBT'!J22</f>
        <v>0</v>
      </c>
    </row>
    <row r="135" spans="1:5">
      <c r="A135" s="1218" t="str">
        <f>T('Budget-DEBT'!A23)</f>
        <v>Capital Lease</v>
      </c>
      <c r="C135" s="1603">
        <f>'Budget-DEBT'!E23+'Budget-DEBT'!F23</f>
        <v>0</v>
      </c>
      <c r="D135" s="1603">
        <f>'Budget-DEBT'!G23+'Budget-DEBT'!H23</f>
        <v>0</v>
      </c>
      <c r="E135" s="1603">
        <f>'Budget-DEBT'!I23+'Budget-DEBT'!J23</f>
        <v>0</v>
      </c>
    </row>
    <row r="136" spans="1:5">
      <c r="A136" s="1218" t="str">
        <f>T('Budget-DEBT'!A24)</f>
        <v>Inter-Agency Borrowing</v>
      </c>
      <c r="C136" s="1603">
        <f>'Budget-DEBT'!E24+'Budget-DEBT'!F24</f>
        <v>0</v>
      </c>
      <c r="D136" s="1603">
        <f>'Budget-DEBT'!G24+'Budget-DEBT'!H24</f>
        <v>0</v>
      </c>
      <c r="E136" s="1603">
        <f>'Budget-DEBT'!I24+'Budget-DEBT'!J24</f>
        <v>0</v>
      </c>
    </row>
    <row r="137" spans="1:5">
      <c r="A137" s="1218" t="str">
        <f>T('Budget-DEBT'!A25)</f>
        <v>Other</v>
      </c>
      <c r="C137" s="1603">
        <f>'Budget-DEBT'!E25+'Budget-DEBT'!F25</f>
        <v>0</v>
      </c>
      <c r="D137" s="1603">
        <f>'Budget-DEBT'!G25+'Budget-DEBT'!H25</f>
        <v>0</v>
      </c>
      <c r="E137" s="1603">
        <f>'Budget-DEBT'!I25+'Budget-DEBT'!J25</f>
        <v>0</v>
      </c>
    </row>
    <row r="138" spans="1:5">
      <c r="A138" s="1218" t="str">
        <f>T('Budget-DEBT'!A26)</f>
        <v/>
      </c>
      <c r="C138" s="1607"/>
      <c r="D138" s="1607"/>
      <c r="E138" s="1607"/>
    </row>
    <row r="139" spans="1:5">
      <c r="A139" s="1218" t="s">
        <v>480</v>
      </c>
      <c r="C139" s="1607"/>
      <c r="D139" s="1607"/>
      <c r="E139" s="1607"/>
    </row>
    <row r="140" spans="1:5">
      <c r="A140" s="1218" t="s">
        <v>481</v>
      </c>
      <c r="C140" s="1603">
        <f>'Budget-Cash Flow Year 1'!E6</f>
        <v>244991</v>
      </c>
      <c r="D140" s="1603">
        <f>'Budget-Cash Flow Year 2'!E6</f>
        <v>514556.18797339872</v>
      </c>
    </row>
    <row r="141" spans="1:5">
      <c r="A141" s="1218" t="s">
        <v>79</v>
      </c>
      <c r="C141" s="1603">
        <f>'Budget-Cash Flow Year 1'!E60</f>
        <v>188704.76566444989</v>
      </c>
      <c r="D141" s="1603">
        <f>'Budget-Cash Flow Year 2'!E60</f>
        <v>426858.97112722369</v>
      </c>
    </row>
    <row r="142" spans="1:5">
      <c r="A142" s="1218" t="s">
        <v>81</v>
      </c>
      <c r="C142" s="1603">
        <f>'Budget-Cash Flow Year 1'!G60</f>
        <v>132418.53132889979</v>
      </c>
      <c r="D142" s="1603">
        <f>'Budget-Cash Flow Year 2'!G60</f>
        <v>339161.75428104866</v>
      </c>
    </row>
    <row r="143" spans="1:5">
      <c r="A143" s="1218" t="s">
        <v>83</v>
      </c>
      <c r="C143" s="1608">
        <f>'Budget-Cash Flow Year 1'!I60</f>
        <v>76132.296993349679</v>
      </c>
      <c r="D143" s="1608">
        <f>'Budget-Cash Flow Year 2'!I60</f>
        <v>251464.53743487364</v>
      </c>
    </row>
    <row r="144" spans="1:5">
      <c r="A144" s="1218" t="s">
        <v>84</v>
      </c>
      <c r="C144" s="1608">
        <f>'Budget-Cash Flow Year 1'!K60</f>
        <v>19846.062657799572</v>
      </c>
      <c r="D144" s="1608">
        <f>'Budget-Cash Flow Year 2'!K60</f>
        <v>163767.32058869861</v>
      </c>
    </row>
    <row r="145" spans="1:4">
      <c r="A145" s="1218" t="s">
        <v>85</v>
      </c>
      <c r="C145" s="1608">
        <f>'Budget-Cash Flow Year 1'!M60</f>
        <v>19276.979324466316</v>
      </c>
      <c r="D145" s="1608">
        <f>'Budget-Cash Flow Year 2'!M60</f>
        <v>76070.103742523585</v>
      </c>
    </row>
    <row r="146" spans="1:4">
      <c r="A146" s="1218" t="s">
        <v>86</v>
      </c>
      <c r="C146" s="1608">
        <f>'Budget-Cash Flow Year 1'!O60</f>
        <v>18707.89599113306</v>
      </c>
      <c r="D146" s="1608">
        <f>'Budget-Cash Flow Year 2'!O60</f>
        <v>74757.206705023535</v>
      </c>
    </row>
    <row r="147" spans="1:4">
      <c r="A147" s="1218" t="s">
        <v>87</v>
      </c>
      <c r="C147" s="1608">
        <f>'Budget-Cash Flow Year 1'!Q60</f>
        <v>18138.812657799805</v>
      </c>
      <c r="D147" s="1608">
        <f>'Budget-Cash Flow Year 2'!Q60</f>
        <v>73444.309667523485</v>
      </c>
    </row>
    <row r="148" spans="1:4">
      <c r="A148" s="1218" t="s">
        <v>88</v>
      </c>
      <c r="C148" s="1608">
        <f>'Budget-Cash Flow Year 1'!S60</f>
        <v>17569.729324466549</v>
      </c>
      <c r="D148" s="1608">
        <f>'Budget-Cash Flow Year 2'!S60</f>
        <v>72131.412630023435</v>
      </c>
    </row>
    <row r="149" spans="1:4">
      <c r="A149" s="1218" t="s">
        <v>89</v>
      </c>
      <c r="C149" s="1608">
        <f>'Budget-Cash Flow Year 1'!U60</f>
        <v>17000.645991133293</v>
      </c>
      <c r="D149" s="1608">
        <f>'Budget-Cash Flow Year 2'!U60</f>
        <v>70818.515592523385</v>
      </c>
    </row>
    <row r="150" spans="1:4">
      <c r="A150" s="1218" t="s">
        <v>90</v>
      </c>
      <c r="C150" s="1608">
        <f>'Budget-Cash Flow Year 1'!W60</f>
        <v>16431.562657800037</v>
      </c>
      <c r="D150" s="1608">
        <f>'Budget-Cash Flow Year 2'!W60</f>
        <v>69505.618555023335</v>
      </c>
    </row>
    <row r="151" spans="1:4">
      <c r="A151" s="1218" t="s">
        <v>91</v>
      </c>
      <c r="C151" s="1608">
        <f>'Budget-Cash Flow Year 1'!Y60</f>
        <v>15862.479324466782</v>
      </c>
      <c r="D151" s="1608">
        <f>'Budget-Cash Flow Year 2'!Y60</f>
        <v>68192.721517523285</v>
      </c>
    </row>
    <row r="152" spans="1:4">
      <c r="A152" s="1218" t="s">
        <v>92</v>
      </c>
      <c r="C152" s="1608">
        <f>'Budget-Cash Flow Year 1'!AA60</f>
        <v>514556.18797339872</v>
      </c>
      <c r="D152" s="1608">
        <f>'Budget-Cash Flow Year 2'!AA60</f>
        <v>437189.5858192984</v>
      </c>
    </row>
    <row r="153" spans="1:4">
      <c r="C153" s="1608"/>
      <c r="D153" s="1608"/>
    </row>
    <row r="154" spans="1:4">
      <c r="C154" s="1608"/>
      <c r="D154" s="1608"/>
    </row>
  </sheetData>
  <sheetProtection password="D94D" sheet="1"/>
  <phoneticPr fontId="5" type="noConversion"/>
  <conditionalFormatting sqref="A77">
    <cfRule type="expression" dxfId="320" priority="2" stopIfTrue="1">
      <formula>$E$87=""</formula>
    </cfRule>
  </conditionalFormatting>
  <conditionalFormatting sqref="A78">
    <cfRule type="expression" dxfId="319" priority="1" stopIfTrue="1">
      <formula>$E$87&lt;&gt;0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pageSetUpPr fitToPage="1"/>
  </sheetPr>
  <dimension ref="A1:B29"/>
  <sheetViews>
    <sheetView showGridLines="0" topLeftCell="A9" zoomScale="145" zoomScaleNormal="145" workbookViewId="0">
      <selection activeCell="B27" sqref="B27"/>
    </sheetView>
  </sheetViews>
  <sheetFormatPr defaultRowHeight="12.75"/>
  <cols>
    <col min="1" max="1" width="6.28515625" customWidth="1"/>
    <col min="2" max="2" width="86" customWidth="1"/>
  </cols>
  <sheetData>
    <row r="1" spans="1:2">
      <c r="A1" s="134" t="s">
        <v>42</v>
      </c>
    </row>
    <row r="2" spans="1:2">
      <c r="A2" s="134" t="s">
        <v>78</v>
      </c>
    </row>
    <row r="3" spans="1:2">
      <c r="A3" s="1584" t="str">
        <f>Instructions!H1</f>
        <v>Form Orignated 5/16/2022</v>
      </c>
    </row>
    <row r="4" spans="1:2" ht="15.75">
      <c r="A4" s="1645" t="str">
        <f>IF('INTERIM-CERTIFICATION'!$M$1="","Enter Charter Name on INTERIM - CERTIFICATION Worksheet",'INTERIM-CERTIFICATION'!$M$1)</f>
        <v>Elite Academic Academy - Virtual Prep Lucerne</v>
      </c>
      <c r="B4" s="1645"/>
    </row>
    <row r="5" spans="1:2" ht="15.75">
      <c r="A5" s="1646" t="str">
        <f>IF('INTERIM-CERTIFICATION'!$M$2="","Enter CDS# on INTERIM - CERTIFICATION Worksheet",'INTERIM-CERTIFICATION'!$M$2)</f>
        <v>36-75051-0138107</v>
      </c>
      <c r="B5" s="1646"/>
    </row>
    <row r="6" spans="1:2">
      <c r="A6" s="134"/>
    </row>
    <row r="7" spans="1:2">
      <c r="A7" s="215" t="s">
        <v>268</v>
      </c>
    </row>
    <row r="8" spans="1:2">
      <c r="A8" s="135" t="s">
        <v>269</v>
      </c>
    </row>
    <row r="9" spans="1:2">
      <c r="A9" s="138"/>
    </row>
    <row r="10" spans="1:2">
      <c r="A10" s="138" t="s">
        <v>265</v>
      </c>
    </row>
    <row r="11" spans="1:2">
      <c r="A11" s="1647" t="str">
        <f>"CHARTER "&amp;'Budget-ADA'!K7&amp;" Budget/Interim Reporting Worksheet (all Budget tabs completed):"</f>
        <v>CHARTER 2022-23 Budget/Interim Reporting Worksheet (all Budget tabs completed):</v>
      </c>
      <c r="B11" s="1647"/>
    </row>
    <row r="12" spans="1:2" ht="13.5" thickBot="1">
      <c r="A12" s="200" t="s">
        <v>529</v>
      </c>
      <c r="B12" s="136" t="s">
        <v>270</v>
      </c>
    </row>
    <row r="13" spans="1:2" ht="13.5" thickBot="1">
      <c r="A13" s="201" t="s">
        <v>529</v>
      </c>
      <c r="B13" s="136" t="s">
        <v>271</v>
      </c>
    </row>
    <row r="14" spans="1:2" ht="13.5" thickBot="1">
      <c r="A14" s="201" t="s">
        <v>529</v>
      </c>
      <c r="B14" s="136" t="s">
        <v>272</v>
      </c>
    </row>
    <row r="15" spans="1:2" ht="13.5" thickBot="1">
      <c r="A15" s="201" t="s">
        <v>529</v>
      </c>
      <c r="B15" s="136" t="s">
        <v>273</v>
      </c>
    </row>
    <row r="16" spans="1:2" ht="13.5" thickBot="1">
      <c r="A16" s="201" t="s">
        <v>529</v>
      </c>
      <c r="B16" s="136" t="s">
        <v>274</v>
      </c>
    </row>
    <row r="17" spans="1:2" ht="13.5" thickBot="1">
      <c r="A17" s="201" t="s">
        <v>529</v>
      </c>
      <c r="B17" s="136" t="s">
        <v>275</v>
      </c>
    </row>
    <row r="18" spans="1:2" ht="13.5" thickBot="1">
      <c r="A18" s="201" t="s">
        <v>529</v>
      </c>
      <c r="B18" s="136" t="s">
        <v>276</v>
      </c>
    </row>
    <row r="19" spans="1:2" ht="13.5" thickBot="1">
      <c r="A19" s="201" t="s">
        <v>529</v>
      </c>
      <c r="B19" s="136" t="s">
        <v>277</v>
      </c>
    </row>
    <row r="20" spans="1:2" ht="13.5" thickBot="1">
      <c r="A20" s="201" t="s">
        <v>529</v>
      </c>
      <c r="B20" s="136" t="s">
        <v>278</v>
      </c>
    </row>
    <row r="21" spans="1:2">
      <c r="A21" s="204"/>
      <c r="B21" s="136"/>
    </row>
    <row r="22" spans="1:2" ht="13.5" thickBot="1">
      <c r="A22" s="200" t="s">
        <v>529</v>
      </c>
      <c r="B22" s="136" t="s">
        <v>267</v>
      </c>
    </row>
    <row r="23" spans="1:2">
      <c r="A23" s="204"/>
    </row>
    <row r="24" spans="1:2">
      <c r="A24" t="s">
        <v>280</v>
      </c>
    </row>
    <row r="25" spans="1:2" ht="13.5" thickBot="1">
      <c r="A25" s="200" t="s">
        <v>529</v>
      </c>
      <c r="B25" t="s">
        <v>279</v>
      </c>
    </row>
    <row r="26" spans="1:2">
      <c r="A26" s="204"/>
    </row>
    <row r="27" spans="1:2">
      <c r="A27" s="136"/>
      <c r="B27" s="552"/>
    </row>
    <row r="28" spans="1:2">
      <c r="A28" s="552" t="s">
        <v>266</v>
      </c>
    </row>
    <row r="29" spans="1:2">
      <c r="A29" s="1644" t="s">
        <v>370</v>
      </c>
      <c r="B29" s="1644"/>
    </row>
  </sheetData>
  <sheetProtection password="D94D" sheet="1"/>
  <mergeCells count="4">
    <mergeCell ref="A4:B4"/>
    <mergeCell ref="A5:B5"/>
    <mergeCell ref="A11:B11"/>
    <mergeCell ref="A29:B29"/>
  </mergeCells>
  <phoneticPr fontId="5" type="noConversion"/>
  <conditionalFormatting sqref="A4">
    <cfRule type="containsText" dxfId="318" priority="3" stopIfTrue="1" operator="containsText" text="Enter">
      <formula>NOT(ISERROR(SEARCH("Enter",A4)))</formula>
    </cfRule>
    <cfRule type="cellIs" dxfId="317" priority="4" stopIfTrue="1" operator="equal">
      <formula>"Enter Charter CDS # on BUDGET - CERT Worksheet"</formula>
    </cfRule>
  </conditionalFormatting>
  <conditionalFormatting sqref="A5">
    <cfRule type="containsText" dxfId="316" priority="1" stopIfTrue="1" operator="containsText" text="Enter">
      <formula>NOT(ISERROR(SEARCH("Enter",A5)))</formula>
    </cfRule>
    <cfRule type="cellIs" dxfId="315" priority="2" stopIfTrue="1" operator="equal">
      <formula>"Enter Charter CDS # on BUDGET - CERT Worksheet"</formula>
    </cfRule>
  </conditionalFormatting>
  <hyperlinks>
    <hyperlink ref="A29" r:id="rId1" display="http://fcmat.org/local-control-funding-formula-resources/" xr:uid="{00000000-0004-0000-0C00-000000000000}"/>
    <hyperlink ref="A29:B29" r:id="rId2" display="https://www.fcmat.org/lcff" xr:uid="{00000000-0004-0000-0C00-000001000000}"/>
  </hyperlinks>
  <printOptions horizontalCentered="1"/>
  <pageMargins left="0.75" right="0.75" top="1" bottom="1" header="0.5" footer="0.5"/>
  <pageSetup scale="97" orientation="portrait" horizontalDpi="1200" verticalDpi="1200" r:id="rId3"/>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S65"/>
  <sheetViews>
    <sheetView showGridLines="0" tabSelected="1" topLeftCell="A31" zoomScaleNormal="100" workbookViewId="0">
      <selection activeCell="L59" sqref="L59"/>
    </sheetView>
  </sheetViews>
  <sheetFormatPr defaultRowHeight="12.75"/>
  <cols>
    <col min="13" max="13" width="16.28515625" bestFit="1" customWidth="1"/>
  </cols>
  <sheetData>
    <row r="1" spans="1:19" ht="16.5">
      <c r="A1" s="112" t="s">
        <v>60</v>
      </c>
      <c r="B1" s="109"/>
      <c r="C1" s="109"/>
      <c r="D1" s="109"/>
      <c r="E1" s="110"/>
      <c r="F1" s="110"/>
      <c r="G1" s="110"/>
      <c r="H1" s="110"/>
      <c r="I1" s="110"/>
      <c r="J1" s="115"/>
      <c r="K1" s="115"/>
      <c r="L1" s="116" t="s">
        <v>12</v>
      </c>
      <c r="M1" s="1829" t="str">
        <f>'BUDGET-CERTIFICATION'!$H$1</f>
        <v>Elite Academic Academy - Virtual Prep Lucerne</v>
      </c>
      <c r="N1" s="1829"/>
      <c r="O1" s="1829"/>
      <c r="P1" s="1829"/>
      <c r="Q1" s="1829"/>
      <c r="R1" s="1829"/>
      <c r="S1" s="1829"/>
    </row>
    <row r="2" spans="1:19" ht="16.5">
      <c r="A2" s="1827" t="s">
        <v>158</v>
      </c>
      <c r="B2" s="1828"/>
      <c r="C2" s="1828"/>
      <c r="D2" s="1828"/>
      <c r="E2" s="111"/>
      <c r="F2" s="111"/>
      <c r="G2" s="111"/>
      <c r="H2" s="111"/>
      <c r="I2" s="111"/>
      <c r="J2" s="115"/>
      <c r="K2" s="115"/>
      <c r="L2" s="116" t="s">
        <v>13</v>
      </c>
      <c r="M2" s="1830" t="str">
        <f t="array" ref="M2:R2">'BUDGET-CERTIFICATION'!$H$2:$M$2</f>
        <v>36-75051-0138107</v>
      </c>
      <c r="N2" s="1830">
        <v>0</v>
      </c>
      <c r="O2" s="1830">
        <v>0</v>
      </c>
      <c r="P2" s="1830">
        <v>0</v>
      </c>
      <c r="Q2" s="1830">
        <v>0</v>
      </c>
      <c r="R2" s="1830">
        <v>0</v>
      </c>
      <c r="S2" s="1257"/>
    </row>
    <row r="3" spans="1:19" ht="16.5">
      <c r="A3" s="1827" t="s">
        <v>165</v>
      </c>
      <c r="B3" s="1828"/>
      <c r="C3" s="1828"/>
      <c r="D3" s="1828"/>
      <c r="E3" s="110"/>
      <c r="F3" s="110"/>
      <c r="G3" s="110"/>
      <c r="H3" s="110"/>
      <c r="I3" s="110"/>
      <c r="J3" s="115"/>
      <c r="K3" s="115"/>
      <c r="L3" s="116" t="s">
        <v>484</v>
      </c>
      <c r="M3" s="1830" t="str">
        <f>'BUDGET-CERTIFICATION'!$H$3</f>
        <v>Lucerne Valley Unified School District</v>
      </c>
      <c r="N3" s="1830"/>
      <c r="O3" s="1830"/>
      <c r="P3" s="1830"/>
      <c r="Q3" s="1830"/>
      <c r="R3" s="1830"/>
      <c r="S3" s="1257"/>
    </row>
    <row r="4" spans="1:19" ht="16.5">
      <c r="A4" s="112"/>
      <c r="B4" s="109"/>
      <c r="C4" s="109"/>
      <c r="D4" s="109"/>
      <c r="E4" s="110"/>
      <c r="F4" s="110"/>
      <c r="G4" s="110"/>
      <c r="H4" s="110"/>
      <c r="I4" s="110"/>
      <c r="J4" s="115"/>
      <c r="K4" s="115"/>
      <c r="L4" s="116" t="s">
        <v>14</v>
      </c>
      <c r="M4" s="1830" t="str">
        <f>'BUDGET-CERTIFICATION'!$H$4</f>
        <v>San Bernardino</v>
      </c>
      <c r="N4" s="1830"/>
      <c r="O4" s="1830"/>
      <c r="P4" s="1830"/>
      <c r="Q4" s="1830"/>
      <c r="R4" s="1830"/>
      <c r="S4" s="1257"/>
    </row>
    <row r="5" spans="1:19" ht="16.5">
      <c r="A5" s="112" t="s">
        <v>43</v>
      </c>
      <c r="B5" s="100"/>
      <c r="C5" s="100"/>
      <c r="D5" s="112"/>
      <c r="E5" s="113"/>
      <c r="F5" s="113"/>
      <c r="G5" s="113"/>
      <c r="H5" s="113"/>
      <c r="I5" s="113"/>
      <c r="J5" s="115"/>
      <c r="K5" s="115"/>
      <c r="L5" s="116" t="s">
        <v>15</v>
      </c>
      <c r="M5" s="1830" t="str">
        <f>'BUDGET-CERTIFICATION'!$H$5</f>
        <v>1975</v>
      </c>
      <c r="N5" s="1830"/>
      <c r="O5" s="1830"/>
      <c r="P5" s="1830"/>
      <c r="Q5" s="1830"/>
      <c r="R5" s="1830"/>
      <c r="S5" s="1257"/>
    </row>
    <row r="6" spans="1:19" ht="15" thickBot="1">
      <c r="A6" s="117"/>
      <c r="B6" s="117"/>
      <c r="C6" s="117"/>
      <c r="D6" s="118"/>
      <c r="E6" s="118"/>
      <c r="F6" s="118"/>
      <c r="G6" s="118"/>
      <c r="H6" s="118"/>
      <c r="I6" s="118"/>
      <c r="J6" s="118"/>
      <c r="K6" s="118"/>
      <c r="L6" s="118"/>
      <c r="M6" s="118"/>
      <c r="N6" s="118"/>
      <c r="O6" s="118"/>
      <c r="P6" s="118"/>
      <c r="Q6" s="100"/>
      <c r="R6" s="100"/>
      <c r="S6" s="1587" t="str">
        <f>Instructions!H1</f>
        <v>Form Orignated 5/16/2022</v>
      </c>
    </row>
    <row r="7" spans="1:19" ht="15" thickTop="1">
      <c r="A7" s="100"/>
      <c r="B7" s="100"/>
      <c r="C7" s="100"/>
      <c r="D7" s="9"/>
      <c r="E7" s="9"/>
      <c r="F7" s="9"/>
      <c r="G7" s="9"/>
      <c r="H7" s="9"/>
      <c r="I7" s="9"/>
      <c r="J7" s="9"/>
      <c r="K7" s="9"/>
      <c r="L7" s="9"/>
      <c r="M7" s="9"/>
      <c r="N7" s="9"/>
      <c r="O7" s="9"/>
      <c r="P7" s="9"/>
      <c r="Q7" s="222"/>
      <c r="R7" s="222"/>
      <c r="S7" s="1256"/>
    </row>
    <row r="8" spans="1:19" ht="14.25">
      <c r="A8" s="100"/>
      <c r="B8" s="100"/>
      <c r="C8" s="100"/>
      <c r="D8" s="9"/>
      <c r="E8" s="9" t="s">
        <v>353</v>
      </c>
      <c r="F8" s="131"/>
      <c r="G8" s="131"/>
      <c r="H8" s="131"/>
      <c r="I8" s="131"/>
      <c r="J8" s="131"/>
      <c r="K8" s="9"/>
      <c r="L8" s="131"/>
      <c r="M8" s="131"/>
      <c r="N8" s="131"/>
      <c r="O8" s="131"/>
      <c r="P8" s="131"/>
      <c r="Q8" s="1255"/>
      <c r="R8" s="1255"/>
      <c r="S8" s="1255"/>
    </row>
    <row r="9" spans="1:19" ht="14.25" customHeight="1">
      <c r="A9" s="223"/>
      <c r="B9" s="129"/>
      <c r="C9" s="100"/>
      <c r="D9" s="9"/>
      <c r="E9" s="1654" t="str">
        <f>""&amp;'Budget-ADA'!K7&amp;" CHARTER SCHOOL INTERIM REPORT -- ALTERNATIVE FORM:  This report has been approved, and is hereby filed by the charter school pursuant to Education Code Section 47604.33."</f>
        <v>2022-23 CHARTER SCHOOL INTERIM REPORT -- ALTERNATIVE FORM:  This report has been approved, and is hereby filed by the charter school pursuant to Education Code Section 47604.33.</v>
      </c>
      <c r="F9" s="1654"/>
      <c r="G9" s="1654"/>
      <c r="H9" s="1654"/>
      <c r="I9" s="1654"/>
      <c r="J9" s="1654"/>
      <c r="K9" s="1654"/>
      <c r="L9" s="1654"/>
      <c r="M9" s="1654"/>
      <c r="N9" s="1654"/>
      <c r="O9" s="1654"/>
      <c r="P9" s="1654"/>
      <c r="Q9" s="100"/>
      <c r="R9" s="100"/>
      <c r="S9" s="100" t="s">
        <v>157</v>
      </c>
    </row>
    <row r="10" spans="1:19" ht="14.25">
      <c r="A10" s="100"/>
      <c r="B10" s="100"/>
      <c r="C10" s="100"/>
      <c r="D10" s="9"/>
      <c r="E10" s="1654"/>
      <c r="F10" s="1654"/>
      <c r="G10" s="1654"/>
      <c r="H10" s="1654"/>
      <c r="I10" s="1654"/>
      <c r="J10" s="1654"/>
      <c r="K10" s="1654"/>
      <c r="L10" s="1654"/>
      <c r="M10" s="1654"/>
      <c r="N10" s="1654"/>
      <c r="O10" s="1654"/>
      <c r="P10" s="1654"/>
      <c r="Q10" s="100"/>
      <c r="R10" s="100"/>
      <c r="S10" s="100"/>
    </row>
    <row r="11" spans="1:19" ht="27.75" customHeight="1">
      <c r="A11" s="100"/>
      <c r="B11" s="100"/>
      <c r="C11" s="100"/>
      <c r="D11" s="9"/>
      <c r="E11" s="9" t="s">
        <v>45</v>
      </c>
      <c r="F11" s="1650"/>
      <c r="G11" s="1656"/>
      <c r="H11" s="1656"/>
      <c r="I11" s="1656"/>
      <c r="J11" s="1656"/>
      <c r="K11" s="9"/>
      <c r="L11" s="9" t="s">
        <v>46</v>
      </c>
      <c r="M11" s="1650"/>
      <c r="N11" s="1650"/>
      <c r="O11" s="1650"/>
      <c r="P11" s="9"/>
      <c r="Q11" s="100"/>
      <c r="R11" s="100"/>
      <c r="S11" s="100"/>
    </row>
    <row r="12" spans="1:19" ht="14.25">
      <c r="A12" s="100"/>
      <c r="B12" s="100"/>
      <c r="C12" s="100"/>
      <c r="D12" s="100"/>
      <c r="E12" s="100"/>
      <c r="F12" s="121" t="s">
        <v>47</v>
      </c>
      <c r="G12" s="122"/>
      <c r="H12" s="122"/>
      <c r="I12" s="122"/>
      <c r="J12" s="122"/>
      <c r="K12" s="100"/>
      <c r="L12" s="100"/>
      <c r="M12" s="100"/>
      <c r="N12" s="100"/>
      <c r="O12" s="100"/>
      <c r="P12" s="100"/>
      <c r="Q12" s="100"/>
      <c r="R12" s="100"/>
      <c r="S12" s="100"/>
    </row>
    <row r="13" spans="1:19" ht="14.25">
      <c r="A13" s="100"/>
      <c r="B13" s="100"/>
      <c r="C13" s="100"/>
      <c r="D13" s="100"/>
      <c r="E13" s="100"/>
      <c r="F13" s="121" t="s">
        <v>48</v>
      </c>
      <c r="G13" s="122"/>
      <c r="H13" s="122"/>
      <c r="I13" s="122"/>
      <c r="J13" s="122"/>
      <c r="K13" s="100"/>
      <c r="L13" s="100"/>
      <c r="M13" s="100"/>
      <c r="N13" s="100"/>
      <c r="O13" s="100"/>
      <c r="P13" s="100"/>
      <c r="Q13" s="100"/>
      <c r="R13" s="100"/>
      <c r="S13" s="100"/>
    </row>
    <row r="14" spans="1:19" ht="28.5">
      <c r="A14" s="100"/>
      <c r="B14" s="100"/>
      <c r="C14" s="100"/>
      <c r="D14" s="9"/>
      <c r="E14" s="123" t="s">
        <v>49</v>
      </c>
      <c r="F14" s="1648" t="s">
        <v>537</v>
      </c>
      <c r="G14" s="1657"/>
      <c r="H14" s="1657"/>
      <c r="I14" s="1657"/>
      <c r="J14" s="1657"/>
      <c r="K14" s="9"/>
      <c r="L14" s="9" t="s">
        <v>50</v>
      </c>
      <c r="M14" s="1648" t="s">
        <v>538</v>
      </c>
      <c r="N14" s="1648"/>
      <c r="O14" s="1648"/>
      <c r="P14" s="9"/>
      <c r="Q14" s="100"/>
      <c r="R14" s="100"/>
      <c r="S14" s="100"/>
    </row>
    <row r="15" spans="1:19" ht="14.25">
      <c r="A15" s="100"/>
      <c r="B15" s="100"/>
      <c r="C15" s="100"/>
      <c r="D15" s="9"/>
      <c r="E15" s="123"/>
      <c r="F15" s="139"/>
      <c r="G15" s="140"/>
      <c r="H15" s="140"/>
      <c r="I15" s="140"/>
      <c r="J15" s="140"/>
      <c r="K15" s="9"/>
      <c r="L15" s="9"/>
      <c r="M15" s="139"/>
      <c r="N15" s="139"/>
      <c r="O15" s="139"/>
      <c r="P15" s="9"/>
      <c r="Q15" s="100"/>
      <c r="R15" s="100"/>
      <c r="S15" s="100"/>
    </row>
    <row r="16" spans="1:19" ht="14.25">
      <c r="A16" s="100" t="s">
        <v>64</v>
      </c>
      <c r="B16" s="100"/>
      <c r="C16" s="100"/>
      <c r="D16" s="9"/>
      <c r="E16" s="123"/>
      <c r="F16" s="139"/>
      <c r="G16" s="140"/>
      <c r="H16" s="140"/>
      <c r="I16" s="140"/>
      <c r="J16" s="140"/>
      <c r="K16" s="9"/>
      <c r="L16" s="9"/>
      <c r="M16" s="139"/>
      <c r="N16" s="139"/>
      <c r="O16" s="139"/>
      <c r="P16" s="9"/>
      <c r="Q16" s="100"/>
      <c r="R16" s="100"/>
      <c r="S16" s="100"/>
    </row>
    <row r="17" spans="1:19" ht="14.25">
      <c r="A17" s="100"/>
      <c r="B17" s="100"/>
      <c r="C17" s="100"/>
      <c r="D17" s="9"/>
      <c r="E17" s="123"/>
      <c r="F17" s="139"/>
      <c r="G17" s="140"/>
      <c r="H17" s="140"/>
      <c r="I17" s="140"/>
      <c r="J17" s="140"/>
      <c r="K17" s="9"/>
      <c r="L17" s="9"/>
      <c r="M17" s="139"/>
      <c r="N17" s="139"/>
      <c r="O17" s="139"/>
      <c r="P17" s="9"/>
      <c r="Q17" s="100"/>
      <c r="R17" s="100"/>
      <c r="S17" s="100"/>
    </row>
    <row r="18" spans="1:19" ht="14.25">
      <c r="A18" s="223" t="s">
        <v>44</v>
      </c>
      <c r="B18" s="224" t="s">
        <v>529</v>
      </c>
      <c r="C18" s="100" t="s">
        <v>67</v>
      </c>
      <c r="D18" s="9"/>
      <c r="E18" s="123"/>
      <c r="F18" s="139"/>
      <c r="G18" s="223" t="s">
        <v>44</v>
      </c>
      <c r="H18" s="224"/>
      <c r="I18" s="100" t="s">
        <v>66</v>
      </c>
      <c r="J18" s="100"/>
      <c r="K18" s="9"/>
      <c r="L18" s="223"/>
      <c r="M18" s="223" t="s">
        <v>44</v>
      </c>
      <c r="N18" s="224"/>
      <c r="O18" s="100" t="s">
        <v>65</v>
      </c>
      <c r="P18" s="9"/>
      <c r="Q18" s="100"/>
      <c r="R18" s="100"/>
      <c r="S18" s="100"/>
    </row>
    <row r="19" spans="1:19" ht="14.25">
      <c r="A19" s="223"/>
      <c r="B19" s="129"/>
      <c r="C19" s="100" t="s">
        <v>68</v>
      </c>
      <c r="D19" s="9"/>
      <c r="E19" s="123"/>
      <c r="F19" s="139"/>
      <c r="G19" s="223"/>
      <c r="H19" s="129"/>
      <c r="I19" s="100" t="s">
        <v>68</v>
      </c>
      <c r="J19" s="100"/>
      <c r="K19" s="9"/>
      <c r="L19" s="223"/>
      <c r="M19" s="129"/>
      <c r="N19" s="100"/>
      <c r="O19" s="100" t="s">
        <v>68</v>
      </c>
      <c r="P19" s="9"/>
      <c r="Q19" s="100"/>
      <c r="R19" s="100"/>
      <c r="S19" s="100"/>
    </row>
    <row r="20" spans="1:19" ht="14.25">
      <c r="A20" s="223"/>
      <c r="B20" s="129"/>
      <c r="C20" s="100" t="s">
        <v>69</v>
      </c>
      <c r="D20" s="9"/>
      <c r="E20" s="123"/>
      <c r="F20" s="139"/>
      <c r="G20" s="223"/>
      <c r="H20" s="129"/>
      <c r="I20" s="100" t="s">
        <v>71</v>
      </c>
      <c r="J20" s="100"/>
      <c r="K20" s="9"/>
      <c r="L20" s="223"/>
      <c r="M20" s="129"/>
      <c r="N20" s="100"/>
      <c r="O20" s="100" t="s">
        <v>74</v>
      </c>
      <c r="P20" s="9"/>
      <c r="Q20" s="100"/>
      <c r="R20" s="100"/>
      <c r="S20" s="100"/>
    </row>
    <row r="21" spans="1:19" ht="14.25">
      <c r="A21" s="223"/>
      <c r="B21" s="129"/>
      <c r="C21" s="100" t="s">
        <v>73</v>
      </c>
      <c r="D21" s="9"/>
      <c r="E21" s="123"/>
      <c r="F21" s="139"/>
      <c r="G21" s="223"/>
      <c r="H21" s="129"/>
      <c r="I21" s="100" t="s">
        <v>72</v>
      </c>
      <c r="J21" s="100"/>
      <c r="K21" s="9"/>
      <c r="L21" s="223"/>
      <c r="M21" s="129"/>
      <c r="N21" s="100"/>
      <c r="O21" s="100" t="s">
        <v>75</v>
      </c>
      <c r="P21" s="9"/>
      <c r="Q21" s="100"/>
      <c r="R21" s="100"/>
      <c r="S21" s="100"/>
    </row>
    <row r="22" spans="1:19" ht="14.25">
      <c r="A22" s="223"/>
      <c r="B22" s="129"/>
      <c r="C22" s="100" t="s">
        <v>70</v>
      </c>
      <c r="D22" s="9"/>
      <c r="E22" s="123"/>
      <c r="F22" s="139"/>
      <c r="G22" s="223"/>
      <c r="H22" s="129"/>
      <c r="I22" s="100" t="s">
        <v>70</v>
      </c>
      <c r="J22" s="100"/>
      <c r="K22" s="9"/>
      <c r="L22" s="223"/>
      <c r="M22" s="129"/>
      <c r="N22" s="100"/>
      <c r="O22" s="100" t="s">
        <v>77</v>
      </c>
      <c r="P22" s="9"/>
      <c r="Q22" s="100"/>
      <c r="R22" s="100"/>
      <c r="S22" s="100"/>
    </row>
    <row r="23" spans="1:19" ht="14.25">
      <c r="A23" s="223"/>
      <c r="B23" s="129"/>
      <c r="C23" s="100"/>
      <c r="D23" s="9"/>
      <c r="E23" s="123"/>
      <c r="F23" s="139"/>
      <c r="G23" s="223"/>
      <c r="H23" s="129"/>
      <c r="I23" s="100"/>
      <c r="J23" s="100"/>
      <c r="K23" s="9"/>
      <c r="L23" s="223"/>
      <c r="M23" s="129"/>
      <c r="N23" s="100"/>
      <c r="O23" s="100" t="s">
        <v>76</v>
      </c>
      <c r="P23" s="9"/>
      <c r="Q23" s="100"/>
      <c r="R23" s="100"/>
      <c r="S23" s="100"/>
    </row>
    <row r="24" spans="1:19" s="1254" customFormat="1" ht="14.25">
      <c r="A24" s="1252"/>
      <c r="B24" s="1252"/>
      <c r="C24" s="1252"/>
      <c r="D24" s="1252"/>
      <c r="E24" s="1252"/>
      <c r="F24" s="1252"/>
      <c r="G24" s="1252"/>
      <c r="H24" s="1252"/>
      <c r="I24" s="1252"/>
      <c r="J24" s="1252"/>
      <c r="K24" s="1252"/>
      <c r="L24" s="1252"/>
      <c r="M24" s="1252"/>
      <c r="N24" s="1252"/>
      <c r="O24" s="1253"/>
      <c r="P24" s="1252"/>
      <c r="Q24" s="1252"/>
      <c r="R24" s="1252"/>
      <c r="S24" s="1252"/>
    </row>
    <row r="25" spans="1:19" ht="14.25">
      <c r="A25" s="9"/>
      <c r="B25" s="9"/>
      <c r="C25" s="9"/>
      <c r="D25" s="9"/>
      <c r="E25" s="9"/>
      <c r="F25" s="9"/>
      <c r="G25" s="9"/>
      <c r="H25" s="9"/>
      <c r="I25" s="9"/>
      <c r="J25" s="9"/>
      <c r="K25" s="9"/>
      <c r="L25" s="9"/>
      <c r="M25" s="9"/>
      <c r="N25" s="9"/>
      <c r="O25" s="100"/>
      <c r="P25" s="9"/>
      <c r="Q25" s="9"/>
      <c r="R25" s="9"/>
      <c r="S25" s="9"/>
    </row>
    <row r="26" spans="1:19" ht="14.25">
      <c r="A26" s="100"/>
      <c r="B26" s="100"/>
      <c r="C26" s="100"/>
      <c r="D26" s="9"/>
      <c r="E26" s="9" t="s">
        <v>51</v>
      </c>
      <c r="F26" s="9"/>
      <c r="G26" s="9"/>
      <c r="H26" s="9"/>
      <c r="I26" s="9"/>
      <c r="J26" s="9"/>
      <c r="K26" s="9"/>
      <c r="L26" s="9"/>
      <c r="M26" s="9"/>
      <c r="N26" s="9"/>
      <c r="O26" s="9"/>
      <c r="P26" s="131"/>
      <c r="Q26" s="131"/>
      <c r="R26" s="131"/>
      <c r="S26" s="131"/>
    </row>
    <row r="27" spans="1:19" ht="14.25" customHeight="1">
      <c r="A27" s="223"/>
      <c r="B27" s="129"/>
      <c r="C27" s="100"/>
      <c r="D27" s="9"/>
      <c r="E27" s="1654" t="str">
        <f>""&amp;'Budget-ADA'!K7&amp;" CHARTER SCHOOL INTERIM REPORT -- ALTERNATIVE FORM:  This report has been reviewed pursuant to Education Code 47604.32(a) is hereby filed with the County Superintendent pursuant to Education Code Section 47604.33."</f>
        <v>2022-23 CHARTER SCHOOL INTERIM REPORT -- ALTERNATIVE FORM:  This report has been reviewed pursuant to Education Code 47604.32(a) is hereby filed with the County Superintendent pursuant to Education Code Section 47604.33.</v>
      </c>
      <c r="F27" s="1654"/>
      <c r="G27" s="1654"/>
      <c r="H27" s="1654"/>
      <c r="I27" s="1654"/>
      <c r="J27" s="1654"/>
      <c r="K27" s="1654"/>
      <c r="L27" s="1654"/>
      <c r="M27" s="1654"/>
      <c r="N27" s="1654"/>
      <c r="O27" s="1654"/>
      <c r="P27" s="1654"/>
      <c r="Q27" s="100"/>
      <c r="R27" s="100"/>
      <c r="S27" s="100"/>
    </row>
    <row r="28" spans="1:19" ht="13.5" customHeight="1">
      <c r="A28" s="100"/>
      <c r="B28" s="100"/>
      <c r="C28" s="100"/>
      <c r="D28" s="9"/>
      <c r="E28" s="1654"/>
      <c r="F28" s="1654"/>
      <c r="G28" s="1654"/>
      <c r="H28" s="1654"/>
      <c r="I28" s="1654"/>
      <c r="J28" s="1654"/>
      <c r="K28" s="1654"/>
      <c r="L28" s="1654"/>
      <c r="M28" s="1654"/>
      <c r="N28" s="1654"/>
      <c r="O28" s="1654"/>
      <c r="P28" s="1654"/>
      <c r="Q28" s="100"/>
      <c r="R28" s="100"/>
      <c r="S28" s="100"/>
    </row>
    <row r="29" spans="1:19" ht="27.75" customHeight="1">
      <c r="A29" s="100"/>
      <c r="B29" s="100"/>
      <c r="C29" s="100"/>
      <c r="D29" s="9"/>
      <c r="E29" s="9" t="s">
        <v>45</v>
      </c>
      <c r="F29" s="1650"/>
      <c r="G29" s="1650"/>
      <c r="H29" s="1650"/>
      <c r="I29" s="1650"/>
      <c r="J29" s="1650"/>
      <c r="K29" s="9"/>
      <c r="L29" s="9" t="s">
        <v>46</v>
      </c>
      <c r="M29" s="1650"/>
      <c r="N29" s="1650"/>
      <c r="O29" s="1650"/>
      <c r="P29" s="9"/>
      <c r="Q29" s="100"/>
      <c r="R29" s="100"/>
      <c r="S29" s="100"/>
    </row>
    <row r="30" spans="1:19" ht="25.5" customHeight="1">
      <c r="A30" s="100"/>
      <c r="B30" s="100"/>
      <c r="C30" s="100"/>
      <c r="D30" s="100"/>
      <c r="E30" s="100"/>
      <c r="F30" s="127" t="s">
        <v>52</v>
      </c>
      <c r="G30" s="127"/>
      <c r="H30" s="127"/>
      <c r="I30" s="127"/>
      <c r="J30" s="127"/>
      <c r="K30" s="100"/>
      <c r="L30" s="100"/>
      <c r="M30" s="128"/>
      <c r="N30" s="128"/>
      <c r="O30" s="128"/>
      <c r="P30" s="100"/>
      <c r="Q30" s="100"/>
      <c r="R30" s="100"/>
      <c r="S30" s="100"/>
    </row>
    <row r="31" spans="1:19">
      <c r="A31" s="100"/>
      <c r="B31" s="100"/>
      <c r="C31" s="100"/>
      <c r="D31" s="100"/>
      <c r="E31" s="100"/>
      <c r="F31" s="109" t="s">
        <v>48</v>
      </c>
      <c r="G31" s="109"/>
      <c r="H31" s="109"/>
      <c r="I31" s="109"/>
      <c r="J31" s="109"/>
      <c r="K31" s="100"/>
      <c r="L31" s="100"/>
      <c r="M31" s="100"/>
      <c r="N31" s="100"/>
      <c r="O31" s="100"/>
      <c r="P31" s="100"/>
      <c r="Q31" s="100"/>
      <c r="R31" s="100"/>
      <c r="S31" s="100"/>
    </row>
    <row r="32" spans="1:19" ht="28.5">
      <c r="A32" s="100"/>
      <c r="B32" s="100"/>
      <c r="C32" s="100"/>
      <c r="D32" s="9"/>
      <c r="E32" s="123" t="s">
        <v>49</v>
      </c>
      <c r="F32" s="1648" t="s">
        <v>518</v>
      </c>
      <c r="G32" s="1648"/>
      <c r="H32" s="1648"/>
      <c r="I32" s="1648"/>
      <c r="J32" s="1648"/>
      <c r="K32" s="9"/>
      <c r="L32" s="9" t="s">
        <v>50</v>
      </c>
      <c r="M32" s="1648" t="s">
        <v>519</v>
      </c>
      <c r="N32" s="1648"/>
      <c r="O32" s="1648"/>
      <c r="P32" s="9"/>
      <c r="Q32" s="100"/>
      <c r="R32" s="100"/>
      <c r="S32" s="100"/>
    </row>
    <row r="33" spans="1:19" ht="14.25">
      <c r="A33" s="100"/>
      <c r="B33" s="100"/>
      <c r="C33" s="100"/>
      <c r="D33" s="9"/>
      <c r="E33" s="123"/>
      <c r="F33" s="139"/>
      <c r="G33" s="139"/>
      <c r="H33" s="139"/>
      <c r="I33" s="139"/>
      <c r="J33" s="139"/>
      <c r="K33" s="9"/>
      <c r="L33" s="9"/>
      <c r="M33" s="139"/>
      <c r="N33" s="139"/>
      <c r="O33" s="139"/>
      <c r="P33" s="9"/>
      <c r="Q33" s="100"/>
      <c r="R33" s="100"/>
      <c r="S33" s="100"/>
    </row>
    <row r="34" spans="1:19" ht="14.25">
      <c r="A34" s="223" t="s">
        <v>44</v>
      </c>
      <c r="B34" s="224"/>
      <c r="C34" s="100" t="s">
        <v>67</v>
      </c>
      <c r="D34" s="9"/>
      <c r="E34" s="123"/>
      <c r="F34" s="139"/>
      <c r="G34" s="223" t="s">
        <v>44</v>
      </c>
      <c r="H34" s="224"/>
      <c r="I34" s="100" t="s">
        <v>66</v>
      </c>
      <c r="J34" s="100"/>
      <c r="K34" s="9"/>
      <c r="L34" s="223"/>
      <c r="M34" s="223" t="s">
        <v>44</v>
      </c>
      <c r="N34" s="224"/>
      <c r="O34" s="100" t="s">
        <v>65</v>
      </c>
      <c r="P34" s="9"/>
      <c r="Q34" s="100"/>
      <c r="R34" s="100"/>
      <c r="S34" s="100"/>
    </row>
    <row r="35" spans="1:19" ht="14.25">
      <c r="A35" s="223"/>
      <c r="B35" s="129"/>
      <c r="C35" s="100" t="s">
        <v>68</v>
      </c>
      <c r="D35" s="9"/>
      <c r="E35" s="123"/>
      <c r="F35" s="139"/>
      <c r="G35" s="223"/>
      <c r="H35" s="129"/>
      <c r="I35" s="100" t="s">
        <v>68</v>
      </c>
      <c r="J35" s="100"/>
      <c r="K35" s="9"/>
      <c r="L35" s="223"/>
      <c r="M35" s="129"/>
      <c r="N35" s="100"/>
      <c r="O35" s="100" t="s">
        <v>68</v>
      </c>
      <c r="P35" s="9"/>
      <c r="Q35" s="100"/>
      <c r="R35" s="100"/>
      <c r="S35" s="100"/>
    </row>
    <row r="36" spans="1:19" ht="14.25">
      <c r="A36" s="223"/>
      <c r="B36" s="129"/>
      <c r="C36" s="100" t="s">
        <v>69</v>
      </c>
      <c r="D36" s="9"/>
      <c r="E36" s="123"/>
      <c r="F36" s="139"/>
      <c r="G36" s="223"/>
      <c r="H36" s="129"/>
      <c r="I36" s="100" t="s">
        <v>71</v>
      </c>
      <c r="J36" s="100"/>
      <c r="K36" s="9"/>
      <c r="L36" s="223"/>
      <c r="M36" s="129"/>
      <c r="N36" s="100"/>
      <c r="O36" s="100" t="s">
        <v>74</v>
      </c>
      <c r="P36" s="9"/>
      <c r="Q36" s="100"/>
      <c r="R36" s="100"/>
      <c r="S36" s="100"/>
    </row>
    <row r="37" spans="1:19" ht="14.25">
      <c r="A37" s="223"/>
      <c r="B37" s="129"/>
      <c r="C37" s="100" t="s">
        <v>73</v>
      </c>
      <c r="D37" s="9"/>
      <c r="E37" s="123"/>
      <c r="F37" s="139"/>
      <c r="G37" s="223"/>
      <c r="H37" s="129"/>
      <c r="I37" s="100" t="s">
        <v>72</v>
      </c>
      <c r="J37" s="100"/>
      <c r="K37" s="9"/>
      <c r="L37" s="223"/>
      <c r="M37" s="129"/>
      <c r="N37" s="100"/>
      <c r="O37" s="100" t="s">
        <v>75</v>
      </c>
      <c r="P37" s="9"/>
      <c r="Q37" s="100"/>
      <c r="R37" s="100"/>
      <c r="S37" s="100"/>
    </row>
    <row r="38" spans="1:19" ht="14.25">
      <c r="A38" s="223"/>
      <c r="B38" s="129"/>
      <c r="C38" s="100" t="s">
        <v>70</v>
      </c>
      <c r="D38" s="9"/>
      <c r="E38" s="123"/>
      <c r="F38" s="139"/>
      <c r="G38" s="223"/>
      <c r="H38" s="129"/>
      <c r="I38" s="100" t="s">
        <v>70</v>
      </c>
      <c r="J38" s="100"/>
      <c r="K38" s="9"/>
      <c r="L38" s="223"/>
      <c r="M38" s="129"/>
      <c r="N38" s="100"/>
      <c r="O38" s="100" t="s">
        <v>77</v>
      </c>
      <c r="P38" s="9"/>
      <c r="Q38" s="100"/>
      <c r="R38" s="100"/>
      <c r="S38" s="100"/>
    </row>
    <row r="39" spans="1:19" ht="14.25">
      <c r="A39" s="124"/>
      <c r="B39" s="124"/>
      <c r="C39" s="124"/>
      <c r="D39" s="124"/>
      <c r="E39" s="124"/>
      <c r="F39" s="124"/>
      <c r="G39" s="124"/>
      <c r="H39" s="124"/>
      <c r="I39" s="124"/>
      <c r="J39" s="124"/>
      <c r="K39" s="124"/>
      <c r="L39" s="124"/>
      <c r="M39" s="124"/>
      <c r="N39" s="124"/>
      <c r="O39" s="124"/>
      <c r="P39" s="124"/>
      <c r="Q39" s="124"/>
      <c r="R39" s="124"/>
      <c r="S39" s="124"/>
    </row>
    <row r="40" spans="1:19" ht="14.25">
      <c r="A40" s="100"/>
      <c r="B40" s="100"/>
      <c r="C40" s="100"/>
      <c r="D40" s="9"/>
      <c r="E40" s="125" t="s">
        <v>2</v>
      </c>
      <c r="F40" s="125"/>
      <c r="G40" s="125"/>
      <c r="H40" s="125"/>
      <c r="I40" s="125"/>
      <c r="J40" s="125"/>
      <c r="K40" s="125"/>
      <c r="L40" s="125"/>
      <c r="M40" s="125"/>
      <c r="N40" s="125"/>
      <c r="O40" s="125"/>
      <c r="P40" s="126"/>
      <c r="Q40" s="126"/>
      <c r="R40" s="126"/>
      <c r="S40" s="126"/>
    </row>
    <row r="41" spans="1:19" ht="14.25" customHeight="1">
      <c r="A41" s="223"/>
      <c r="B41" s="129"/>
      <c r="C41" s="100"/>
      <c r="D41" s="9"/>
      <c r="E41" s="1654" t="str">
        <f>""&amp;'Budget-ADA'!K7&amp;" CHARTER SCHOOL INTERIM REPORT -- ALTERNATIVE FORM:  This report has been received by the County Superintendent of Schools pursuant to Education Code Section 47604.33(1)."</f>
        <v>2022-23 CHARTER SCHOOL INTERIM REPORT -- ALTERNATIVE FORM:  This report has been received by the County Superintendent of Schools pursuant to Education Code Section 47604.33(1).</v>
      </c>
      <c r="F41" s="1654"/>
      <c r="G41" s="1654"/>
      <c r="H41" s="1654"/>
      <c r="I41" s="1654"/>
      <c r="J41" s="1654"/>
      <c r="K41" s="1654"/>
      <c r="L41" s="1654"/>
      <c r="M41" s="1654"/>
      <c r="N41" s="1654"/>
      <c r="O41" s="1654"/>
      <c r="P41" s="1654"/>
      <c r="Q41" s="100"/>
      <c r="R41" s="100"/>
      <c r="S41" s="100"/>
    </row>
    <row r="42" spans="1:19" ht="14.25">
      <c r="A42" s="100"/>
      <c r="B42" s="100"/>
      <c r="C42" s="100"/>
      <c r="D42" s="9"/>
      <c r="E42" s="1654"/>
      <c r="F42" s="1654"/>
      <c r="G42" s="1654"/>
      <c r="H42" s="1654"/>
      <c r="I42" s="1654"/>
      <c r="J42" s="1654"/>
      <c r="K42" s="1654"/>
      <c r="L42" s="1654"/>
      <c r="M42" s="1654"/>
      <c r="N42" s="1654"/>
      <c r="O42" s="1654"/>
      <c r="P42" s="1654"/>
      <c r="Q42" s="100"/>
      <c r="R42" s="100"/>
      <c r="S42" s="100"/>
    </row>
    <row r="43" spans="1:19" ht="27" customHeight="1">
      <c r="A43" s="100"/>
      <c r="B43" s="100"/>
      <c r="C43" s="100"/>
      <c r="D43" s="9"/>
      <c r="E43" s="9" t="s">
        <v>45</v>
      </c>
      <c r="F43" s="1650"/>
      <c r="G43" s="1650"/>
      <c r="H43" s="1650"/>
      <c r="I43" s="1650"/>
      <c r="J43" s="1650"/>
      <c r="K43" s="9"/>
      <c r="L43" s="9" t="s">
        <v>46</v>
      </c>
      <c r="M43" s="1650"/>
      <c r="N43" s="1650"/>
      <c r="O43" s="1650"/>
      <c r="P43" s="9"/>
      <c r="Q43" s="100"/>
      <c r="R43" s="100"/>
      <c r="S43" s="100"/>
    </row>
    <row r="44" spans="1:19" ht="14.25">
      <c r="A44" s="100"/>
      <c r="B44" s="100"/>
      <c r="C44" s="100"/>
      <c r="D44" s="9"/>
      <c r="E44" s="9"/>
      <c r="F44" s="109" t="s">
        <v>53</v>
      </c>
      <c r="G44" s="109"/>
      <c r="H44" s="109"/>
      <c r="I44" s="109"/>
      <c r="J44" s="109"/>
      <c r="K44" s="129"/>
      <c r="L44" s="9"/>
      <c r="M44" s="9"/>
      <c r="N44" s="9"/>
      <c r="O44" s="9"/>
      <c r="P44" s="9"/>
      <c r="Q44" s="100"/>
      <c r="R44" s="100"/>
      <c r="S44" s="100"/>
    </row>
    <row r="45" spans="1:19" ht="14.25">
      <c r="A45" s="100"/>
      <c r="B45" s="100"/>
      <c r="C45" s="100"/>
      <c r="D45" s="9"/>
      <c r="E45" s="9"/>
      <c r="F45" s="109" t="s">
        <v>48</v>
      </c>
      <c r="G45" s="109"/>
      <c r="H45" s="109"/>
      <c r="I45" s="109"/>
      <c r="J45" s="109"/>
      <c r="K45" s="129"/>
      <c r="L45" s="9"/>
      <c r="M45" s="9"/>
      <c r="N45" s="9"/>
      <c r="O45" s="9"/>
      <c r="P45" s="9"/>
      <c r="Q45" s="100"/>
      <c r="R45" s="100"/>
      <c r="S45" s="100"/>
    </row>
    <row r="46" spans="1:19" ht="13.5" thickBot="1">
      <c r="A46" s="117"/>
      <c r="B46" s="117"/>
      <c r="C46" s="117"/>
      <c r="D46" s="117"/>
      <c r="E46" s="117"/>
      <c r="F46" s="117"/>
      <c r="G46" s="117"/>
      <c r="H46" s="117"/>
      <c r="I46" s="117"/>
      <c r="J46" s="117"/>
      <c r="K46" s="117"/>
      <c r="L46" s="117"/>
      <c r="M46" s="117"/>
      <c r="N46" s="117"/>
      <c r="O46" s="117"/>
      <c r="P46" s="100"/>
      <c r="Q46" s="100"/>
      <c r="R46" s="100"/>
      <c r="S46" s="100"/>
    </row>
    <row r="47" spans="1:19" ht="15" thickTop="1">
      <c r="A47" s="100"/>
      <c r="B47" s="100"/>
      <c r="C47" s="100"/>
      <c r="D47" s="100"/>
      <c r="E47" s="119" t="s">
        <v>59</v>
      </c>
      <c r="F47" s="120"/>
      <c r="G47" s="120"/>
      <c r="H47" s="120"/>
      <c r="I47" s="120"/>
      <c r="J47" s="120"/>
      <c r="K47" s="120"/>
      <c r="L47" s="120"/>
      <c r="M47" s="120"/>
      <c r="N47" s="120"/>
      <c r="O47" s="120"/>
      <c r="P47" s="222"/>
      <c r="Q47" s="222"/>
      <c r="R47" s="222"/>
      <c r="S47" s="222"/>
    </row>
    <row r="48" spans="1:19">
      <c r="A48" s="100"/>
      <c r="B48" s="100"/>
      <c r="C48" s="100"/>
      <c r="D48" s="100"/>
      <c r="E48" s="100"/>
      <c r="F48" s="100"/>
      <c r="G48" s="100"/>
      <c r="H48" s="100"/>
      <c r="I48" s="100"/>
      <c r="J48" s="100"/>
      <c r="K48" s="100"/>
      <c r="L48" s="100"/>
      <c r="M48" s="100"/>
      <c r="N48" s="100"/>
      <c r="O48" s="100"/>
      <c r="P48" s="100"/>
      <c r="Q48" s="100"/>
      <c r="R48" s="100"/>
      <c r="S48" s="100"/>
    </row>
    <row r="49" spans="1:19" ht="14.25">
      <c r="A49" s="100"/>
      <c r="B49" s="100"/>
      <c r="C49" s="100"/>
      <c r="D49" s="100"/>
      <c r="E49" s="130" t="s">
        <v>371</v>
      </c>
      <c r="F49" s="131"/>
      <c r="G49" s="131"/>
      <c r="H49" s="131"/>
      <c r="I49" s="131"/>
      <c r="J49" s="131"/>
      <c r="K49" s="9"/>
      <c r="L49" s="130" t="s">
        <v>54</v>
      </c>
      <c r="M49" s="131"/>
      <c r="N49" s="131"/>
      <c r="O49" s="131"/>
      <c r="P49" s="131"/>
      <c r="Q49" s="100"/>
      <c r="R49" s="100"/>
      <c r="S49" s="100"/>
    </row>
    <row r="50" spans="1:19" ht="29.25" customHeight="1">
      <c r="A50" s="100"/>
      <c r="B50" s="100"/>
      <c r="C50" s="100"/>
      <c r="D50" s="100"/>
      <c r="E50" s="1648" t="s">
        <v>520</v>
      </c>
      <c r="F50" s="1648"/>
      <c r="G50" s="1648"/>
      <c r="H50" s="1648"/>
      <c r="I50" s="1648"/>
      <c r="J50" s="1648"/>
      <c r="K50" s="9"/>
      <c r="L50" s="1652" t="s">
        <v>537</v>
      </c>
      <c r="M50" s="1826"/>
      <c r="N50" s="1826"/>
      <c r="O50" s="1826"/>
      <c r="P50" s="1826"/>
      <c r="Q50" s="100"/>
      <c r="R50" s="100"/>
      <c r="S50" s="100"/>
    </row>
    <row r="51" spans="1:19" ht="14.25">
      <c r="A51" s="100"/>
      <c r="B51" s="100"/>
      <c r="C51" s="100"/>
      <c r="D51" s="100"/>
      <c r="E51" s="132" t="s">
        <v>55</v>
      </c>
      <c r="F51" s="132"/>
      <c r="G51" s="132"/>
      <c r="H51" s="132"/>
      <c r="I51" s="132"/>
      <c r="J51" s="133"/>
      <c r="K51" s="9"/>
      <c r="L51" s="132" t="s">
        <v>55</v>
      </c>
      <c r="M51" s="132"/>
      <c r="N51" s="132"/>
      <c r="O51" s="132"/>
      <c r="P51" s="132"/>
      <c r="Q51" s="100"/>
      <c r="R51" s="100"/>
      <c r="S51" s="100"/>
    </row>
    <row r="52" spans="1:19" ht="27.75" customHeight="1">
      <c r="A52" s="100"/>
      <c r="B52" s="100"/>
      <c r="C52" s="100"/>
      <c r="D52" s="100"/>
      <c r="E52" s="1648" t="s">
        <v>521</v>
      </c>
      <c r="F52" s="1648"/>
      <c r="G52" s="1648"/>
      <c r="H52" s="1648"/>
      <c r="I52" s="1648"/>
      <c r="J52" s="1648"/>
      <c r="K52" s="9"/>
      <c r="L52" s="1648" t="s">
        <v>539</v>
      </c>
      <c r="M52" s="1657"/>
      <c r="N52" s="1657"/>
      <c r="O52" s="1657"/>
      <c r="P52" s="1657"/>
      <c r="Q52" s="100"/>
      <c r="R52" s="100"/>
      <c r="S52" s="100"/>
    </row>
    <row r="53" spans="1:19" ht="14.25">
      <c r="A53" s="100"/>
      <c r="B53" s="100"/>
      <c r="C53" s="100"/>
      <c r="D53" s="100"/>
      <c r="E53" s="132" t="s">
        <v>56</v>
      </c>
      <c r="F53" s="132"/>
      <c r="G53" s="132"/>
      <c r="H53" s="132"/>
      <c r="I53" s="132"/>
      <c r="J53" s="132"/>
      <c r="K53" s="9"/>
      <c r="L53" s="132" t="s">
        <v>56</v>
      </c>
      <c r="M53" s="132"/>
      <c r="N53" s="132"/>
      <c r="O53" s="132"/>
      <c r="P53" s="133"/>
      <c r="Q53" s="100"/>
      <c r="R53" s="100"/>
      <c r="S53" s="100"/>
    </row>
    <row r="54" spans="1:19" ht="27" customHeight="1">
      <c r="A54" s="100"/>
      <c r="B54" s="100"/>
      <c r="C54" s="100"/>
      <c r="D54" s="100"/>
      <c r="E54" s="1648" t="s">
        <v>522</v>
      </c>
      <c r="F54" s="1648"/>
      <c r="G54" s="1648"/>
      <c r="H54" s="1648"/>
      <c r="I54" s="1648"/>
      <c r="J54" s="1648"/>
      <c r="K54" s="9"/>
      <c r="L54" s="1652" t="s">
        <v>540</v>
      </c>
      <c r="M54" s="1826"/>
      <c r="N54" s="1826"/>
      <c r="O54" s="1826"/>
      <c r="P54" s="1826"/>
      <c r="Q54" s="100"/>
      <c r="R54" s="100"/>
      <c r="S54" s="100"/>
    </row>
    <row r="55" spans="1:19" ht="14.25">
      <c r="A55" s="9"/>
      <c r="B55" s="9"/>
      <c r="C55" s="9"/>
      <c r="D55" s="9"/>
      <c r="E55" s="132" t="s">
        <v>57</v>
      </c>
      <c r="F55" s="132"/>
      <c r="G55" s="132"/>
      <c r="H55" s="132"/>
      <c r="I55" s="132"/>
      <c r="J55" s="132"/>
      <c r="K55" s="9"/>
      <c r="L55" s="132" t="s">
        <v>57</v>
      </c>
      <c r="M55" s="132"/>
      <c r="N55" s="132"/>
      <c r="O55" s="132"/>
      <c r="P55" s="132"/>
      <c r="Q55" s="9"/>
      <c r="R55" s="9"/>
      <c r="S55" s="9"/>
    </row>
    <row r="56" spans="1:19" ht="27" customHeight="1">
      <c r="A56" s="9"/>
      <c r="B56" s="9"/>
      <c r="C56" s="9"/>
      <c r="D56" s="9"/>
      <c r="E56" s="1648" t="s">
        <v>523</v>
      </c>
      <c r="F56" s="1648"/>
      <c r="G56" s="1648"/>
      <c r="H56" s="1648"/>
      <c r="I56" s="1648"/>
      <c r="J56" s="1648"/>
      <c r="K56" s="9"/>
      <c r="L56" s="1649" t="s">
        <v>541</v>
      </c>
      <c r="M56" s="1652"/>
      <c r="N56" s="1652"/>
      <c r="O56" s="1652"/>
      <c r="P56" s="1652"/>
      <c r="Q56" s="9"/>
      <c r="R56" s="9"/>
      <c r="S56" s="9"/>
    </row>
    <row r="57" spans="1:19" ht="14.25">
      <c r="A57" s="9"/>
      <c r="B57" s="9"/>
      <c r="C57" s="9"/>
      <c r="D57" s="9"/>
      <c r="E57" s="132" t="s">
        <v>58</v>
      </c>
      <c r="F57" s="132"/>
      <c r="G57" s="132"/>
      <c r="H57" s="132"/>
      <c r="I57" s="132"/>
      <c r="J57" s="133"/>
      <c r="K57" s="9"/>
      <c r="L57" s="132" t="s">
        <v>58</v>
      </c>
      <c r="M57" s="132"/>
      <c r="N57" s="132"/>
      <c r="O57" s="132"/>
      <c r="P57" s="132"/>
      <c r="Q57" s="9"/>
      <c r="R57" s="9"/>
      <c r="S57" s="9"/>
    </row>
    <row r="58" spans="1:19">
      <c r="A58" s="100"/>
      <c r="B58" s="100"/>
      <c r="C58" s="100"/>
      <c r="D58" s="100"/>
      <c r="E58" s="100"/>
      <c r="F58" s="100"/>
      <c r="G58" s="100"/>
      <c r="H58" s="100"/>
      <c r="I58" s="100"/>
      <c r="J58" s="100"/>
      <c r="K58" s="100"/>
      <c r="L58" s="100"/>
      <c r="M58" s="100"/>
      <c r="N58" s="100"/>
      <c r="O58" s="100"/>
      <c r="P58" s="100"/>
      <c r="Q58" s="100"/>
      <c r="R58" s="100"/>
      <c r="S58" s="100"/>
    </row>
    <row r="59" spans="1:19">
      <c r="A59" s="8"/>
      <c r="B59" s="8"/>
      <c r="C59" s="8"/>
      <c r="D59" s="8"/>
      <c r="E59" s="8"/>
      <c r="F59" s="8"/>
      <c r="G59" s="8"/>
      <c r="H59" s="8"/>
      <c r="I59" s="8"/>
      <c r="J59" s="8"/>
      <c r="K59" s="8"/>
      <c r="L59" s="8"/>
      <c r="M59" s="8"/>
      <c r="N59" s="8"/>
      <c r="O59" s="8"/>
      <c r="P59" s="8"/>
      <c r="Q59" s="8"/>
      <c r="R59" s="8"/>
      <c r="S59" s="8"/>
    </row>
    <row r="60" spans="1:19">
      <c r="A60" s="8"/>
      <c r="B60" s="8"/>
      <c r="C60" s="8"/>
      <c r="D60" s="8"/>
      <c r="E60" s="8"/>
      <c r="F60" s="8"/>
      <c r="G60" s="8"/>
      <c r="H60" s="8"/>
      <c r="I60" s="8"/>
      <c r="J60" s="8"/>
      <c r="K60" s="8"/>
      <c r="L60" s="8"/>
      <c r="M60" s="8"/>
      <c r="N60" s="8"/>
      <c r="O60" s="8"/>
      <c r="P60" s="8"/>
      <c r="Q60" s="8"/>
      <c r="R60" s="8"/>
      <c r="S60" s="8"/>
    </row>
    <row r="61" spans="1:19">
      <c r="A61" s="8"/>
      <c r="B61" s="8"/>
      <c r="C61" s="8"/>
      <c r="D61" s="8"/>
      <c r="E61" s="8"/>
      <c r="F61" s="8"/>
      <c r="G61" s="8"/>
      <c r="H61" s="8"/>
      <c r="I61" s="8"/>
      <c r="J61" s="8"/>
      <c r="K61" s="8"/>
      <c r="L61" s="8"/>
      <c r="M61" s="8"/>
      <c r="N61" s="8"/>
      <c r="O61" s="8"/>
      <c r="P61" s="8"/>
      <c r="Q61" s="8"/>
      <c r="R61" s="8"/>
      <c r="S61" s="8"/>
    </row>
    <row r="62" spans="1:19">
      <c r="A62" s="8"/>
      <c r="B62" s="8"/>
      <c r="C62" s="8"/>
      <c r="D62" s="8"/>
      <c r="E62" s="8"/>
      <c r="F62" s="8"/>
      <c r="G62" s="8"/>
      <c r="H62" s="8"/>
      <c r="I62" s="8"/>
      <c r="J62" s="8"/>
      <c r="K62" s="8"/>
      <c r="L62" s="8"/>
      <c r="M62" s="8"/>
      <c r="N62" s="8"/>
      <c r="O62" s="8"/>
      <c r="P62" s="8"/>
      <c r="Q62" s="8"/>
      <c r="R62" s="8"/>
      <c r="S62" s="8"/>
    </row>
    <row r="63" spans="1:19">
      <c r="A63" s="8"/>
      <c r="B63" s="8"/>
      <c r="C63" s="8"/>
      <c r="D63" s="8"/>
      <c r="E63" s="8"/>
      <c r="F63" s="8"/>
      <c r="G63" s="8"/>
      <c r="H63" s="8"/>
      <c r="I63" s="8"/>
      <c r="J63" s="8"/>
      <c r="K63" s="8"/>
      <c r="L63" s="8"/>
      <c r="M63" s="8"/>
      <c r="N63" s="8"/>
      <c r="O63" s="8"/>
      <c r="P63" s="8"/>
      <c r="Q63" s="8"/>
      <c r="R63" s="8"/>
      <c r="S63" s="8"/>
    </row>
    <row r="64" spans="1:19">
      <c r="A64" s="8"/>
      <c r="B64" s="8"/>
      <c r="C64" s="8"/>
      <c r="D64" s="8"/>
      <c r="E64" s="8"/>
      <c r="F64" s="8"/>
      <c r="G64" s="8"/>
      <c r="H64" s="8"/>
      <c r="I64" s="8"/>
      <c r="J64" s="8"/>
      <c r="K64" s="8"/>
      <c r="L64" s="8"/>
      <c r="M64" s="8"/>
      <c r="N64" s="8"/>
      <c r="O64" s="8"/>
      <c r="P64" s="8"/>
      <c r="Q64" s="8"/>
      <c r="R64" s="8"/>
      <c r="S64" s="8"/>
    </row>
    <row r="65" spans="1:19">
      <c r="A65" s="8"/>
      <c r="B65" s="8"/>
      <c r="C65" s="8"/>
      <c r="D65" s="8"/>
      <c r="E65" s="8"/>
      <c r="F65" s="8"/>
      <c r="G65" s="8"/>
      <c r="H65" s="8"/>
      <c r="I65" s="8"/>
      <c r="J65" s="8"/>
      <c r="K65" s="8"/>
      <c r="L65" s="8"/>
      <c r="M65" s="8"/>
      <c r="N65" s="8"/>
      <c r="O65" s="8"/>
      <c r="P65" s="8"/>
      <c r="Q65" s="8"/>
      <c r="R65" s="8"/>
      <c r="S65" s="8"/>
    </row>
  </sheetData>
  <sheetProtection password="D94D" sheet="1"/>
  <mergeCells count="28">
    <mergeCell ref="E56:J56"/>
    <mergeCell ref="L56:P56"/>
    <mergeCell ref="E52:J52"/>
    <mergeCell ref="L52:P52"/>
    <mergeCell ref="E54:J54"/>
    <mergeCell ref="L54:P54"/>
    <mergeCell ref="M1:S1"/>
    <mergeCell ref="E9:P10"/>
    <mergeCell ref="M2:R2"/>
    <mergeCell ref="M3:R3"/>
    <mergeCell ref="M4:R4"/>
    <mergeCell ref="M5:R5"/>
    <mergeCell ref="E50:J50"/>
    <mergeCell ref="L50:P50"/>
    <mergeCell ref="F29:J29"/>
    <mergeCell ref="A2:D2"/>
    <mergeCell ref="A3:D3"/>
    <mergeCell ref="F11:J11"/>
    <mergeCell ref="M11:O11"/>
    <mergeCell ref="F43:J43"/>
    <mergeCell ref="M43:O43"/>
    <mergeCell ref="F14:J14"/>
    <mergeCell ref="M14:O14"/>
    <mergeCell ref="E27:P28"/>
    <mergeCell ref="E41:P42"/>
    <mergeCell ref="M32:O32"/>
    <mergeCell ref="M29:O29"/>
    <mergeCell ref="F32:J32"/>
  </mergeCells>
  <phoneticPr fontId="5" type="noConversion"/>
  <printOptions horizontalCentered="1"/>
  <pageMargins left="0.25" right="0.25" top="0.25" bottom="0.25" header="0.5" footer="0.5"/>
  <pageSetup scale="61" orientation="landscape" horizontalDpi="1200"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4"/>
    <pageSetUpPr autoPageBreaks="0"/>
  </sheetPr>
  <dimension ref="A1:W91"/>
  <sheetViews>
    <sheetView showGridLines="0" zoomScale="85" zoomScaleNormal="85" workbookViewId="0">
      <pane xSplit="8" ySplit="9" topLeftCell="I60" activePane="bottomRight" state="frozen"/>
      <selection activeCell="J13" sqref="J13"/>
      <selection pane="topRight" activeCell="J13" sqref="J13"/>
      <selection pane="bottomLeft" activeCell="J13" sqref="J13"/>
      <selection pane="bottomRight" activeCell="N73" sqref="N73"/>
    </sheetView>
  </sheetViews>
  <sheetFormatPr defaultColWidth="5" defaultRowHeight="12.75"/>
  <cols>
    <col min="1" max="1" width="2.7109375" style="5" customWidth="1"/>
    <col min="2" max="2" width="9.28515625" style="7" customWidth="1"/>
    <col min="3" max="8" width="9.28515625" style="5" customWidth="1"/>
    <col min="9" max="9" width="12" style="5" customWidth="1"/>
    <col min="10" max="10" width="14.28515625" style="5" customWidth="1"/>
    <col min="11" max="11" width="14.42578125" style="5" customWidth="1"/>
    <col min="12" max="12" width="14" style="5" customWidth="1"/>
    <col min="13" max="13" width="12.5703125" style="5" customWidth="1"/>
    <col min="14" max="15" width="14" style="5" customWidth="1"/>
    <col min="16" max="16" width="12.5703125" style="5" customWidth="1"/>
    <col min="17" max="19" width="14" style="5" customWidth="1"/>
    <col min="20" max="20" width="14" style="28" customWidth="1"/>
    <col min="21" max="21" width="14" style="5" customWidth="1"/>
    <col min="22" max="22" width="12.5703125" style="5" customWidth="1"/>
    <col min="23" max="23" width="75.42578125" style="1204" customWidth="1"/>
    <col min="24" max="16384" width="5" style="5"/>
  </cols>
  <sheetData>
    <row r="1" spans="1:23" ht="15.75">
      <c r="A1" s="43" t="s">
        <v>39</v>
      </c>
      <c r="B1" s="44"/>
      <c r="C1" s="45"/>
      <c r="D1" s="45"/>
      <c r="E1" s="45"/>
      <c r="F1" s="45"/>
      <c r="G1" s="45"/>
      <c r="H1" s="450"/>
      <c r="I1" s="1684" t="str">
        <f>IF('INTERIM-CERTIFICATION'!$M$1="","CHARTER NAME: Enter Charter Name on INTERIM-CERTIFICATION Worksheet",(CONCATENATE("CHARTER NAME: ",'INTERIM-CERTIFICATION'!$M$1)))</f>
        <v>CHARTER NAME: Elite Academic Academy - Virtual Prep Lucerne</v>
      </c>
      <c r="J1" s="1684"/>
      <c r="K1" s="1684"/>
      <c r="L1" s="1684"/>
      <c r="M1" s="1684"/>
      <c r="N1" s="1684"/>
      <c r="O1" s="98"/>
      <c r="P1" s="98"/>
      <c r="Q1" s="98"/>
      <c r="R1" s="205"/>
      <c r="S1" s="205"/>
      <c r="T1" s="258"/>
      <c r="U1" s="258"/>
      <c r="V1" s="451"/>
    </row>
    <row r="2" spans="1:23" ht="16.5" thickBot="1">
      <c r="A2" s="452"/>
      <c r="B2" s="33"/>
      <c r="C2" s="34"/>
      <c r="D2" s="34"/>
      <c r="E2" s="34"/>
      <c r="F2" s="34"/>
      <c r="G2" s="34"/>
      <c r="H2" s="415"/>
      <c r="I2" s="1685" t="str">
        <f>IF('INTERIM-CERTIFICATION'!$M$5="","CHARTER #: Enter Charter # on INTERIM-CERTIFICATION Worksheet",(_xlfn.CONCAT("CHARTER #: ",'INTERIM-CERTIFICATION'!$M$5)))</f>
        <v>CHARTER #: 1975</v>
      </c>
      <c r="J2" s="1685"/>
      <c r="K2" s="1685"/>
      <c r="L2" s="1685"/>
      <c r="M2" s="1685"/>
      <c r="N2" s="1685"/>
      <c r="O2" s="206"/>
      <c r="P2" s="11"/>
      <c r="Q2" s="11"/>
      <c r="R2" s="11"/>
      <c r="S2" s="11"/>
      <c r="T2"/>
      <c r="U2"/>
      <c r="V2" s="453"/>
    </row>
    <row r="3" spans="1:23" ht="16.5" thickTop="1">
      <c r="A3" s="452"/>
      <c r="B3" s="33"/>
      <c r="C3" s="34"/>
      <c r="D3" s="34"/>
      <c r="E3" s="34"/>
      <c r="F3" s="34"/>
      <c r="G3" s="34"/>
      <c r="H3" s="35"/>
      <c r="I3" s="91"/>
      <c r="J3" s="35"/>
      <c r="K3" s="35"/>
      <c r="L3" s="35"/>
      <c r="M3" s="35"/>
      <c r="N3" s="35"/>
      <c r="O3" s="35"/>
      <c r="P3" s="35"/>
      <c r="Q3" s="35"/>
      <c r="R3" s="35"/>
      <c r="S3" s="35"/>
      <c r="T3"/>
      <c r="U3"/>
      <c r="V3" s="453"/>
    </row>
    <row r="4" spans="1:23" s="1370" customFormat="1" ht="15.75">
      <c r="A4" s="40"/>
      <c r="B4" s="36"/>
      <c r="C4"/>
      <c r="D4"/>
      <c r="E4" s="37"/>
      <c r="F4" s="37"/>
      <c r="G4" s="37"/>
      <c r="H4" s="37"/>
      <c r="I4" s="37"/>
      <c r="J4" s="94" t="str">
        <f>"Fiscal Year "&amp;'Budget-ADA'!K7&amp;" First Interim Report"</f>
        <v>Fiscal Year 2022-23 First Interim Report</v>
      </c>
      <c r="K4" s="37"/>
      <c r="L4" s="37"/>
      <c r="M4" s="37"/>
      <c r="N4" s="37"/>
      <c r="O4" s="37"/>
      <c r="P4" s="37"/>
      <c r="Q4" s="37"/>
      <c r="R4" s="37"/>
      <c r="S4" s="37"/>
      <c r="T4"/>
      <c r="U4" s="88"/>
      <c r="V4" s="454"/>
      <c r="W4" s="1205"/>
    </row>
    <row r="5" spans="1:23" s="1370" customFormat="1" ht="15.75">
      <c r="A5" s="40"/>
      <c r="B5" s="36"/>
      <c r="C5" s="36"/>
      <c r="D5"/>
      <c r="E5" s="37"/>
      <c r="F5" s="37"/>
      <c r="G5" s="37"/>
      <c r="H5" s="37"/>
      <c r="I5" s="37"/>
      <c r="J5" s="37" t="str">
        <f>"Projected ADA as of October 31, "&amp;'Budget-DEBT'!$D$13&amp;""</f>
        <v>Projected ADA as of October 31, 2022</v>
      </c>
      <c r="K5" s="37"/>
      <c r="L5" s="37"/>
      <c r="M5" s="37"/>
      <c r="N5" s="37"/>
      <c r="O5" s="37"/>
      <c r="P5" s="37"/>
      <c r="Q5" s="37"/>
      <c r="R5" s="37"/>
      <c r="S5" s="37"/>
      <c r="T5"/>
      <c r="U5" s="88"/>
      <c r="V5" s="454"/>
      <c r="W5" s="1205"/>
    </row>
    <row r="6" spans="1:23" s="1370" customFormat="1" ht="16.5" thickBot="1">
      <c r="A6" s="1835" t="str">
        <f>Instructions!H1</f>
        <v>Form Orignated 5/16/2022</v>
      </c>
      <c r="B6" s="1836"/>
      <c r="C6" s="1836"/>
      <c r="D6" s="1836"/>
      <c r="E6" s="1836"/>
      <c r="F6" s="1836"/>
      <c r="G6" s="1836"/>
      <c r="H6" s="1836"/>
      <c r="I6" s="106"/>
      <c r="J6" s="105"/>
      <c r="K6" s="236"/>
      <c r="L6" s="236"/>
      <c r="M6" s="236"/>
      <c r="N6" s="236"/>
      <c r="O6" s="236"/>
      <c r="P6" s="236"/>
      <c r="Q6" s="1"/>
      <c r="R6" s="1"/>
      <c r="S6" s="1"/>
      <c r="T6"/>
      <c r="U6"/>
      <c r="V6" s="454"/>
      <c r="W6" s="1205"/>
    </row>
    <row r="7" spans="1:23" s="1370" customFormat="1" ht="16.5" customHeight="1">
      <c r="A7" s="1676" t="str">
        <f>IF('INTERIM-CERTIFICATION'!$H$3="","Charter Authorizer: Enter Charter Authorizer on INTERIM-CERTIFICATION Worksheet",(_xlfn.CONCAT("Charter Authorizer: ",'INTERIM-CERTIFICATION'!$H$3)))</f>
        <v>Charter Authorizer: Enter Charter Authorizer on INTERIM-CERTIFICATION Worksheet</v>
      </c>
      <c r="B7" s="1677"/>
      <c r="C7" s="1677"/>
      <c r="D7" s="1677"/>
      <c r="E7" s="1677"/>
      <c r="F7" s="1677"/>
      <c r="G7" s="1678"/>
      <c r="H7" s="242"/>
      <c r="I7" s="1659" t="str">
        <f>'Budget-ADA'!I7</f>
        <v>2021-22</v>
      </c>
      <c r="J7" s="1837"/>
      <c r="K7" s="430"/>
      <c r="L7" s="431" t="str">
        <f>""&amp;'Budget-ADA'!$K$7&amp;" Adopted Budget"</f>
        <v>2022-23 Adopted Budget</v>
      </c>
      <c r="M7" s="432"/>
      <c r="N7" s="430"/>
      <c r="O7" s="431" t="str">
        <f>""&amp;'Budget-ADA'!$K$7&amp;" First Interim"</f>
        <v>2022-23 First Interim</v>
      </c>
      <c r="P7" s="432"/>
      <c r="Q7" s="430"/>
      <c r="R7" s="431" t="str">
        <f>""&amp;'Budget-ADA'!$N$7&amp;" First Interim"</f>
        <v>2023-24 First Interim</v>
      </c>
      <c r="S7" s="432"/>
      <c r="T7" s="430"/>
      <c r="U7" s="431" t="str">
        <f>""&amp;'Budget-ADA'!$Q$7&amp;" First Interim"</f>
        <v>2024-25 First Interim</v>
      </c>
      <c r="V7" s="433"/>
      <c r="W7" s="1205"/>
    </row>
    <row r="8" spans="1:23" s="1370" customFormat="1" ht="21" thickBot="1">
      <c r="A8" s="1679"/>
      <c r="B8" s="1680"/>
      <c r="C8" s="1680"/>
      <c r="D8" s="1680"/>
      <c r="E8" s="1680"/>
      <c r="F8" s="1680"/>
      <c r="G8" s="1681"/>
      <c r="H8" s="40"/>
      <c r="I8" s="427" t="s">
        <v>196</v>
      </c>
      <c r="J8" s="428" t="s">
        <v>199</v>
      </c>
      <c r="K8" s="434" t="s">
        <v>197</v>
      </c>
      <c r="L8" s="435" t="s">
        <v>199</v>
      </c>
      <c r="M8" s="1833" t="s">
        <v>231</v>
      </c>
      <c r="N8" s="434" t="s">
        <v>197</v>
      </c>
      <c r="O8" s="435" t="s">
        <v>199</v>
      </c>
      <c r="P8" s="1833" t="s">
        <v>232</v>
      </c>
      <c r="Q8" s="434" t="s">
        <v>197</v>
      </c>
      <c r="R8" s="435" t="s">
        <v>199</v>
      </c>
      <c r="S8" s="1833" t="s">
        <v>231</v>
      </c>
      <c r="T8" s="434" t="s">
        <v>197</v>
      </c>
      <c r="U8" s="435" t="s">
        <v>199</v>
      </c>
      <c r="V8" s="1831" t="s">
        <v>231</v>
      </c>
      <c r="W8" s="1205"/>
    </row>
    <row r="9" spans="1:23" ht="16.5" thickBot="1">
      <c r="A9" s="418" t="s">
        <v>2</v>
      </c>
      <c r="B9" s="419"/>
      <c r="C9" s="419"/>
      <c r="D9" s="419"/>
      <c r="E9" s="420"/>
      <c r="F9" s="421"/>
      <c r="G9" s="420"/>
      <c r="H9" s="426" t="s">
        <v>37</v>
      </c>
      <c r="I9" s="233" t="s">
        <v>170</v>
      </c>
      <c r="J9" s="90"/>
      <c r="K9" s="87" t="s">
        <v>170</v>
      </c>
      <c r="L9" s="90"/>
      <c r="M9" s="1834"/>
      <c r="N9" s="87" t="s">
        <v>170</v>
      </c>
      <c r="O9" s="90"/>
      <c r="P9" s="1834"/>
      <c r="Q9" s="87" t="s">
        <v>170</v>
      </c>
      <c r="R9" s="90"/>
      <c r="S9" s="1834"/>
      <c r="T9" s="87" t="s">
        <v>170</v>
      </c>
      <c r="U9" s="90"/>
      <c r="V9" s="1832"/>
    </row>
    <row r="10" spans="1:23" ht="21.75" thickTop="1" thickBot="1">
      <c r="A10" s="416" t="s">
        <v>200</v>
      </c>
      <c r="B10" s="417"/>
      <c r="C10" s="417"/>
      <c r="D10" s="45"/>
      <c r="E10" s="45"/>
      <c r="F10" s="45"/>
      <c r="G10" s="1002">
        <v>1</v>
      </c>
      <c r="H10" s="560"/>
      <c r="I10" s="561"/>
      <c r="J10" s="560"/>
      <c r="K10" s="560"/>
      <c r="L10" s="560"/>
      <c r="M10" s="560"/>
      <c r="N10" s="560"/>
      <c r="O10" s="560"/>
      <c r="P10" s="560"/>
      <c r="Q10" s="560"/>
      <c r="R10" s="560"/>
      <c r="S10" s="560"/>
      <c r="T10" s="560"/>
      <c r="U10" s="560"/>
      <c r="V10" s="562"/>
    </row>
    <row r="11" spans="1:23" ht="15.75">
      <c r="A11" s="42" t="s">
        <v>174</v>
      </c>
      <c r="B11" s="243"/>
      <c r="C11"/>
      <c r="D11" s="34"/>
      <c r="E11" s="34"/>
      <c r="F11" s="34"/>
      <c r="G11" s="34"/>
      <c r="H11" s="563"/>
      <c r="I11" s="440"/>
      <c r="J11" s="243"/>
      <c r="K11" s="243"/>
      <c r="L11" s="243"/>
      <c r="M11" s="243"/>
      <c r="N11" s="243"/>
      <c r="O11" s="243"/>
      <c r="P11" s="243"/>
      <c r="Q11" s="243"/>
      <c r="R11" s="243"/>
      <c r="S11" s="243"/>
      <c r="T11" s="243"/>
      <c r="U11" s="243"/>
      <c r="V11" s="439"/>
    </row>
    <row r="12" spans="1:23" ht="15.75">
      <c r="A12" s="68"/>
      <c r="B12" s="247"/>
      <c r="C12" s="248" t="s">
        <v>171</v>
      </c>
      <c r="D12" s="245"/>
      <c r="E12" s="245"/>
      <c r="F12" s="245"/>
      <c r="G12" s="245"/>
      <c r="H12" s="246" t="s">
        <v>175</v>
      </c>
      <c r="I12" s="429">
        <f>'Budget-ADA'!I12</f>
        <v>157.73795999999999</v>
      </c>
      <c r="J12" s="787"/>
      <c r="K12" s="256">
        <f>'Budget-ADA'!K12</f>
        <v>279.690050949051</v>
      </c>
      <c r="L12" s="787"/>
      <c r="M12" s="252">
        <f>'Budget-ADA'!M12</f>
        <v>0.77313089981036287</v>
      </c>
      <c r="N12" s="250">
        <v>192.6470655737705</v>
      </c>
      <c r="O12" s="787"/>
      <c r="P12" s="251">
        <f t="shared" ref="P12:P23" si="0">IF(K12&lt;1," ",IF(N12&lt;1," ",(N12-K12)/K12))</f>
        <v>-0.31121230476352002</v>
      </c>
      <c r="Q12" s="250">
        <v>287.00655644355646</v>
      </c>
      <c r="R12" s="787"/>
      <c r="S12" s="251">
        <f t="shared" ref="S12:S23" si="1">IF(N12&lt;1," ",IF(Q12&lt;1," ",(Q12-N12)/N12))</f>
        <v>0.48980497361197955</v>
      </c>
      <c r="T12" s="250">
        <v>287.00655644355646</v>
      </c>
      <c r="U12" s="787"/>
      <c r="V12" s="253">
        <f t="shared" ref="V12:V23" si="2">IF(Q12&lt;1," ",IF(T12&lt;1," ",(T12-Q12)/Q12))</f>
        <v>0</v>
      </c>
    </row>
    <row r="13" spans="1:23" ht="15.75">
      <c r="A13" s="239"/>
      <c r="B13" s="247"/>
      <c r="C13" s="141" t="s">
        <v>184</v>
      </c>
      <c r="D13" s="245"/>
      <c r="E13" s="245"/>
      <c r="F13" s="245"/>
      <c r="G13" s="245"/>
      <c r="H13" s="246" t="s">
        <v>176</v>
      </c>
      <c r="I13" s="429">
        <f>'Budget-ADA'!I13</f>
        <v>0</v>
      </c>
      <c r="J13" s="660"/>
      <c r="K13" s="256">
        <f>'Budget-ADA'!K13</f>
        <v>0</v>
      </c>
      <c r="L13" s="660"/>
      <c r="M13" s="252" t="str">
        <f>'Budget-ADA'!M13</f>
        <v xml:space="preserve"> </v>
      </c>
      <c r="N13" s="250"/>
      <c r="O13" s="660"/>
      <c r="P13" s="251" t="str">
        <f t="shared" si="0"/>
        <v xml:space="preserve"> </v>
      </c>
      <c r="Q13" s="250"/>
      <c r="R13" s="660"/>
      <c r="S13" s="251" t="str">
        <f t="shared" si="1"/>
        <v xml:space="preserve"> </v>
      </c>
      <c r="T13" s="250"/>
      <c r="U13" s="660"/>
      <c r="V13" s="253" t="str">
        <f t="shared" si="2"/>
        <v xml:space="preserve"> </v>
      </c>
    </row>
    <row r="14" spans="1:23" ht="15.75">
      <c r="A14" s="68"/>
      <c r="B14" s="247"/>
      <c r="C14" s="248" t="s">
        <v>172</v>
      </c>
      <c r="D14" s="245"/>
      <c r="E14" s="245"/>
      <c r="F14" s="245"/>
      <c r="G14" s="245"/>
      <c r="H14" s="246" t="s">
        <v>177</v>
      </c>
      <c r="I14" s="429">
        <f>'Budget-ADA'!I14</f>
        <v>0</v>
      </c>
      <c r="J14" s="660"/>
      <c r="K14" s="256">
        <f>'Budget-ADA'!K14</f>
        <v>0</v>
      </c>
      <c r="L14" s="660"/>
      <c r="M14" s="252" t="str">
        <f>'Budget-ADA'!M14</f>
        <v xml:space="preserve"> </v>
      </c>
      <c r="N14" s="250"/>
      <c r="O14" s="660"/>
      <c r="P14" s="251" t="str">
        <f t="shared" si="0"/>
        <v xml:space="preserve"> </v>
      </c>
      <c r="Q14" s="250"/>
      <c r="R14" s="660"/>
      <c r="S14" s="251" t="str">
        <f t="shared" si="1"/>
        <v xml:space="preserve"> </v>
      </c>
      <c r="T14" s="250"/>
      <c r="U14" s="660"/>
      <c r="V14" s="253" t="str">
        <f t="shared" si="2"/>
        <v xml:space="preserve"> </v>
      </c>
    </row>
    <row r="15" spans="1:23" ht="15.75">
      <c r="A15" s="68"/>
      <c r="B15" s="247"/>
      <c r="C15" s="141" t="s">
        <v>185</v>
      </c>
      <c r="D15" s="245"/>
      <c r="E15" s="245"/>
      <c r="F15" s="245"/>
      <c r="G15" s="245"/>
      <c r="H15" s="246" t="s">
        <v>178</v>
      </c>
      <c r="I15" s="429">
        <f>'Budget-ADA'!I15</f>
        <v>0</v>
      </c>
      <c r="J15" s="660"/>
      <c r="K15" s="256">
        <f>'Budget-ADA'!K15</f>
        <v>0</v>
      </c>
      <c r="L15" s="660"/>
      <c r="M15" s="252" t="str">
        <f>'Budget-ADA'!M15</f>
        <v xml:space="preserve"> </v>
      </c>
      <c r="N15" s="250"/>
      <c r="O15" s="660"/>
      <c r="P15" s="251" t="str">
        <f t="shared" si="0"/>
        <v xml:space="preserve"> </v>
      </c>
      <c r="Q15" s="250"/>
      <c r="R15" s="660"/>
      <c r="S15" s="251" t="str">
        <f t="shared" si="1"/>
        <v xml:space="preserve"> </v>
      </c>
      <c r="T15" s="250"/>
      <c r="U15" s="660"/>
      <c r="V15" s="253" t="str">
        <f t="shared" si="2"/>
        <v xml:space="preserve"> </v>
      </c>
    </row>
    <row r="16" spans="1:23" ht="15.75">
      <c r="A16" s="68"/>
      <c r="B16" s="247"/>
      <c r="C16" s="248" t="s">
        <v>173</v>
      </c>
      <c r="D16" s="245"/>
      <c r="E16" s="245"/>
      <c r="F16" s="245"/>
      <c r="G16" s="245"/>
      <c r="H16" s="246" t="s">
        <v>179</v>
      </c>
      <c r="I16" s="429">
        <f>'Budget-ADA'!I16</f>
        <v>29.822040000000015</v>
      </c>
      <c r="J16" s="660"/>
      <c r="K16" s="256">
        <f>'Budget-ADA'!K16</f>
        <v>52.878380619380607</v>
      </c>
      <c r="L16" s="660"/>
      <c r="M16" s="252">
        <f>'Budget-ADA'!M16</f>
        <v>0.77313089981036109</v>
      </c>
      <c r="N16" s="250">
        <v>30.582442622950825</v>
      </c>
      <c r="O16" s="660"/>
      <c r="P16" s="251">
        <f t="shared" si="0"/>
        <v>-0.42164562785907317</v>
      </c>
      <c r="Q16" s="250">
        <v>45.561875124875137</v>
      </c>
      <c r="R16" s="660"/>
      <c r="S16" s="251">
        <f t="shared" si="1"/>
        <v>0.48980497361197967</v>
      </c>
      <c r="T16" s="250">
        <v>45.561875124875137</v>
      </c>
      <c r="U16" s="660"/>
      <c r="V16" s="436">
        <f t="shared" si="2"/>
        <v>0</v>
      </c>
    </row>
    <row r="17" spans="1:22" ht="15.75">
      <c r="A17" s="68"/>
      <c r="B17" s="247"/>
      <c r="C17" s="141" t="s">
        <v>186</v>
      </c>
      <c r="D17" s="245"/>
      <c r="E17" s="245"/>
      <c r="F17" s="245"/>
      <c r="G17" s="245"/>
      <c r="H17" s="246" t="s">
        <v>190</v>
      </c>
      <c r="I17" s="429">
        <f>'Budget-ADA'!I17</f>
        <v>0</v>
      </c>
      <c r="J17" s="660"/>
      <c r="K17" s="256">
        <f>'Budget-ADA'!K17</f>
        <v>0</v>
      </c>
      <c r="L17" s="660"/>
      <c r="M17" s="252" t="str">
        <f>'Budget-ADA'!M17</f>
        <v xml:space="preserve"> </v>
      </c>
      <c r="N17" s="250"/>
      <c r="O17" s="660"/>
      <c r="P17" s="251" t="str">
        <f t="shared" si="0"/>
        <v xml:space="preserve"> </v>
      </c>
      <c r="Q17" s="250"/>
      <c r="R17" s="660"/>
      <c r="S17" s="251" t="str">
        <f t="shared" si="1"/>
        <v xml:space="preserve"> </v>
      </c>
      <c r="T17" s="250"/>
      <c r="U17" s="660"/>
      <c r="V17" s="436" t="str">
        <f t="shared" si="2"/>
        <v xml:space="preserve"> </v>
      </c>
    </row>
    <row r="18" spans="1:22" ht="15.75">
      <c r="A18" s="68"/>
      <c r="B18" s="247"/>
      <c r="C18" s="248" t="s">
        <v>187</v>
      </c>
      <c r="D18" s="245"/>
      <c r="E18" s="245"/>
      <c r="F18" s="245"/>
      <c r="G18" s="245"/>
      <c r="H18" s="246" t="s">
        <v>191</v>
      </c>
      <c r="I18" s="429">
        <f>'Budget-ADA'!I18</f>
        <v>0</v>
      </c>
      <c r="J18" s="660"/>
      <c r="K18" s="256">
        <f>'Budget-ADA'!K18</f>
        <v>0</v>
      </c>
      <c r="L18" s="660"/>
      <c r="M18" s="252" t="str">
        <f>'Budget-ADA'!M18</f>
        <v xml:space="preserve"> </v>
      </c>
      <c r="N18" s="250"/>
      <c r="O18" s="660"/>
      <c r="P18" s="251" t="str">
        <f t="shared" si="0"/>
        <v xml:space="preserve"> </v>
      </c>
      <c r="Q18" s="250"/>
      <c r="R18" s="660"/>
      <c r="S18" s="251" t="str">
        <f t="shared" si="1"/>
        <v xml:space="preserve"> </v>
      </c>
      <c r="T18" s="250"/>
      <c r="U18" s="660"/>
      <c r="V18" s="436" t="str">
        <f t="shared" si="2"/>
        <v xml:space="preserve"> </v>
      </c>
    </row>
    <row r="19" spans="1:22" ht="15.75">
      <c r="A19" s="68"/>
      <c r="B19" s="247"/>
      <c r="C19" s="141" t="s">
        <v>188</v>
      </c>
      <c r="D19" s="245"/>
      <c r="E19" s="245"/>
      <c r="F19" s="245"/>
      <c r="G19" s="245"/>
      <c r="H19" s="246" t="s">
        <v>192</v>
      </c>
      <c r="I19" s="429">
        <f>'Budget-ADA'!I19</f>
        <v>0</v>
      </c>
      <c r="J19" s="660"/>
      <c r="K19" s="256">
        <f>'Budget-ADA'!K19</f>
        <v>0</v>
      </c>
      <c r="L19" s="660"/>
      <c r="M19" s="252" t="str">
        <f>'Budget-ADA'!M19</f>
        <v xml:space="preserve"> </v>
      </c>
      <c r="N19" s="250"/>
      <c r="O19" s="660"/>
      <c r="P19" s="251" t="str">
        <f t="shared" si="0"/>
        <v xml:space="preserve"> </v>
      </c>
      <c r="Q19" s="250"/>
      <c r="R19" s="660"/>
      <c r="S19" s="251" t="str">
        <f t="shared" si="1"/>
        <v xml:space="preserve"> </v>
      </c>
      <c r="T19" s="250"/>
      <c r="U19" s="660"/>
      <c r="V19" s="436" t="str">
        <f t="shared" si="2"/>
        <v xml:space="preserve"> </v>
      </c>
    </row>
    <row r="20" spans="1:22" ht="18.75" customHeight="1">
      <c r="A20" s="68"/>
      <c r="B20" s="1671" t="s">
        <v>364</v>
      </c>
      <c r="C20" s="1672"/>
      <c r="D20" s="1672"/>
      <c r="E20" s="1672"/>
      <c r="F20" s="1672"/>
      <c r="G20" s="1673"/>
      <c r="H20" s="246" t="s">
        <v>193</v>
      </c>
      <c r="I20" s="429">
        <f>'Budget-ADA'!I20</f>
        <v>187.56</v>
      </c>
      <c r="J20" s="255">
        <f>IF(('Budget-ADA'!J20="Cell G10 CANNOT be blank"), "Missing Data, BUDGET-ADA Tab, cell G10",'Budget-ADA'!J20)</f>
        <v>0</v>
      </c>
      <c r="K20" s="256">
        <f>'Budget-ADA'!K20</f>
        <v>332.56843156843161</v>
      </c>
      <c r="L20" s="444">
        <f>IF(('Budget-ADA'!L20="Cell G10 CANNOT be blank"), "Missing Data, BUDGET-ADA Tab, cell G10",'Budget-ADA'!L20)</f>
        <v>0</v>
      </c>
      <c r="M20" s="443">
        <f>'Budget-ADA'!M20</f>
        <v>0.77313089981036254</v>
      </c>
      <c r="N20" s="254">
        <f>N12+N14+N16+N18</f>
        <v>223.22950819672133</v>
      </c>
      <c r="O20" s="660"/>
      <c r="P20" s="252">
        <f t="shared" si="0"/>
        <v>-0.32877120313571295</v>
      </c>
      <c r="Q20" s="254">
        <f>Q12+Q14+Q16+Q18</f>
        <v>332.56843156843161</v>
      </c>
      <c r="R20" s="660"/>
      <c r="S20" s="252">
        <f t="shared" si="1"/>
        <v>0.48980497361197961</v>
      </c>
      <c r="T20" s="254">
        <f>T12+T14+T16+T18</f>
        <v>332.56843156843161</v>
      </c>
      <c r="U20" s="660"/>
      <c r="V20" s="436">
        <f t="shared" si="2"/>
        <v>0</v>
      </c>
    </row>
    <row r="21" spans="1:22" ht="15.75">
      <c r="A21" s="68"/>
      <c r="B21" s="1671" t="s">
        <v>365</v>
      </c>
      <c r="C21" s="1672"/>
      <c r="D21" s="1672"/>
      <c r="E21" s="1672"/>
      <c r="F21" s="1672"/>
      <c r="G21" s="1673"/>
      <c r="H21" s="246" t="s">
        <v>194</v>
      </c>
      <c r="I21" s="429">
        <f>'Budget-ADA'!I21</f>
        <v>0</v>
      </c>
      <c r="J21" s="255">
        <f>'Budget-ADA'!J21</f>
        <v>0</v>
      </c>
      <c r="K21" s="256">
        <f>'Budget-ADA'!K21</f>
        <v>0</v>
      </c>
      <c r="L21" s="444">
        <f>'Budget-ADA'!L21</f>
        <v>0</v>
      </c>
      <c r="M21" s="443" t="str">
        <f>'Budget-ADA'!M21</f>
        <v xml:space="preserve"> </v>
      </c>
      <c r="N21" s="254">
        <f>N13+N15+N17+N19</f>
        <v>0</v>
      </c>
      <c r="O21" s="444">
        <f>N21</f>
        <v>0</v>
      </c>
      <c r="P21" s="252" t="str">
        <f t="shared" si="0"/>
        <v xml:space="preserve"> </v>
      </c>
      <c r="Q21" s="254">
        <f>Q13+Q15+Q17+Q19</f>
        <v>0</v>
      </c>
      <c r="R21" s="444">
        <f>Q21</f>
        <v>0</v>
      </c>
      <c r="S21" s="252" t="str">
        <f t="shared" si="1"/>
        <v xml:space="preserve"> </v>
      </c>
      <c r="T21" s="254">
        <f>T13+T15+T17+T19</f>
        <v>0</v>
      </c>
      <c r="U21" s="444">
        <f>T21</f>
        <v>0</v>
      </c>
      <c r="V21" s="436" t="str">
        <f t="shared" si="2"/>
        <v xml:space="preserve"> </v>
      </c>
    </row>
    <row r="22" spans="1:22" ht="47.25" customHeight="1">
      <c r="A22" s="68"/>
      <c r="B22" s="1671" t="s">
        <v>362</v>
      </c>
      <c r="C22" s="1672"/>
      <c r="D22" s="1672"/>
      <c r="E22" s="1672"/>
      <c r="F22" s="1672"/>
      <c r="G22" s="1673"/>
      <c r="H22" s="246" t="s">
        <v>361</v>
      </c>
      <c r="I22" s="429">
        <f>'Budget-ADA'!I22</f>
        <v>187.56</v>
      </c>
      <c r="J22" s="444">
        <f>'Budget-ADA'!J22</f>
        <v>187.56</v>
      </c>
      <c r="K22" s="256">
        <f>'Budget-ADA'!K22</f>
        <v>332.56843156843161</v>
      </c>
      <c r="L22" s="444">
        <f>'Budget-ADA'!L22</f>
        <v>332.56843156843161</v>
      </c>
      <c r="M22" s="252">
        <f>'Budget-ADA'!M22</f>
        <v>0.77313089981036254</v>
      </c>
      <c r="N22" s="254">
        <f>N20-N21</f>
        <v>223.22950819672133</v>
      </c>
      <c r="O22" s="444">
        <f>IF($G$10="","Cell G10 CANNOT be blank",N22*$G$10)</f>
        <v>223.22950819672133</v>
      </c>
      <c r="P22" s="252">
        <f t="shared" si="0"/>
        <v>-0.32877120313571295</v>
      </c>
      <c r="Q22" s="256">
        <f>Q20-Q21</f>
        <v>332.56843156843161</v>
      </c>
      <c r="R22" s="444">
        <f>IF($G$10="","Cell G10 CANNOT be blank",Q22*$G$10)</f>
        <v>332.56843156843161</v>
      </c>
      <c r="S22" s="252">
        <f t="shared" si="1"/>
        <v>0.48980497361197961</v>
      </c>
      <c r="T22" s="256">
        <f>T20-T21</f>
        <v>332.56843156843161</v>
      </c>
      <c r="U22" s="444">
        <f>IF($G$10="","Cell G10 CANNOT be blank",T22*$G$10)</f>
        <v>332.56843156843161</v>
      </c>
      <c r="V22" s="436">
        <f t="shared" si="2"/>
        <v>0</v>
      </c>
    </row>
    <row r="23" spans="1:22" ht="31.5" customHeight="1">
      <c r="A23" s="68"/>
      <c r="B23" s="1664" t="s">
        <v>189</v>
      </c>
      <c r="C23" s="1665"/>
      <c r="D23" s="1665"/>
      <c r="E23" s="1665"/>
      <c r="F23" s="1665"/>
      <c r="G23" s="1666"/>
      <c r="H23" s="246" t="s">
        <v>195</v>
      </c>
      <c r="I23" s="429">
        <f>'Budget-ADA'!I23</f>
        <v>0</v>
      </c>
      <c r="J23" s="660"/>
      <c r="K23" s="256">
        <f>'Budget-ADA'!K23</f>
        <v>0</v>
      </c>
      <c r="L23" s="660"/>
      <c r="M23" s="252" t="str">
        <f>'Budget-ADA'!M23</f>
        <v xml:space="preserve"> </v>
      </c>
      <c r="N23" s="250"/>
      <c r="O23" s="660"/>
      <c r="P23" s="251" t="str">
        <f t="shared" si="0"/>
        <v xml:space="preserve"> </v>
      </c>
      <c r="Q23" s="250"/>
      <c r="R23" s="660"/>
      <c r="S23" s="251" t="str">
        <f t="shared" si="1"/>
        <v xml:space="preserve"> </v>
      </c>
      <c r="T23" s="250"/>
      <c r="U23" s="660"/>
      <c r="V23" s="436" t="str">
        <f t="shared" si="2"/>
        <v xml:space="preserve"> </v>
      </c>
    </row>
    <row r="24" spans="1:22" ht="15.75">
      <c r="A24" s="68"/>
      <c r="B24" s="568"/>
      <c r="C24" s="437"/>
      <c r="D24" s="437"/>
      <c r="E24" s="437"/>
      <c r="F24" s="437"/>
      <c r="G24" s="437"/>
      <c r="H24" s="564"/>
      <c r="I24" s="565"/>
      <c r="J24" s="565"/>
      <c r="K24" s="565"/>
      <c r="L24" s="565"/>
      <c r="M24" s="569"/>
      <c r="N24" s="107"/>
      <c r="O24" s="565"/>
      <c r="P24" s="569"/>
      <c r="Q24" s="107"/>
      <c r="R24" s="565"/>
      <c r="S24" s="569"/>
      <c r="T24" s="576"/>
      <c r="U24" s="565"/>
      <c r="V24" s="570"/>
    </row>
    <row r="25" spans="1:22" ht="15.75">
      <c r="A25" s="42" t="s">
        <v>180</v>
      </c>
      <c r="B25" s="243"/>
      <c r="C25"/>
      <c r="D25" s="34"/>
      <c r="E25" s="34"/>
      <c r="F25" s="34"/>
      <c r="G25" s="34"/>
      <c r="H25" s="571"/>
      <c r="I25" s="92"/>
      <c r="J25" s="38"/>
      <c r="K25" s="38"/>
      <c r="L25" s="38"/>
      <c r="M25" s="38"/>
      <c r="N25" s="38"/>
      <c r="O25" s="38"/>
      <c r="P25" s="38"/>
      <c r="Q25" s="38"/>
      <c r="R25" s="38"/>
      <c r="S25" s="38"/>
      <c r="T25" s="38"/>
      <c r="U25" s="38"/>
      <c r="V25" s="238"/>
    </row>
    <row r="26" spans="1:22" ht="15.75">
      <c r="A26" s="68"/>
      <c r="B26" s="247"/>
      <c r="C26" s="248" t="s">
        <v>171</v>
      </c>
      <c r="D26" s="245"/>
      <c r="E26" s="245"/>
      <c r="F26" s="245"/>
      <c r="G26" s="245"/>
      <c r="H26" s="246" t="s">
        <v>175</v>
      </c>
      <c r="I26" s="429">
        <f>'Budget-ADA'!I26</f>
        <v>102.13104</v>
      </c>
      <c r="J26" s="787"/>
      <c r="K26" s="256">
        <f>'Budget-ADA'!K26</f>
        <v>122.98427772227772</v>
      </c>
      <c r="L26" s="787"/>
      <c r="M26" s="252">
        <f>'Budget-ADA'!M26</f>
        <v>0.20418119429977141</v>
      </c>
      <c r="N26" s="250">
        <v>118.33003278688525</v>
      </c>
      <c r="O26" s="787"/>
      <c r="P26" s="251">
        <f t="shared" ref="P26:P36" si="3">IF(K26&lt;1," ",IF(N26&lt;1," ",(N26-K26)/K26))</f>
        <v>-3.78442270962688E-2</v>
      </c>
      <c r="Q26" s="250">
        <v>122.98427772227772</v>
      </c>
      <c r="R26" s="787"/>
      <c r="S26" s="251">
        <f t="shared" ref="S26:S36" si="4">IF(N26&lt;1," ",IF(Q26&lt;1," ",(Q26-N26)/N26))</f>
        <v>3.9332744407963256E-2</v>
      </c>
      <c r="T26" s="250">
        <v>122.98427772227772</v>
      </c>
      <c r="U26" s="787"/>
      <c r="V26" s="253">
        <f t="shared" ref="V26:V36" si="5">IF(Q26&lt;1," ",IF(T26&lt;1," ",(T26-Q26)/Q26))</f>
        <v>0</v>
      </c>
    </row>
    <row r="27" spans="1:22" ht="15.75">
      <c r="A27" s="68"/>
      <c r="B27" s="247"/>
      <c r="C27" s="141" t="s">
        <v>184</v>
      </c>
      <c r="D27" s="245"/>
      <c r="E27" s="245"/>
      <c r="F27" s="245"/>
      <c r="G27" s="245"/>
      <c r="H27" s="246" t="s">
        <v>176</v>
      </c>
      <c r="I27" s="429">
        <f>'Budget-ADA'!I27</f>
        <v>0</v>
      </c>
      <c r="J27" s="660"/>
      <c r="K27" s="256">
        <f>'Budget-ADA'!K27</f>
        <v>0</v>
      </c>
      <c r="L27" s="660"/>
      <c r="M27" s="252" t="str">
        <f>'Budget-ADA'!M27</f>
        <v xml:space="preserve"> </v>
      </c>
      <c r="N27" s="250"/>
      <c r="O27" s="660"/>
      <c r="P27" s="251" t="str">
        <f t="shared" si="3"/>
        <v xml:space="preserve"> </v>
      </c>
      <c r="Q27" s="250"/>
      <c r="R27" s="660"/>
      <c r="S27" s="251" t="str">
        <f t="shared" si="4"/>
        <v xml:space="preserve"> </v>
      </c>
      <c r="T27" s="250"/>
      <c r="U27" s="660"/>
      <c r="V27" s="253" t="str">
        <f t="shared" si="5"/>
        <v xml:space="preserve"> </v>
      </c>
    </row>
    <row r="28" spans="1:22" ht="15.75">
      <c r="A28" s="68"/>
      <c r="B28" s="247"/>
      <c r="C28" s="248" t="s">
        <v>172</v>
      </c>
      <c r="D28" s="245"/>
      <c r="E28" s="245"/>
      <c r="F28" s="245"/>
      <c r="G28" s="245"/>
      <c r="H28" s="246" t="s">
        <v>177</v>
      </c>
      <c r="I28" s="429">
        <f>'Budget-ADA'!I28</f>
        <v>0</v>
      </c>
      <c r="J28" s="660"/>
      <c r="K28" s="256">
        <f>'Budget-ADA'!K28</f>
        <v>0</v>
      </c>
      <c r="L28" s="660"/>
      <c r="M28" s="252" t="str">
        <f>'Budget-ADA'!M28</f>
        <v xml:space="preserve"> </v>
      </c>
      <c r="N28" s="250"/>
      <c r="O28" s="660"/>
      <c r="P28" s="251" t="str">
        <f t="shared" si="3"/>
        <v xml:space="preserve"> </v>
      </c>
      <c r="Q28" s="250"/>
      <c r="R28" s="660"/>
      <c r="S28" s="251" t="str">
        <f t="shared" si="4"/>
        <v xml:space="preserve"> </v>
      </c>
      <c r="T28" s="250"/>
      <c r="U28" s="660"/>
      <c r="V28" s="253" t="str">
        <f t="shared" si="5"/>
        <v xml:space="preserve"> </v>
      </c>
    </row>
    <row r="29" spans="1:22" ht="15.75">
      <c r="A29" s="68"/>
      <c r="B29" s="247"/>
      <c r="C29" s="141" t="s">
        <v>185</v>
      </c>
      <c r="D29" s="245"/>
      <c r="E29" s="245"/>
      <c r="F29" s="245"/>
      <c r="G29" s="245"/>
      <c r="H29" s="246" t="s">
        <v>178</v>
      </c>
      <c r="I29" s="429">
        <f>'Budget-ADA'!I29</f>
        <v>0</v>
      </c>
      <c r="J29" s="660"/>
      <c r="K29" s="256">
        <f>'Budget-ADA'!K29</f>
        <v>0</v>
      </c>
      <c r="L29" s="660"/>
      <c r="M29" s="252" t="str">
        <f>'Budget-ADA'!M29</f>
        <v xml:space="preserve"> </v>
      </c>
      <c r="N29" s="250"/>
      <c r="O29" s="660"/>
      <c r="P29" s="251" t="str">
        <f t="shared" si="3"/>
        <v xml:space="preserve"> </v>
      </c>
      <c r="Q29" s="250"/>
      <c r="R29" s="660"/>
      <c r="S29" s="251" t="str">
        <f t="shared" si="4"/>
        <v xml:space="preserve"> </v>
      </c>
      <c r="T29" s="250"/>
      <c r="U29" s="660"/>
      <c r="V29" s="253" t="str">
        <f t="shared" si="5"/>
        <v xml:space="preserve"> </v>
      </c>
    </row>
    <row r="30" spans="1:22" ht="15.75">
      <c r="A30" s="68"/>
      <c r="B30" s="247"/>
      <c r="C30" s="248" t="s">
        <v>173</v>
      </c>
      <c r="D30" s="245"/>
      <c r="E30" s="245"/>
      <c r="F30" s="245"/>
      <c r="G30" s="245"/>
      <c r="H30" s="246" t="s">
        <v>179</v>
      </c>
      <c r="I30" s="429">
        <f>'Budget-ADA'!I30</f>
        <v>19.308959999999999</v>
      </c>
      <c r="J30" s="660"/>
      <c r="K30" s="256">
        <f>'Budget-ADA'!K30</f>
        <v>23.251486513486512</v>
      </c>
      <c r="L30" s="660"/>
      <c r="M30" s="252">
        <f>'Budget-ADA'!M30</f>
        <v>0.20418119429977136</v>
      </c>
      <c r="N30" s="250">
        <v>18.784721311475412</v>
      </c>
      <c r="O30" s="660"/>
      <c r="P30" s="251">
        <f t="shared" si="3"/>
        <v>-0.19210665087671927</v>
      </c>
      <c r="Q30" s="250">
        <v>23.251486513486512</v>
      </c>
      <c r="R30" s="660"/>
      <c r="S30" s="251">
        <f t="shared" si="4"/>
        <v>0.237787142430609</v>
      </c>
      <c r="T30" s="250">
        <v>23.251486513486512</v>
      </c>
      <c r="U30" s="660"/>
      <c r="V30" s="253">
        <f t="shared" si="5"/>
        <v>0</v>
      </c>
    </row>
    <row r="31" spans="1:22" ht="15.75">
      <c r="A31" s="68"/>
      <c r="B31" s="247"/>
      <c r="C31" s="141" t="s">
        <v>186</v>
      </c>
      <c r="D31" s="245"/>
      <c r="E31" s="245"/>
      <c r="F31" s="245"/>
      <c r="G31" s="245"/>
      <c r="H31" s="246" t="s">
        <v>190</v>
      </c>
      <c r="I31" s="429">
        <f>'Budget-ADA'!I31</f>
        <v>0</v>
      </c>
      <c r="J31" s="660"/>
      <c r="K31" s="256">
        <f>'Budget-ADA'!K31</f>
        <v>0</v>
      </c>
      <c r="L31" s="660"/>
      <c r="M31" s="252" t="str">
        <f>'Budget-ADA'!M31</f>
        <v xml:space="preserve"> </v>
      </c>
      <c r="N31" s="250"/>
      <c r="O31" s="660"/>
      <c r="P31" s="251" t="str">
        <f t="shared" si="3"/>
        <v xml:space="preserve"> </v>
      </c>
      <c r="Q31" s="250"/>
      <c r="R31" s="660"/>
      <c r="S31" s="251" t="str">
        <f t="shared" si="4"/>
        <v xml:space="preserve"> </v>
      </c>
      <c r="T31" s="250"/>
      <c r="U31" s="660"/>
      <c r="V31" s="253" t="str">
        <f t="shared" si="5"/>
        <v xml:space="preserve"> </v>
      </c>
    </row>
    <row r="32" spans="1:22" ht="15.75">
      <c r="A32" s="68"/>
      <c r="B32" s="247"/>
      <c r="C32" s="248" t="s">
        <v>187</v>
      </c>
      <c r="D32" s="245"/>
      <c r="E32" s="245"/>
      <c r="F32" s="245"/>
      <c r="G32" s="245"/>
      <c r="H32" s="246" t="s">
        <v>191</v>
      </c>
      <c r="I32" s="429">
        <f>'Budget-ADA'!I32</f>
        <v>0</v>
      </c>
      <c r="J32" s="660"/>
      <c r="K32" s="256">
        <f>'Budget-ADA'!K32</f>
        <v>0</v>
      </c>
      <c r="L32" s="660"/>
      <c r="M32" s="252" t="str">
        <f>'Budget-ADA'!M32</f>
        <v xml:space="preserve"> </v>
      </c>
      <c r="N32" s="250"/>
      <c r="O32" s="660"/>
      <c r="P32" s="251" t="str">
        <f t="shared" si="3"/>
        <v xml:space="preserve"> </v>
      </c>
      <c r="Q32" s="250"/>
      <c r="R32" s="660"/>
      <c r="S32" s="251" t="str">
        <f t="shared" si="4"/>
        <v xml:space="preserve"> </v>
      </c>
      <c r="T32" s="250"/>
      <c r="U32" s="660"/>
      <c r="V32" s="253" t="str">
        <f t="shared" si="5"/>
        <v xml:space="preserve"> </v>
      </c>
    </row>
    <row r="33" spans="1:22" ht="15.75">
      <c r="A33" s="68"/>
      <c r="B33" s="247"/>
      <c r="C33" s="653" t="s">
        <v>188</v>
      </c>
      <c r="D33" s="245"/>
      <c r="E33" s="245"/>
      <c r="F33" s="245"/>
      <c r="G33" s="245"/>
      <c r="H33" s="246" t="s">
        <v>192</v>
      </c>
      <c r="I33" s="429">
        <f>'Budget-ADA'!I33</f>
        <v>0</v>
      </c>
      <c r="J33" s="660"/>
      <c r="K33" s="256">
        <f>'Budget-ADA'!K33</f>
        <v>0</v>
      </c>
      <c r="L33" s="660"/>
      <c r="M33" s="252" t="str">
        <f>'Budget-ADA'!M33</f>
        <v xml:space="preserve"> </v>
      </c>
      <c r="N33" s="250"/>
      <c r="O33" s="660"/>
      <c r="P33" s="251" t="str">
        <f t="shared" si="3"/>
        <v xml:space="preserve"> </v>
      </c>
      <c r="Q33" s="250"/>
      <c r="R33" s="660"/>
      <c r="S33" s="251" t="str">
        <f t="shared" si="4"/>
        <v xml:space="preserve"> </v>
      </c>
      <c r="T33" s="250"/>
      <c r="U33" s="660"/>
      <c r="V33" s="253" t="str">
        <f t="shared" si="5"/>
        <v xml:space="preserve"> </v>
      </c>
    </row>
    <row r="34" spans="1:22" ht="18.75" customHeight="1">
      <c r="A34" s="68"/>
      <c r="B34" s="1671" t="s">
        <v>364</v>
      </c>
      <c r="C34" s="1672"/>
      <c r="D34" s="1672"/>
      <c r="E34" s="1672"/>
      <c r="F34" s="1672"/>
      <c r="G34" s="1673"/>
      <c r="H34" s="246" t="s">
        <v>193</v>
      </c>
      <c r="I34" s="429">
        <f>'Budget-ADA'!I34</f>
        <v>121.44</v>
      </c>
      <c r="J34" s="255">
        <f>IF(('Budget-ADA'!J34="Cell G10 CANNOT be blank"), "Missing Data, BUDGET-ADA Tab, cell G10",'Budget-ADA'!J34)</f>
        <v>0</v>
      </c>
      <c r="K34" s="256">
        <f>'Budget-ADA'!K34</f>
        <v>146.23576423576424</v>
      </c>
      <c r="L34" s="444">
        <f>IF(('Budget-ADA'!L34="Cell G10 CANNOT be blank"), "Missing Data, BUDGET-ADA Tab, cell G10",'Budget-ADA'!L34)</f>
        <v>0</v>
      </c>
      <c r="M34" s="443">
        <f>'Budget-ADA'!M34</f>
        <v>0.20418119429977141</v>
      </c>
      <c r="N34" s="254">
        <f>N26+N28+N30+N32</f>
        <v>137.11475409836066</v>
      </c>
      <c r="O34" s="660"/>
      <c r="P34" s="252">
        <f t="shared" si="3"/>
        <v>-6.2371952477360444E-2</v>
      </c>
      <c r="Q34" s="254">
        <f>Q26+Q28+Q30+Q32</f>
        <v>146.23576423576424</v>
      </c>
      <c r="R34" s="660"/>
      <c r="S34" s="252">
        <f t="shared" si="4"/>
        <v>6.6520996937065743E-2</v>
      </c>
      <c r="T34" s="254">
        <f>T26+T28+T30+T32</f>
        <v>146.23576423576424</v>
      </c>
      <c r="U34" s="660"/>
      <c r="V34" s="436">
        <f t="shared" si="5"/>
        <v>0</v>
      </c>
    </row>
    <row r="35" spans="1:22" ht="15.75">
      <c r="A35" s="68"/>
      <c r="B35" s="1671" t="s">
        <v>365</v>
      </c>
      <c r="C35" s="1672"/>
      <c r="D35" s="1672"/>
      <c r="E35" s="1672"/>
      <c r="F35" s="1672"/>
      <c r="G35" s="1673"/>
      <c r="H35" s="246" t="s">
        <v>194</v>
      </c>
      <c r="I35" s="429">
        <f>'Budget-ADA'!I35</f>
        <v>0</v>
      </c>
      <c r="J35" s="255">
        <f>'Budget-ADA'!J35</f>
        <v>0</v>
      </c>
      <c r="K35" s="256">
        <f>'Budget-ADA'!K35</f>
        <v>0</v>
      </c>
      <c r="L35" s="444">
        <f>'Budget-ADA'!L35</f>
        <v>0</v>
      </c>
      <c r="M35" s="443" t="str">
        <f>'Budget-ADA'!M35</f>
        <v xml:space="preserve"> </v>
      </c>
      <c r="N35" s="254">
        <f>N27+N29+N31+N33</f>
        <v>0</v>
      </c>
      <c r="O35" s="444">
        <f>N35</f>
        <v>0</v>
      </c>
      <c r="P35" s="252" t="str">
        <f t="shared" si="3"/>
        <v xml:space="preserve"> </v>
      </c>
      <c r="Q35" s="254">
        <f>Q27+Q29+Q31+Q33</f>
        <v>0</v>
      </c>
      <c r="R35" s="444">
        <f>Q35</f>
        <v>0</v>
      </c>
      <c r="S35" s="252" t="str">
        <f t="shared" si="4"/>
        <v xml:space="preserve"> </v>
      </c>
      <c r="T35" s="254">
        <f>T27+T29+T31+T33</f>
        <v>0</v>
      </c>
      <c r="U35" s="444">
        <f>T35</f>
        <v>0</v>
      </c>
      <c r="V35" s="436" t="str">
        <f t="shared" si="5"/>
        <v xml:space="preserve"> </v>
      </c>
    </row>
    <row r="36" spans="1:22" ht="47.25" customHeight="1">
      <c r="A36" s="68"/>
      <c r="B36" s="1671" t="s">
        <v>362</v>
      </c>
      <c r="C36" s="1672"/>
      <c r="D36" s="1672"/>
      <c r="E36" s="1672"/>
      <c r="F36" s="1672"/>
      <c r="G36" s="1673"/>
      <c r="H36" s="246" t="s">
        <v>361</v>
      </c>
      <c r="I36" s="429">
        <f>'Budget-ADA'!I36</f>
        <v>121.44</v>
      </c>
      <c r="J36" s="444">
        <f>'Budget-ADA'!J36</f>
        <v>121.44</v>
      </c>
      <c r="K36" s="256">
        <f>'Budget-ADA'!K36</f>
        <v>146.23576423576424</v>
      </c>
      <c r="L36" s="444">
        <f>'Budget-ADA'!L36</f>
        <v>146.23576423576424</v>
      </c>
      <c r="M36" s="252">
        <f>'Budget-ADA'!M36</f>
        <v>0.20418119429977141</v>
      </c>
      <c r="N36" s="254">
        <f>N34-N35</f>
        <v>137.11475409836066</v>
      </c>
      <c r="O36" s="444">
        <f>IF($G$10="","Cell G10 CANNOT be blank",N36*$G$10)</f>
        <v>137.11475409836066</v>
      </c>
      <c r="P36" s="252">
        <f t="shared" si="3"/>
        <v>-6.2371952477360444E-2</v>
      </c>
      <c r="Q36" s="256">
        <f>Q34-Q35</f>
        <v>146.23576423576424</v>
      </c>
      <c r="R36" s="444">
        <f>IF($G$10="","Cell G10 CANNOT be blank",Q36*$G$10)</f>
        <v>146.23576423576424</v>
      </c>
      <c r="S36" s="252">
        <f t="shared" si="4"/>
        <v>6.6520996937065743E-2</v>
      </c>
      <c r="T36" s="256">
        <f>T34-T35</f>
        <v>146.23576423576424</v>
      </c>
      <c r="U36" s="444">
        <f>IF($G$10="","Cell G10 CANNOT be blank",T36*$G$10)</f>
        <v>146.23576423576424</v>
      </c>
      <c r="V36" s="436">
        <f t="shared" si="5"/>
        <v>0</v>
      </c>
    </row>
    <row r="37" spans="1:22" ht="15.75">
      <c r="A37" s="68"/>
      <c r="B37" s="568"/>
      <c r="C37" s="437"/>
      <c r="D37" s="437"/>
      <c r="E37" s="437"/>
      <c r="F37" s="437"/>
      <c r="G37" s="437"/>
      <c r="H37" s="564"/>
      <c r="I37" s="565"/>
      <c r="J37" s="566"/>
      <c r="K37" s="566"/>
      <c r="L37" s="566"/>
      <c r="M37" s="566"/>
      <c r="N37" s="566"/>
      <c r="O37" s="566"/>
      <c r="P37" s="566"/>
      <c r="Q37" s="566"/>
      <c r="R37" s="566"/>
      <c r="S37" s="566"/>
      <c r="T37" s="566"/>
      <c r="U37" s="566"/>
      <c r="V37" s="567"/>
    </row>
    <row r="38" spans="1:22" ht="15.75">
      <c r="A38" s="42" t="s">
        <v>181</v>
      </c>
      <c r="B38" s="438"/>
      <c r="C38" s="152"/>
      <c r="D38" s="244"/>
      <c r="E38" s="244"/>
      <c r="F38" s="244"/>
      <c r="G38" s="244"/>
      <c r="H38" s="563"/>
      <c r="I38" s="440"/>
      <c r="J38" s="243"/>
      <c r="K38" s="440"/>
      <c r="L38" s="243"/>
      <c r="M38" s="572"/>
      <c r="N38" s="440"/>
      <c r="O38" s="243"/>
      <c r="P38" s="243"/>
      <c r="Q38" s="440"/>
      <c r="R38" s="243"/>
      <c r="S38" s="243"/>
      <c r="T38" s="440"/>
      <c r="U38" s="243"/>
      <c r="V38" s="439"/>
    </row>
    <row r="39" spans="1:22" ht="15.75">
      <c r="A39" s="442"/>
      <c r="B39" s="247"/>
      <c r="C39" s="248" t="s">
        <v>171</v>
      </c>
      <c r="D39" s="245"/>
      <c r="E39" s="245"/>
      <c r="F39" s="245"/>
      <c r="G39" s="245"/>
      <c r="H39" s="246" t="s">
        <v>175</v>
      </c>
      <c r="I39" s="429">
        <f>'Budget-ADA'!I39</f>
        <v>74.327579999999998</v>
      </c>
      <c r="J39" s="787"/>
      <c r="K39" s="256">
        <f>'Budget-ADA'!K39</f>
        <v>138.19201098901098</v>
      </c>
      <c r="L39" s="787"/>
      <c r="M39" s="252">
        <f>'Budget-ADA'!M39</f>
        <v>0.85922925230460867</v>
      </c>
      <c r="N39" s="250">
        <v>80.810754098360661</v>
      </c>
      <c r="O39" s="787"/>
      <c r="P39" s="251">
        <f t="shared" ref="P39:P49" si="6">IF(K39&lt;1," ",IF(N39&lt;1," ",(N39-K39)/K39))</f>
        <v>-0.41522846711604244</v>
      </c>
      <c r="Q39" s="250">
        <v>141.80702197802196</v>
      </c>
      <c r="R39" s="787"/>
      <c r="S39" s="251">
        <f t="shared" ref="S39:S49" si="7">IF(N39&lt;1," ",IF(Q39&lt;1," ",(Q39-N39)/N39))</f>
        <v>0.75480384461476868</v>
      </c>
      <c r="T39" s="250">
        <v>141.80702197802196</v>
      </c>
      <c r="U39" s="787"/>
      <c r="V39" s="253">
        <f t="shared" ref="V39:V49" si="8">IF(Q39&lt;1," ",IF(T39&lt;1," ",(T39-Q39)/Q39))</f>
        <v>0</v>
      </c>
    </row>
    <row r="40" spans="1:22" ht="15.75">
      <c r="A40" s="41"/>
      <c r="B40" s="247"/>
      <c r="C40" s="141" t="s">
        <v>184</v>
      </c>
      <c r="D40" s="245"/>
      <c r="E40" s="245"/>
      <c r="F40" s="245"/>
      <c r="G40" s="245"/>
      <c r="H40" s="246" t="s">
        <v>176</v>
      </c>
      <c r="I40" s="429">
        <f>'Budget-ADA'!I40</f>
        <v>0</v>
      </c>
      <c r="J40" s="660"/>
      <c r="K40" s="256">
        <f>'Budget-ADA'!K40</f>
        <v>0</v>
      </c>
      <c r="L40" s="660"/>
      <c r="M40" s="252" t="str">
        <f>'Budget-ADA'!M40</f>
        <v xml:space="preserve"> </v>
      </c>
      <c r="N40" s="250"/>
      <c r="O40" s="660"/>
      <c r="P40" s="251" t="str">
        <f t="shared" si="6"/>
        <v xml:space="preserve"> </v>
      </c>
      <c r="Q40" s="250"/>
      <c r="R40" s="660"/>
      <c r="S40" s="251" t="str">
        <f t="shared" si="7"/>
        <v xml:space="preserve"> </v>
      </c>
      <c r="T40" s="250"/>
      <c r="U40" s="660"/>
      <c r="V40" s="253" t="str">
        <f t="shared" si="8"/>
        <v xml:space="preserve"> </v>
      </c>
    </row>
    <row r="41" spans="1:22" ht="15.75">
      <c r="A41" s="41"/>
      <c r="B41" s="247"/>
      <c r="C41" s="248" t="s">
        <v>172</v>
      </c>
      <c r="D41" s="245"/>
      <c r="E41" s="245"/>
      <c r="F41" s="245"/>
      <c r="G41" s="245"/>
      <c r="H41" s="246" t="s">
        <v>177</v>
      </c>
      <c r="I41" s="429">
        <f>'Budget-ADA'!I41</f>
        <v>0</v>
      </c>
      <c r="J41" s="660"/>
      <c r="K41" s="256">
        <f>'Budget-ADA'!K41</f>
        <v>0</v>
      </c>
      <c r="L41" s="660"/>
      <c r="M41" s="252" t="str">
        <f>'Budget-ADA'!M41</f>
        <v xml:space="preserve"> </v>
      </c>
      <c r="N41" s="250"/>
      <c r="O41" s="660"/>
      <c r="P41" s="251" t="str">
        <f t="shared" si="6"/>
        <v xml:space="preserve"> </v>
      </c>
      <c r="Q41" s="250"/>
      <c r="R41" s="660"/>
      <c r="S41" s="251" t="str">
        <f t="shared" si="7"/>
        <v xml:space="preserve"> </v>
      </c>
      <c r="T41" s="250"/>
      <c r="U41" s="660"/>
      <c r="V41" s="253" t="str">
        <f t="shared" si="8"/>
        <v xml:space="preserve"> </v>
      </c>
    </row>
    <row r="42" spans="1:22" ht="15.75">
      <c r="A42" s="41"/>
      <c r="B42" s="247"/>
      <c r="C42" s="141" t="s">
        <v>185</v>
      </c>
      <c r="D42" s="245"/>
      <c r="E42" s="245"/>
      <c r="F42" s="245"/>
      <c r="G42" s="245"/>
      <c r="H42" s="246" t="s">
        <v>178</v>
      </c>
      <c r="I42" s="429">
        <f>'Budget-ADA'!I42</f>
        <v>0</v>
      </c>
      <c r="J42" s="660"/>
      <c r="K42" s="256">
        <f>'Budget-ADA'!K42</f>
        <v>0</v>
      </c>
      <c r="L42" s="660"/>
      <c r="M42" s="252" t="str">
        <f>'Budget-ADA'!M42</f>
        <v xml:space="preserve"> </v>
      </c>
      <c r="N42" s="250"/>
      <c r="O42" s="660"/>
      <c r="P42" s="251" t="str">
        <f t="shared" si="6"/>
        <v xml:space="preserve"> </v>
      </c>
      <c r="Q42" s="250"/>
      <c r="R42" s="660"/>
      <c r="S42" s="251" t="str">
        <f t="shared" si="7"/>
        <v xml:space="preserve"> </v>
      </c>
      <c r="T42" s="250"/>
      <c r="U42" s="660"/>
      <c r="V42" s="253" t="str">
        <f t="shared" si="8"/>
        <v xml:space="preserve"> </v>
      </c>
    </row>
    <row r="43" spans="1:22" ht="15.75">
      <c r="A43" s="41"/>
      <c r="B43" s="247"/>
      <c r="C43" s="248" t="s">
        <v>173</v>
      </c>
      <c r="D43" s="245"/>
      <c r="E43" s="245"/>
      <c r="F43" s="245"/>
      <c r="G43" s="245"/>
      <c r="H43" s="246" t="s">
        <v>179</v>
      </c>
      <c r="I43" s="429">
        <f>'Budget-ADA'!I43</f>
        <v>14.052419999999998</v>
      </c>
      <c r="J43" s="660"/>
      <c r="K43" s="256">
        <f>'Budget-ADA'!K43</f>
        <v>26.126670329670333</v>
      </c>
      <c r="L43" s="660"/>
      <c r="M43" s="252">
        <f>'Budget-ADA'!M43</f>
        <v>0.85922925230460923</v>
      </c>
      <c r="N43" s="250">
        <v>12.828590163934427</v>
      </c>
      <c r="O43" s="660"/>
      <c r="P43" s="251">
        <f t="shared" si="6"/>
        <v>-0.50898488012206267</v>
      </c>
      <c r="Q43" s="250">
        <v>22.511659340659342</v>
      </c>
      <c r="R43" s="660"/>
      <c r="S43" s="251">
        <f t="shared" si="7"/>
        <v>0.75480384461476902</v>
      </c>
      <c r="T43" s="250">
        <v>22.511659340659342</v>
      </c>
      <c r="U43" s="660"/>
      <c r="V43" s="253">
        <f t="shared" si="8"/>
        <v>0</v>
      </c>
    </row>
    <row r="44" spans="1:22" ht="15.75">
      <c r="A44" s="41"/>
      <c r="B44" s="247"/>
      <c r="C44" s="141" t="s">
        <v>186</v>
      </c>
      <c r="D44" s="245"/>
      <c r="E44" s="245"/>
      <c r="F44" s="245"/>
      <c r="G44" s="245"/>
      <c r="H44" s="246" t="s">
        <v>190</v>
      </c>
      <c r="I44" s="429">
        <f>'Budget-ADA'!I44</f>
        <v>0</v>
      </c>
      <c r="J44" s="660"/>
      <c r="K44" s="256">
        <f>'Budget-ADA'!K44</f>
        <v>0</v>
      </c>
      <c r="L44" s="660"/>
      <c r="M44" s="252" t="str">
        <f>'Budget-ADA'!M44</f>
        <v xml:space="preserve"> </v>
      </c>
      <c r="N44" s="250"/>
      <c r="O44" s="660"/>
      <c r="P44" s="251" t="str">
        <f t="shared" si="6"/>
        <v xml:space="preserve"> </v>
      </c>
      <c r="Q44" s="250"/>
      <c r="R44" s="660"/>
      <c r="S44" s="251" t="str">
        <f t="shared" si="7"/>
        <v xml:space="preserve"> </v>
      </c>
      <c r="T44" s="250"/>
      <c r="U44" s="660"/>
      <c r="V44" s="253" t="str">
        <f t="shared" si="8"/>
        <v xml:space="preserve"> </v>
      </c>
    </row>
    <row r="45" spans="1:22" ht="15.75">
      <c r="A45" s="41"/>
      <c r="B45" s="247"/>
      <c r="C45" s="248" t="s">
        <v>187</v>
      </c>
      <c r="D45" s="245"/>
      <c r="E45" s="245"/>
      <c r="F45" s="245"/>
      <c r="G45" s="245"/>
      <c r="H45" s="246" t="s">
        <v>191</v>
      </c>
      <c r="I45" s="429">
        <f>'Budget-ADA'!I45</f>
        <v>0</v>
      </c>
      <c r="J45" s="660"/>
      <c r="K45" s="256">
        <f>'Budget-ADA'!K45</f>
        <v>0</v>
      </c>
      <c r="L45" s="660"/>
      <c r="M45" s="252" t="str">
        <f>'Budget-ADA'!M45</f>
        <v xml:space="preserve"> </v>
      </c>
      <c r="N45" s="250"/>
      <c r="O45" s="660"/>
      <c r="P45" s="251" t="str">
        <f t="shared" si="6"/>
        <v xml:space="preserve"> </v>
      </c>
      <c r="Q45" s="250"/>
      <c r="R45" s="660"/>
      <c r="S45" s="251" t="str">
        <f t="shared" si="7"/>
        <v xml:space="preserve"> </v>
      </c>
      <c r="T45" s="250"/>
      <c r="U45" s="660"/>
      <c r="V45" s="253" t="str">
        <f t="shared" si="8"/>
        <v xml:space="preserve"> </v>
      </c>
    </row>
    <row r="46" spans="1:22" ht="15.75">
      <c r="A46" s="41"/>
      <c r="B46" s="247"/>
      <c r="C46" s="141" t="s">
        <v>188</v>
      </c>
      <c r="D46" s="245"/>
      <c r="E46" s="245"/>
      <c r="F46" s="245"/>
      <c r="G46" s="245"/>
      <c r="H46" s="246" t="s">
        <v>192</v>
      </c>
      <c r="I46" s="429">
        <f>'Budget-ADA'!I46</f>
        <v>0</v>
      </c>
      <c r="J46" s="660"/>
      <c r="K46" s="256">
        <f>'Budget-ADA'!K46</f>
        <v>0</v>
      </c>
      <c r="L46" s="660"/>
      <c r="M46" s="252" t="str">
        <f>'Budget-ADA'!M46</f>
        <v xml:space="preserve"> </v>
      </c>
      <c r="N46" s="250"/>
      <c r="O46" s="660"/>
      <c r="P46" s="251" t="str">
        <f t="shared" si="6"/>
        <v xml:space="preserve"> </v>
      </c>
      <c r="Q46" s="250"/>
      <c r="R46" s="660"/>
      <c r="S46" s="251" t="str">
        <f t="shared" si="7"/>
        <v xml:space="preserve"> </v>
      </c>
      <c r="T46" s="250"/>
      <c r="U46" s="660"/>
      <c r="V46" s="253" t="str">
        <f t="shared" si="8"/>
        <v xml:space="preserve"> </v>
      </c>
    </row>
    <row r="47" spans="1:22" ht="18.75" customHeight="1">
      <c r="A47" s="68"/>
      <c r="B47" s="1671" t="s">
        <v>364</v>
      </c>
      <c r="C47" s="1672"/>
      <c r="D47" s="1672"/>
      <c r="E47" s="1672"/>
      <c r="F47" s="1672"/>
      <c r="G47" s="1673"/>
      <c r="H47" s="246" t="s">
        <v>193</v>
      </c>
      <c r="I47" s="429">
        <f>'Budget-ADA'!I47</f>
        <v>88.38</v>
      </c>
      <c r="J47" s="255">
        <f>IF(('Budget-ADA'!J47="Cell G10 CANNOT be blank"), "Missing Data, BUDGET-ADA Tab, cell G10",'Budget-ADA'!J47)</f>
        <v>0</v>
      </c>
      <c r="K47" s="256">
        <f>'Budget-ADA'!K47</f>
        <v>164.31868131868131</v>
      </c>
      <c r="L47" s="444">
        <f>IF(('Budget-ADA'!L47="Cell G10 CANNOT be blank"), "Missing Data, BUDGET-ADA Tab, cell G10",'Budget-ADA'!L47)</f>
        <v>0</v>
      </c>
      <c r="M47" s="443">
        <f>'Budget-ADA'!M47</f>
        <v>0.85922925230460878</v>
      </c>
      <c r="N47" s="254">
        <f>N39+N41+N43+N45</f>
        <v>93.639344262295083</v>
      </c>
      <c r="O47" s="660"/>
      <c r="P47" s="252">
        <f t="shared" si="6"/>
        <v>-0.43013573678399969</v>
      </c>
      <c r="Q47" s="254">
        <f>Q39+Q41+Q43+Q45</f>
        <v>164.31868131868131</v>
      </c>
      <c r="R47" s="660"/>
      <c r="S47" s="252">
        <f t="shared" si="7"/>
        <v>0.7548038446147689</v>
      </c>
      <c r="T47" s="254">
        <f>T39+T41+T43+T45</f>
        <v>164.31868131868131</v>
      </c>
      <c r="U47" s="660"/>
      <c r="V47" s="436">
        <f t="shared" si="8"/>
        <v>0</v>
      </c>
    </row>
    <row r="48" spans="1:22" ht="15.75">
      <c r="A48" s="68"/>
      <c r="B48" s="1671" t="s">
        <v>365</v>
      </c>
      <c r="C48" s="1672"/>
      <c r="D48" s="1672"/>
      <c r="E48" s="1672"/>
      <c r="F48" s="1672"/>
      <c r="G48" s="1673"/>
      <c r="H48" s="246" t="s">
        <v>194</v>
      </c>
      <c r="I48" s="429">
        <f>'Budget-ADA'!I48</f>
        <v>0</v>
      </c>
      <c r="J48" s="255">
        <f>'Budget-ADA'!J48</f>
        <v>0</v>
      </c>
      <c r="K48" s="256">
        <f>'Budget-ADA'!K48</f>
        <v>0</v>
      </c>
      <c r="L48" s="444">
        <f>'Budget-ADA'!L48</f>
        <v>0</v>
      </c>
      <c r="M48" s="443" t="str">
        <f>'Budget-ADA'!M48</f>
        <v xml:space="preserve"> </v>
      </c>
      <c r="N48" s="254">
        <f>N40+N42+N44+N46</f>
        <v>0</v>
      </c>
      <c r="O48" s="444">
        <f>N48</f>
        <v>0</v>
      </c>
      <c r="P48" s="252" t="str">
        <f t="shared" si="6"/>
        <v xml:space="preserve"> </v>
      </c>
      <c r="Q48" s="254">
        <f>Q40+Q42+Q44+Q46</f>
        <v>0</v>
      </c>
      <c r="R48" s="444">
        <f>Q48</f>
        <v>0</v>
      </c>
      <c r="S48" s="252" t="str">
        <f t="shared" si="7"/>
        <v xml:space="preserve"> </v>
      </c>
      <c r="T48" s="254">
        <f>T40+T42+T44+T46</f>
        <v>0</v>
      </c>
      <c r="U48" s="444">
        <f>T48</f>
        <v>0</v>
      </c>
      <c r="V48" s="436" t="str">
        <f t="shared" si="8"/>
        <v xml:space="preserve"> </v>
      </c>
    </row>
    <row r="49" spans="1:22" ht="47.25" customHeight="1">
      <c r="A49" s="68"/>
      <c r="B49" s="1671" t="s">
        <v>362</v>
      </c>
      <c r="C49" s="1672"/>
      <c r="D49" s="1672"/>
      <c r="E49" s="1672"/>
      <c r="F49" s="1672"/>
      <c r="G49" s="1673"/>
      <c r="H49" s="246" t="s">
        <v>361</v>
      </c>
      <c r="I49" s="429">
        <f>'Budget-ADA'!I49</f>
        <v>88.38</v>
      </c>
      <c r="J49" s="444">
        <f>'Budget-ADA'!J49</f>
        <v>88.38</v>
      </c>
      <c r="K49" s="256">
        <f>'Budget-ADA'!K49</f>
        <v>164.31868131868131</v>
      </c>
      <c r="L49" s="444">
        <f>'Budget-ADA'!L49</f>
        <v>164.31868131868131</v>
      </c>
      <c r="M49" s="252">
        <f>'Budget-ADA'!M49</f>
        <v>0.85922925230460878</v>
      </c>
      <c r="N49" s="254">
        <f>N47-N48</f>
        <v>93.639344262295083</v>
      </c>
      <c r="O49" s="444">
        <f>IF($G$10="","Cell G10 CANNOT be blank",N49*$G$10)</f>
        <v>93.639344262295083</v>
      </c>
      <c r="P49" s="252">
        <f t="shared" si="6"/>
        <v>-0.43013573678399969</v>
      </c>
      <c r="Q49" s="256">
        <f>Q47-Q48</f>
        <v>164.31868131868131</v>
      </c>
      <c r="R49" s="444">
        <f>IF($G$10="","Cell G10 CANNOT be blank",Q49*$G$10)</f>
        <v>164.31868131868131</v>
      </c>
      <c r="S49" s="252">
        <f t="shared" si="7"/>
        <v>0.7548038446147689</v>
      </c>
      <c r="T49" s="256">
        <f>T47-T48</f>
        <v>164.31868131868131</v>
      </c>
      <c r="U49" s="444">
        <f>IF($G$10="","Cell G10 CANNOT be blank",T49*$G$10)</f>
        <v>164.31868131868131</v>
      </c>
      <c r="V49" s="436">
        <f t="shared" si="8"/>
        <v>0</v>
      </c>
    </row>
    <row r="50" spans="1:22" ht="15.75">
      <c r="A50" s="41"/>
      <c r="B50" s="437"/>
      <c r="C50" s="437"/>
      <c r="D50" s="437"/>
      <c r="E50" s="437"/>
      <c r="F50" s="437"/>
      <c r="G50" s="437"/>
      <c r="H50" s="564"/>
      <c r="I50" s="92"/>
      <c r="J50" s="38"/>
      <c r="K50" s="38"/>
      <c r="L50" s="38"/>
      <c r="M50" s="38"/>
      <c r="N50" s="38"/>
      <c r="O50" s="38"/>
      <c r="P50" s="38"/>
      <c r="Q50" s="38"/>
      <c r="R50" s="38"/>
      <c r="S50" s="38"/>
      <c r="T50" s="38"/>
      <c r="U50" s="38"/>
      <c r="V50" s="238"/>
    </row>
    <row r="51" spans="1:22" ht="15.75">
      <c r="A51" s="42" t="s">
        <v>182</v>
      </c>
      <c r="B51" s="438"/>
      <c r="C51" s="152"/>
      <c r="D51" s="244"/>
      <c r="E51" s="244"/>
      <c r="F51" s="244"/>
      <c r="G51" s="244"/>
      <c r="H51" s="563"/>
      <c r="I51" s="440"/>
      <c r="J51" s="243"/>
      <c r="K51" s="440"/>
      <c r="L51" s="243"/>
      <c r="M51" s="572"/>
      <c r="N51" s="440"/>
      <c r="O51" s="243"/>
      <c r="P51" s="243"/>
      <c r="Q51" s="440"/>
      <c r="R51" s="243"/>
      <c r="S51" s="243"/>
      <c r="T51" s="440"/>
      <c r="U51" s="243"/>
      <c r="V51" s="439"/>
    </row>
    <row r="52" spans="1:22" ht="15.75">
      <c r="A52" s="442"/>
      <c r="B52" s="247"/>
      <c r="C52" s="248" t="s">
        <v>171</v>
      </c>
      <c r="D52" s="245"/>
      <c r="E52" s="245"/>
      <c r="F52" s="245"/>
      <c r="G52" s="245"/>
      <c r="H52" s="246" t="s">
        <v>175</v>
      </c>
      <c r="I52" s="429">
        <f>'Budget-ADA'!I52</f>
        <v>40.258669999999995</v>
      </c>
      <c r="J52" s="787"/>
      <c r="K52" s="256">
        <f>'Budget-ADA'!K52</f>
        <v>121.00066033966033</v>
      </c>
      <c r="L52" s="787"/>
      <c r="M52" s="252">
        <f>'Budget-ADA'!M52</f>
        <v>2.0055801729083536</v>
      </c>
      <c r="N52" s="250">
        <v>48.342147540983611</v>
      </c>
      <c r="O52" s="787"/>
      <c r="P52" s="251">
        <f t="shared" ref="P52:P62" si="9">IF(K52&lt;1," ",IF(N52&lt;1," ",(N52-K52)/K52))</f>
        <v>-0.60048029981586371</v>
      </c>
      <c r="Q52" s="250">
        <v>124.16595704295703</v>
      </c>
      <c r="R52" s="787"/>
      <c r="S52" s="251">
        <f t="shared" ref="S52:S62" si="10">IF(N52&lt;1," ",IF(Q52&lt;1," ",(Q52-N52)/N52))</f>
        <v>1.5684824394218593</v>
      </c>
      <c r="T52" s="250">
        <v>121.00066033966033</v>
      </c>
      <c r="U52" s="787"/>
      <c r="V52" s="253">
        <f t="shared" ref="V52:V62" si="11">IF(Q52&lt;1," ",IF(T52&lt;1," ",(T52-Q52)/Q52))</f>
        <v>-2.5492468134414841E-2</v>
      </c>
    </row>
    <row r="53" spans="1:22" ht="15.75">
      <c r="A53" s="41"/>
      <c r="B53" s="247"/>
      <c r="C53" s="141" t="s">
        <v>184</v>
      </c>
      <c r="D53" s="245"/>
      <c r="E53" s="245"/>
      <c r="F53" s="245"/>
      <c r="G53" s="245"/>
      <c r="H53" s="246" t="s">
        <v>176</v>
      </c>
      <c r="I53" s="429">
        <f>'Budget-ADA'!I53</f>
        <v>0</v>
      </c>
      <c r="J53" s="660"/>
      <c r="K53" s="256">
        <f>'Budget-ADA'!K53</f>
        <v>0</v>
      </c>
      <c r="L53" s="660"/>
      <c r="M53" s="252" t="str">
        <f>'Budget-ADA'!M53</f>
        <v xml:space="preserve"> </v>
      </c>
      <c r="N53" s="250"/>
      <c r="O53" s="660"/>
      <c r="P53" s="251" t="str">
        <f t="shared" si="9"/>
        <v xml:space="preserve"> </v>
      </c>
      <c r="Q53" s="250"/>
      <c r="R53" s="660"/>
      <c r="S53" s="251" t="str">
        <f t="shared" si="10"/>
        <v xml:space="preserve"> </v>
      </c>
      <c r="T53" s="250"/>
      <c r="U53" s="660"/>
      <c r="V53" s="253" t="str">
        <f t="shared" si="11"/>
        <v xml:space="preserve"> </v>
      </c>
    </row>
    <row r="54" spans="1:22" ht="15.75">
      <c r="A54" s="41"/>
      <c r="B54" s="247"/>
      <c r="C54" s="248" t="s">
        <v>172</v>
      </c>
      <c r="D54" s="245"/>
      <c r="E54" s="245"/>
      <c r="F54" s="245"/>
      <c r="G54" s="245"/>
      <c r="H54" s="246" t="s">
        <v>177</v>
      </c>
      <c r="I54" s="429">
        <f>'Budget-ADA'!I54</f>
        <v>0</v>
      </c>
      <c r="J54" s="660"/>
      <c r="K54" s="256">
        <f>'Budget-ADA'!K54</f>
        <v>0</v>
      </c>
      <c r="L54" s="660"/>
      <c r="M54" s="252" t="str">
        <f>'Budget-ADA'!M54</f>
        <v xml:space="preserve"> </v>
      </c>
      <c r="N54" s="250"/>
      <c r="O54" s="660"/>
      <c r="P54" s="251" t="str">
        <f t="shared" si="9"/>
        <v xml:space="preserve"> </v>
      </c>
      <c r="Q54" s="250"/>
      <c r="R54" s="660"/>
      <c r="S54" s="251" t="str">
        <f t="shared" si="10"/>
        <v xml:space="preserve"> </v>
      </c>
      <c r="T54" s="250"/>
      <c r="U54" s="660"/>
      <c r="V54" s="253" t="str">
        <f t="shared" si="11"/>
        <v xml:space="preserve"> </v>
      </c>
    </row>
    <row r="55" spans="1:22" ht="15.75">
      <c r="A55" s="41"/>
      <c r="B55" s="247"/>
      <c r="C55" s="141" t="s">
        <v>185</v>
      </c>
      <c r="D55" s="245"/>
      <c r="E55" s="245"/>
      <c r="F55" s="245"/>
      <c r="G55" s="245"/>
      <c r="H55" s="246" t="s">
        <v>178</v>
      </c>
      <c r="I55" s="429">
        <f>'Budget-ADA'!I55</f>
        <v>0</v>
      </c>
      <c r="J55" s="660"/>
      <c r="K55" s="256">
        <f>'Budget-ADA'!K55</f>
        <v>0</v>
      </c>
      <c r="L55" s="660"/>
      <c r="M55" s="252" t="str">
        <f>'Budget-ADA'!M55</f>
        <v xml:space="preserve"> </v>
      </c>
      <c r="N55" s="250"/>
      <c r="O55" s="660"/>
      <c r="P55" s="251" t="str">
        <f t="shared" si="9"/>
        <v xml:space="preserve"> </v>
      </c>
      <c r="Q55" s="250"/>
      <c r="R55" s="660"/>
      <c r="S55" s="251" t="str">
        <f t="shared" si="10"/>
        <v xml:space="preserve"> </v>
      </c>
      <c r="T55" s="250"/>
      <c r="U55" s="660"/>
      <c r="V55" s="253" t="str">
        <f t="shared" si="11"/>
        <v xml:space="preserve"> </v>
      </c>
    </row>
    <row r="56" spans="1:22" ht="15.75">
      <c r="A56" s="41"/>
      <c r="B56" s="247"/>
      <c r="C56" s="248" t="s">
        <v>173</v>
      </c>
      <c r="D56" s="245"/>
      <c r="E56" s="245"/>
      <c r="F56" s="245"/>
      <c r="G56" s="245"/>
      <c r="H56" s="246" t="s">
        <v>179</v>
      </c>
      <c r="I56" s="429">
        <f>'Budget-ADA'!I56</f>
        <v>7.6113300000000024</v>
      </c>
      <c r="J56" s="660"/>
      <c r="K56" s="256">
        <f>'Budget-ADA'!K56</f>
        <v>22.876462537462544</v>
      </c>
      <c r="L56" s="660"/>
      <c r="M56" s="252">
        <f>'Budget-ADA'!M56</f>
        <v>2.0055801729083531</v>
      </c>
      <c r="N56" s="250">
        <v>7.6742459016393454</v>
      </c>
      <c r="O56" s="660"/>
      <c r="P56" s="251">
        <f t="shared" si="9"/>
        <v>-0.6645352886587258</v>
      </c>
      <c r="Q56" s="250">
        <v>19.711165834165836</v>
      </c>
      <c r="R56" s="660"/>
      <c r="S56" s="251">
        <f t="shared" si="10"/>
        <v>1.5684824394218599</v>
      </c>
      <c r="T56" s="250">
        <v>22.876462537462544</v>
      </c>
      <c r="U56" s="660"/>
      <c r="V56" s="253">
        <f t="shared" si="11"/>
        <v>0.16058394160583961</v>
      </c>
    </row>
    <row r="57" spans="1:22" ht="15.75">
      <c r="A57" s="41"/>
      <c r="B57" s="247"/>
      <c r="C57" s="141" t="s">
        <v>186</v>
      </c>
      <c r="D57" s="245"/>
      <c r="E57" s="245"/>
      <c r="F57" s="245"/>
      <c r="G57" s="245"/>
      <c r="H57" s="246" t="s">
        <v>190</v>
      </c>
      <c r="I57" s="429">
        <f>'Budget-ADA'!I57</f>
        <v>0</v>
      </c>
      <c r="J57" s="660"/>
      <c r="K57" s="256">
        <f>'Budget-ADA'!K57</f>
        <v>0</v>
      </c>
      <c r="L57" s="660"/>
      <c r="M57" s="252" t="str">
        <f>'Budget-ADA'!M57</f>
        <v xml:space="preserve"> </v>
      </c>
      <c r="N57" s="250"/>
      <c r="O57" s="660"/>
      <c r="P57" s="251" t="str">
        <f t="shared" si="9"/>
        <v xml:space="preserve"> </v>
      </c>
      <c r="Q57" s="250"/>
      <c r="R57" s="660"/>
      <c r="S57" s="251" t="str">
        <f t="shared" si="10"/>
        <v xml:space="preserve"> </v>
      </c>
      <c r="T57" s="250"/>
      <c r="U57" s="660"/>
      <c r="V57" s="253" t="str">
        <f t="shared" si="11"/>
        <v xml:space="preserve"> </v>
      </c>
    </row>
    <row r="58" spans="1:22" ht="15.75">
      <c r="A58" s="41"/>
      <c r="B58" s="247"/>
      <c r="C58" s="248" t="s">
        <v>187</v>
      </c>
      <c r="D58" s="245"/>
      <c r="E58" s="245"/>
      <c r="F58" s="245"/>
      <c r="G58" s="245"/>
      <c r="H58" s="246" t="s">
        <v>191</v>
      </c>
      <c r="I58" s="429">
        <f>'Budget-ADA'!I58</f>
        <v>0</v>
      </c>
      <c r="J58" s="660"/>
      <c r="K58" s="256">
        <f>'Budget-ADA'!K58</f>
        <v>0</v>
      </c>
      <c r="L58" s="660"/>
      <c r="M58" s="252" t="str">
        <f>'Budget-ADA'!M58</f>
        <v xml:space="preserve"> </v>
      </c>
      <c r="N58" s="250"/>
      <c r="O58" s="660"/>
      <c r="P58" s="251" t="str">
        <f t="shared" si="9"/>
        <v xml:space="preserve"> </v>
      </c>
      <c r="Q58" s="250"/>
      <c r="R58" s="660"/>
      <c r="S58" s="251" t="str">
        <f t="shared" si="10"/>
        <v xml:space="preserve"> </v>
      </c>
      <c r="T58" s="250"/>
      <c r="U58" s="660"/>
      <c r="V58" s="253" t="str">
        <f t="shared" si="11"/>
        <v xml:space="preserve"> </v>
      </c>
    </row>
    <row r="59" spans="1:22" ht="15.75">
      <c r="A59" s="41"/>
      <c r="B59" s="247"/>
      <c r="C59" s="141" t="s">
        <v>188</v>
      </c>
      <c r="D59" s="245"/>
      <c r="E59" s="245"/>
      <c r="F59" s="245"/>
      <c r="G59" s="245"/>
      <c r="H59" s="246" t="s">
        <v>192</v>
      </c>
      <c r="I59" s="429">
        <f>'Budget-ADA'!I59</f>
        <v>0</v>
      </c>
      <c r="J59" s="660"/>
      <c r="K59" s="256">
        <f>'Budget-ADA'!K59</f>
        <v>0</v>
      </c>
      <c r="L59" s="660"/>
      <c r="M59" s="252" t="str">
        <f>'Budget-ADA'!M59</f>
        <v xml:space="preserve"> </v>
      </c>
      <c r="N59" s="250"/>
      <c r="O59" s="660"/>
      <c r="P59" s="251" t="str">
        <f t="shared" si="9"/>
        <v xml:space="preserve"> </v>
      </c>
      <c r="Q59" s="250"/>
      <c r="R59" s="660"/>
      <c r="S59" s="251" t="str">
        <f t="shared" si="10"/>
        <v xml:space="preserve"> </v>
      </c>
      <c r="T59" s="250"/>
      <c r="U59" s="660"/>
      <c r="V59" s="253" t="str">
        <f t="shared" si="11"/>
        <v xml:space="preserve"> </v>
      </c>
    </row>
    <row r="60" spans="1:22" ht="18.75" customHeight="1">
      <c r="A60" s="68"/>
      <c r="B60" s="1671" t="s">
        <v>364</v>
      </c>
      <c r="C60" s="1672"/>
      <c r="D60" s="1672"/>
      <c r="E60" s="1672"/>
      <c r="F60" s="1672"/>
      <c r="G60" s="1673"/>
      <c r="H60" s="246" t="s">
        <v>193</v>
      </c>
      <c r="I60" s="429">
        <f>'Budget-ADA'!I60</f>
        <v>47.87</v>
      </c>
      <c r="J60" s="255">
        <f>IF(('Budget-ADA'!J60="Cell G10 CANNOT be blank"), "Missing Data, BUDGET-ADA Tab, cell G10",'Budget-ADA'!J60)</f>
        <v>0</v>
      </c>
      <c r="K60" s="256">
        <f>'Budget-ADA'!K60</f>
        <v>143.87712287712287</v>
      </c>
      <c r="L60" s="444">
        <f>IF(('Budget-ADA'!L60="Cell G10 CANNOT be blank"), "Missing Data, BUDGET-ADA Tab, cell G10",'Budget-ADA'!L60)</f>
        <v>0</v>
      </c>
      <c r="M60" s="443">
        <f>'Budget-ADA'!M60</f>
        <v>2.0055801729083531</v>
      </c>
      <c r="N60" s="254">
        <f>N52+N54+N56+N58</f>
        <v>56.016393442622956</v>
      </c>
      <c r="O60" s="660"/>
      <c r="P60" s="252">
        <f t="shared" si="9"/>
        <v>-0.61066504304187874</v>
      </c>
      <c r="Q60" s="254">
        <f>Q52+Q54+Q56+Q58</f>
        <v>143.87712287712287</v>
      </c>
      <c r="R60" s="660"/>
      <c r="S60" s="252">
        <f t="shared" si="10"/>
        <v>1.5684824394218597</v>
      </c>
      <c r="T60" s="254">
        <f>T52+T54+T56+T58</f>
        <v>143.87712287712287</v>
      </c>
      <c r="U60" s="660"/>
      <c r="V60" s="436">
        <f t="shared" si="11"/>
        <v>0</v>
      </c>
    </row>
    <row r="61" spans="1:22" ht="15.75">
      <c r="A61" s="68"/>
      <c r="B61" s="1671" t="s">
        <v>365</v>
      </c>
      <c r="C61" s="1672"/>
      <c r="D61" s="1672"/>
      <c r="E61" s="1672"/>
      <c r="F61" s="1672"/>
      <c r="G61" s="1673"/>
      <c r="H61" s="246" t="s">
        <v>194</v>
      </c>
      <c r="I61" s="429">
        <f>'Budget-ADA'!I61</f>
        <v>0</v>
      </c>
      <c r="J61" s="255">
        <f>'Budget-ADA'!J61</f>
        <v>0</v>
      </c>
      <c r="K61" s="256">
        <f>'Budget-ADA'!K61</f>
        <v>0</v>
      </c>
      <c r="L61" s="444">
        <f>'Budget-ADA'!L61</f>
        <v>0</v>
      </c>
      <c r="M61" s="443" t="str">
        <f>'Budget-ADA'!M61</f>
        <v xml:space="preserve"> </v>
      </c>
      <c r="N61" s="254">
        <f>N53+N55+N57+N59</f>
        <v>0</v>
      </c>
      <c r="O61" s="444">
        <f>N61</f>
        <v>0</v>
      </c>
      <c r="P61" s="252" t="str">
        <f t="shared" si="9"/>
        <v xml:space="preserve"> </v>
      </c>
      <c r="Q61" s="254">
        <f>Q53+Q55+Q57+Q59</f>
        <v>0</v>
      </c>
      <c r="R61" s="444">
        <f>Q61</f>
        <v>0</v>
      </c>
      <c r="S61" s="252" t="str">
        <f t="shared" si="10"/>
        <v xml:space="preserve"> </v>
      </c>
      <c r="T61" s="254">
        <f>T53+T55+T57+T59</f>
        <v>0</v>
      </c>
      <c r="U61" s="444">
        <f>T61</f>
        <v>0</v>
      </c>
      <c r="V61" s="436" t="str">
        <f t="shared" si="11"/>
        <v xml:space="preserve"> </v>
      </c>
    </row>
    <row r="62" spans="1:22" ht="47.25" customHeight="1">
      <c r="A62" s="68"/>
      <c r="B62" s="1671" t="s">
        <v>362</v>
      </c>
      <c r="C62" s="1672"/>
      <c r="D62" s="1672"/>
      <c r="E62" s="1672"/>
      <c r="F62" s="1672"/>
      <c r="G62" s="1673"/>
      <c r="H62" s="246" t="s">
        <v>361</v>
      </c>
      <c r="I62" s="429">
        <f>'Budget-ADA'!I62</f>
        <v>47.87</v>
      </c>
      <c r="J62" s="444">
        <f>'Budget-ADA'!J62</f>
        <v>47.87</v>
      </c>
      <c r="K62" s="256">
        <f>'Budget-ADA'!K62</f>
        <v>143.87712287712287</v>
      </c>
      <c r="L62" s="444">
        <f>'Budget-ADA'!L62</f>
        <v>143.87712287712287</v>
      </c>
      <c r="M62" s="252">
        <f>'Budget-ADA'!M62</f>
        <v>2.0055801729083531</v>
      </c>
      <c r="N62" s="254">
        <f>N60-N61</f>
        <v>56.016393442622956</v>
      </c>
      <c r="O62" s="444">
        <f>IF($G$10="","Cell G10 CANNOT be blank",N62*$G$10)</f>
        <v>56.016393442622956</v>
      </c>
      <c r="P62" s="252">
        <f t="shared" si="9"/>
        <v>-0.61066504304187874</v>
      </c>
      <c r="Q62" s="256">
        <f>Q60-Q61</f>
        <v>143.87712287712287</v>
      </c>
      <c r="R62" s="444">
        <f>IF($G$10="","Cell G10 CANNOT be blank",Q62*$G$10)</f>
        <v>143.87712287712287</v>
      </c>
      <c r="S62" s="252">
        <f t="shared" si="10"/>
        <v>1.5684824394218597</v>
      </c>
      <c r="T62" s="256">
        <f>T60-T61</f>
        <v>143.87712287712287</v>
      </c>
      <c r="U62" s="444">
        <f>IF($G$10="","Cell G10 CANNOT be blank",T62*$G$10)</f>
        <v>143.87712287712287</v>
      </c>
      <c r="V62" s="436">
        <f t="shared" si="11"/>
        <v>0</v>
      </c>
    </row>
    <row r="63" spans="1:22" ht="15.75">
      <c r="A63" s="41"/>
      <c r="B63" s="437"/>
      <c r="C63" s="437"/>
      <c r="D63" s="437"/>
      <c r="E63" s="437"/>
      <c r="F63" s="437"/>
      <c r="G63" s="437"/>
      <c r="H63" s="564"/>
      <c r="I63" s="92"/>
      <c r="J63" s="38"/>
      <c r="K63" s="92"/>
      <c r="L63" s="38"/>
      <c r="M63" s="573"/>
      <c r="N63" s="92"/>
      <c r="O63" s="38"/>
      <c r="P63" s="38"/>
      <c r="Q63" s="92"/>
      <c r="R63" s="38"/>
      <c r="S63" s="38"/>
      <c r="T63" s="92"/>
      <c r="U63" s="38"/>
      <c r="V63" s="238"/>
    </row>
    <row r="64" spans="1:22" ht="15.75">
      <c r="A64" s="108" t="s">
        <v>183</v>
      </c>
      <c r="C64" s="243"/>
      <c r="D64" s="244"/>
      <c r="E64" s="244"/>
      <c r="F64" s="244"/>
      <c r="G64" s="244"/>
      <c r="H64" s="563"/>
      <c r="I64" s="440"/>
      <c r="J64" s="243"/>
      <c r="K64" s="440"/>
      <c r="L64" s="243"/>
      <c r="M64" s="572"/>
      <c r="N64" s="440"/>
      <c r="O64" s="243"/>
      <c r="P64" s="243"/>
      <c r="Q64" s="440"/>
      <c r="R64" s="243"/>
      <c r="S64" s="243"/>
      <c r="T64" s="440"/>
      <c r="U64" s="243"/>
      <c r="V64" s="439"/>
    </row>
    <row r="65" spans="1:22" ht="15.75">
      <c r="A65" s="442"/>
      <c r="B65" s="247"/>
      <c r="C65" s="248" t="s">
        <v>171</v>
      </c>
      <c r="D65" s="245"/>
      <c r="E65" s="245"/>
      <c r="F65" s="245"/>
      <c r="G65" s="245"/>
      <c r="H65" s="246" t="s">
        <v>175</v>
      </c>
      <c r="I65" s="429">
        <f>'Budget-ADA'!I65</f>
        <v>374.45524999999998</v>
      </c>
      <c r="J65" s="787"/>
      <c r="K65" s="256">
        <f>'Budget-ADA'!K65</f>
        <v>661.86699999999996</v>
      </c>
      <c r="L65" s="787"/>
      <c r="M65" s="252">
        <f>'Budget-ADA'!M65</f>
        <v>0.76754632229084785</v>
      </c>
      <c r="N65" s="256">
        <f t="shared" ref="N65:N72" si="12">N12+N26+N39+N52</f>
        <v>440.13000000000005</v>
      </c>
      <c r="O65" s="787"/>
      <c r="P65" s="251">
        <f t="shared" ref="P65:P75" si="13">IF(K65&lt;1," ",IF(N65&lt;1," ",(N65-K65)/K65))</f>
        <v>-0.33501745819024054</v>
      </c>
      <c r="Q65" s="256">
        <f t="shared" ref="Q65:Q72" si="14">Q12+Q26+Q39+Q52</f>
        <v>675.96381318681324</v>
      </c>
      <c r="R65" s="787"/>
      <c r="S65" s="251">
        <f t="shared" ref="S65:S75" si="15">IF(N65&lt;1," ",IF(Q65&lt;1," ",(Q65-N65)/N65))</f>
        <v>0.53582762635315284</v>
      </c>
      <c r="T65" s="256">
        <f t="shared" ref="T65:T72" si="16">T12+T26+T39+T52</f>
        <v>672.79851648351655</v>
      </c>
      <c r="U65" s="787"/>
      <c r="V65" s="253">
        <f t="shared" ref="V65:V75" si="17">IF(Q65&lt;1," ",IF(T65&lt;1," ",(T65-Q65)/Q65))</f>
        <v>-4.6826422384564992E-3</v>
      </c>
    </row>
    <row r="66" spans="1:22" ht="15.75">
      <c r="A66" s="41"/>
      <c r="B66" s="247"/>
      <c r="C66" s="141" t="s">
        <v>184</v>
      </c>
      <c r="D66" s="245"/>
      <c r="E66" s="245"/>
      <c r="F66" s="245"/>
      <c r="G66" s="245"/>
      <c r="H66" s="246" t="s">
        <v>176</v>
      </c>
      <c r="I66" s="429">
        <f>'Budget-ADA'!I66</f>
        <v>0</v>
      </c>
      <c r="J66" s="660"/>
      <c r="K66" s="256">
        <f>'Budget-ADA'!K66</f>
        <v>0</v>
      </c>
      <c r="L66" s="660"/>
      <c r="M66" s="252" t="str">
        <f>'Budget-ADA'!M66</f>
        <v xml:space="preserve"> </v>
      </c>
      <c r="N66" s="256">
        <f t="shared" si="12"/>
        <v>0</v>
      </c>
      <c r="O66" s="660"/>
      <c r="P66" s="251" t="str">
        <f t="shared" si="13"/>
        <v xml:space="preserve"> </v>
      </c>
      <c r="Q66" s="256">
        <f t="shared" si="14"/>
        <v>0</v>
      </c>
      <c r="R66" s="660"/>
      <c r="S66" s="251" t="str">
        <f t="shared" si="15"/>
        <v xml:space="preserve"> </v>
      </c>
      <c r="T66" s="256">
        <f t="shared" si="16"/>
        <v>0</v>
      </c>
      <c r="U66" s="660"/>
      <c r="V66" s="253" t="str">
        <f t="shared" si="17"/>
        <v xml:space="preserve"> </v>
      </c>
    </row>
    <row r="67" spans="1:22" ht="15.75">
      <c r="A67" s="41"/>
      <c r="B67" s="247"/>
      <c r="C67" s="248" t="s">
        <v>172</v>
      </c>
      <c r="D67" s="245"/>
      <c r="E67" s="245"/>
      <c r="F67" s="245"/>
      <c r="G67" s="245"/>
      <c r="H67" s="246" t="s">
        <v>177</v>
      </c>
      <c r="I67" s="429">
        <f>'Budget-ADA'!I67</f>
        <v>0</v>
      </c>
      <c r="J67" s="660"/>
      <c r="K67" s="256">
        <f>'Budget-ADA'!K67</f>
        <v>0</v>
      </c>
      <c r="L67" s="660"/>
      <c r="M67" s="252" t="str">
        <f>'Budget-ADA'!M67</f>
        <v xml:space="preserve"> </v>
      </c>
      <c r="N67" s="256">
        <f t="shared" si="12"/>
        <v>0</v>
      </c>
      <c r="O67" s="660"/>
      <c r="P67" s="251" t="str">
        <f t="shared" si="13"/>
        <v xml:space="preserve"> </v>
      </c>
      <c r="Q67" s="256">
        <f t="shared" si="14"/>
        <v>0</v>
      </c>
      <c r="R67" s="660"/>
      <c r="S67" s="251" t="str">
        <f t="shared" si="15"/>
        <v xml:space="preserve"> </v>
      </c>
      <c r="T67" s="256">
        <f t="shared" si="16"/>
        <v>0</v>
      </c>
      <c r="U67" s="660"/>
      <c r="V67" s="253" t="str">
        <f t="shared" si="17"/>
        <v xml:space="preserve"> </v>
      </c>
    </row>
    <row r="68" spans="1:22" ht="15.75">
      <c r="A68" s="41"/>
      <c r="B68" s="247"/>
      <c r="C68" s="141" t="s">
        <v>185</v>
      </c>
      <c r="D68" s="245"/>
      <c r="E68" s="245"/>
      <c r="F68" s="245"/>
      <c r="G68" s="245"/>
      <c r="H68" s="246" t="s">
        <v>178</v>
      </c>
      <c r="I68" s="429">
        <f>'Budget-ADA'!I68</f>
        <v>0</v>
      </c>
      <c r="J68" s="660"/>
      <c r="K68" s="256">
        <f>'Budget-ADA'!K68</f>
        <v>0</v>
      </c>
      <c r="L68" s="660"/>
      <c r="M68" s="252" t="str">
        <f>'Budget-ADA'!M68</f>
        <v xml:space="preserve"> </v>
      </c>
      <c r="N68" s="256">
        <f t="shared" si="12"/>
        <v>0</v>
      </c>
      <c r="O68" s="660"/>
      <c r="P68" s="251" t="str">
        <f t="shared" si="13"/>
        <v xml:space="preserve"> </v>
      </c>
      <c r="Q68" s="256">
        <f t="shared" si="14"/>
        <v>0</v>
      </c>
      <c r="R68" s="660"/>
      <c r="S68" s="251" t="str">
        <f t="shared" si="15"/>
        <v xml:space="preserve"> </v>
      </c>
      <c r="T68" s="256">
        <f t="shared" si="16"/>
        <v>0</v>
      </c>
      <c r="U68" s="660"/>
      <c r="V68" s="253" t="str">
        <f t="shared" si="17"/>
        <v xml:space="preserve"> </v>
      </c>
    </row>
    <row r="69" spans="1:22" ht="15.75">
      <c r="A69" s="41"/>
      <c r="B69" s="247"/>
      <c r="C69" s="248" t="s">
        <v>173</v>
      </c>
      <c r="D69" s="245"/>
      <c r="E69" s="245"/>
      <c r="F69" s="245"/>
      <c r="G69" s="245"/>
      <c r="H69" s="246" t="s">
        <v>179</v>
      </c>
      <c r="I69" s="429">
        <f>'Budget-ADA'!I69</f>
        <v>70.794750000000022</v>
      </c>
      <c r="J69" s="660"/>
      <c r="K69" s="256">
        <f>'Budget-ADA'!K69</f>
        <v>125.133</v>
      </c>
      <c r="L69" s="660"/>
      <c r="M69" s="252">
        <f>'Budget-ADA'!M69</f>
        <v>0.76754632229084718</v>
      </c>
      <c r="N69" s="256">
        <f t="shared" si="12"/>
        <v>69.87</v>
      </c>
      <c r="O69" s="660"/>
      <c r="P69" s="251">
        <f t="shared" si="13"/>
        <v>-0.44163410131619951</v>
      </c>
      <c r="Q69" s="256">
        <f t="shared" si="14"/>
        <v>111.03618681318683</v>
      </c>
      <c r="R69" s="660"/>
      <c r="S69" s="251">
        <f t="shared" si="15"/>
        <v>0.58918257926415951</v>
      </c>
      <c r="T69" s="256">
        <f t="shared" si="16"/>
        <v>114.20148351648353</v>
      </c>
      <c r="U69" s="660"/>
      <c r="V69" s="253">
        <f t="shared" si="17"/>
        <v>2.8506893060207185E-2</v>
      </c>
    </row>
    <row r="70" spans="1:22" ht="15.75">
      <c r="A70" s="108"/>
      <c r="B70" s="247"/>
      <c r="C70" s="141" t="s">
        <v>186</v>
      </c>
      <c r="D70" s="245"/>
      <c r="E70" s="245"/>
      <c r="F70" s="245"/>
      <c r="G70" s="245"/>
      <c r="H70" s="246" t="s">
        <v>190</v>
      </c>
      <c r="I70" s="429">
        <f>'Budget-ADA'!I70</f>
        <v>0</v>
      </c>
      <c r="J70" s="660"/>
      <c r="K70" s="256">
        <f>'Budget-ADA'!K70</f>
        <v>0</v>
      </c>
      <c r="L70" s="660"/>
      <c r="M70" s="252" t="str">
        <f>'Budget-ADA'!M70</f>
        <v xml:space="preserve"> </v>
      </c>
      <c r="N70" s="256">
        <f t="shared" si="12"/>
        <v>0</v>
      </c>
      <c r="O70" s="660"/>
      <c r="P70" s="251" t="str">
        <f t="shared" si="13"/>
        <v xml:space="preserve"> </v>
      </c>
      <c r="Q70" s="256">
        <f t="shared" si="14"/>
        <v>0</v>
      </c>
      <c r="R70" s="660"/>
      <c r="S70" s="251" t="str">
        <f t="shared" si="15"/>
        <v xml:space="preserve"> </v>
      </c>
      <c r="T70" s="256">
        <f t="shared" si="16"/>
        <v>0</v>
      </c>
      <c r="U70" s="660"/>
      <c r="V70" s="253" t="str">
        <f t="shared" si="17"/>
        <v xml:space="preserve"> </v>
      </c>
    </row>
    <row r="71" spans="1:22" ht="15.75">
      <c r="A71" s="108"/>
      <c r="B71" s="247"/>
      <c r="C71" s="248" t="s">
        <v>187</v>
      </c>
      <c r="D71" s="245"/>
      <c r="E71" s="245"/>
      <c r="F71" s="245"/>
      <c r="G71" s="245"/>
      <c r="H71" s="246" t="s">
        <v>191</v>
      </c>
      <c r="I71" s="429">
        <f>'Budget-ADA'!I71</f>
        <v>0</v>
      </c>
      <c r="J71" s="660"/>
      <c r="K71" s="256">
        <f>'Budget-ADA'!K71</f>
        <v>0</v>
      </c>
      <c r="L71" s="660"/>
      <c r="M71" s="252" t="str">
        <f>'Budget-ADA'!M71</f>
        <v xml:space="preserve"> </v>
      </c>
      <c r="N71" s="256">
        <f t="shared" si="12"/>
        <v>0</v>
      </c>
      <c r="O71" s="660"/>
      <c r="P71" s="251" t="str">
        <f t="shared" si="13"/>
        <v xml:space="preserve"> </v>
      </c>
      <c r="Q71" s="256">
        <f t="shared" si="14"/>
        <v>0</v>
      </c>
      <c r="R71" s="660"/>
      <c r="S71" s="251" t="str">
        <f t="shared" si="15"/>
        <v xml:space="preserve"> </v>
      </c>
      <c r="T71" s="256">
        <f t="shared" si="16"/>
        <v>0</v>
      </c>
      <c r="U71" s="660"/>
      <c r="V71" s="253" t="str">
        <f t="shared" si="17"/>
        <v xml:space="preserve"> </v>
      </c>
    </row>
    <row r="72" spans="1:22" ht="15.75">
      <c r="A72" s="108"/>
      <c r="B72" s="247"/>
      <c r="C72" s="141" t="s">
        <v>188</v>
      </c>
      <c r="D72" s="245"/>
      <c r="E72" s="245"/>
      <c r="F72" s="245"/>
      <c r="G72" s="245"/>
      <c r="H72" s="246" t="s">
        <v>192</v>
      </c>
      <c r="I72" s="429">
        <f>'Budget-ADA'!I72</f>
        <v>0</v>
      </c>
      <c r="J72" s="660"/>
      <c r="K72" s="256">
        <f>'Budget-ADA'!K72</f>
        <v>0</v>
      </c>
      <c r="L72" s="660"/>
      <c r="M72" s="443" t="str">
        <f>'Budget-ADA'!M72</f>
        <v xml:space="preserve"> </v>
      </c>
      <c r="N72" s="256">
        <f t="shared" si="12"/>
        <v>0</v>
      </c>
      <c r="O72" s="660"/>
      <c r="P72" s="251" t="str">
        <f t="shared" si="13"/>
        <v xml:space="preserve"> </v>
      </c>
      <c r="Q72" s="256">
        <f t="shared" si="14"/>
        <v>0</v>
      </c>
      <c r="R72" s="660"/>
      <c r="S72" s="251" t="str">
        <f t="shared" si="15"/>
        <v xml:space="preserve"> </v>
      </c>
      <c r="T72" s="256">
        <f t="shared" si="16"/>
        <v>0</v>
      </c>
      <c r="U72" s="660"/>
      <c r="V72" s="253" t="str">
        <f t="shared" si="17"/>
        <v xml:space="preserve"> </v>
      </c>
    </row>
    <row r="73" spans="1:22" ht="18.75" customHeight="1">
      <c r="A73" s="68"/>
      <c r="B73" s="1671" t="s">
        <v>364</v>
      </c>
      <c r="C73" s="1672"/>
      <c r="D73" s="1672"/>
      <c r="E73" s="1672"/>
      <c r="F73" s="1672"/>
      <c r="G73" s="1673"/>
      <c r="H73" s="246" t="s">
        <v>193</v>
      </c>
      <c r="I73" s="429">
        <f>'Budget-ADA'!I73</f>
        <v>445.25</v>
      </c>
      <c r="J73" s="255">
        <f>IF(('Budget-ADA'!J73="Cell G10 CANNOT be blank"), "Missing Data, BUDGET-ADA Tab, cell G10",'Budget-ADA'!J73)</f>
        <v>0</v>
      </c>
      <c r="K73" s="256">
        <f>'Budget-ADA'!K73</f>
        <v>787</v>
      </c>
      <c r="L73" s="444">
        <f>IF(('Budget-ADA'!L73="Cell G10 CANNOT be blank"), "Missing Data, BUDGET-ADA Tab, cell G10",'Budget-ADA'!L73)</f>
        <v>0</v>
      </c>
      <c r="M73" s="443">
        <f>'Budget-ADA'!M73</f>
        <v>0.76754632229084785</v>
      </c>
      <c r="N73" s="254">
        <f>N65+N67+N69+N71</f>
        <v>510.00000000000006</v>
      </c>
      <c r="O73" s="660"/>
      <c r="P73" s="252">
        <f t="shared" si="13"/>
        <v>-0.35196950444726804</v>
      </c>
      <c r="Q73" s="254">
        <f>Q65+Q67+Q69+Q71</f>
        <v>787.00000000000011</v>
      </c>
      <c r="R73" s="660"/>
      <c r="S73" s="252">
        <f t="shared" si="15"/>
        <v>0.54313725490196085</v>
      </c>
      <c r="T73" s="254">
        <f>T65+T67+T69+T71</f>
        <v>787.00000000000011</v>
      </c>
      <c r="U73" s="660"/>
      <c r="V73" s="436">
        <f t="shared" si="17"/>
        <v>0</v>
      </c>
    </row>
    <row r="74" spans="1:22" ht="15.75">
      <c r="A74" s="68"/>
      <c r="B74" s="1671" t="s">
        <v>365</v>
      </c>
      <c r="C74" s="1672"/>
      <c r="D74" s="1672"/>
      <c r="E74" s="1672"/>
      <c r="F74" s="1672"/>
      <c r="G74" s="1673"/>
      <c r="H74" s="246" t="s">
        <v>194</v>
      </c>
      <c r="I74" s="429">
        <f>'Budget-ADA'!I74</f>
        <v>0</v>
      </c>
      <c r="J74" s="255">
        <f>'Budget-ADA'!J74</f>
        <v>0</v>
      </c>
      <c r="K74" s="256">
        <f>'Budget-ADA'!K74</f>
        <v>0</v>
      </c>
      <c r="L74" s="444">
        <f>'Budget-ADA'!L74</f>
        <v>0</v>
      </c>
      <c r="M74" s="443" t="str">
        <f>'Budget-ADA'!M74</f>
        <v xml:space="preserve"> </v>
      </c>
      <c r="N74" s="254">
        <f>N66+N68+N70+N72</f>
        <v>0</v>
      </c>
      <c r="O74" s="444">
        <f>N74</f>
        <v>0</v>
      </c>
      <c r="P74" s="252" t="str">
        <f t="shared" si="13"/>
        <v xml:space="preserve"> </v>
      </c>
      <c r="Q74" s="254">
        <f>Q66+Q68+Q70+Q72</f>
        <v>0</v>
      </c>
      <c r="R74" s="444">
        <f>Q74</f>
        <v>0</v>
      </c>
      <c r="S74" s="252" t="str">
        <f t="shared" si="15"/>
        <v xml:space="preserve"> </v>
      </c>
      <c r="T74" s="254">
        <f>T66+T68+T70+T72</f>
        <v>0</v>
      </c>
      <c r="U74" s="444">
        <f>T74</f>
        <v>0</v>
      </c>
      <c r="V74" s="436" t="str">
        <f t="shared" si="17"/>
        <v xml:space="preserve"> </v>
      </c>
    </row>
    <row r="75" spans="1:22" ht="47.25" customHeight="1">
      <c r="A75" s="68"/>
      <c r="B75" s="1671" t="s">
        <v>362</v>
      </c>
      <c r="C75" s="1672"/>
      <c r="D75" s="1672"/>
      <c r="E75" s="1672"/>
      <c r="F75" s="1672"/>
      <c r="G75" s="1673"/>
      <c r="H75" s="246" t="s">
        <v>361</v>
      </c>
      <c r="I75" s="429">
        <f>'Budget-ADA'!I75</f>
        <v>445.25</v>
      </c>
      <c r="J75" s="444">
        <f>'Budget-ADA'!J75</f>
        <v>445.25</v>
      </c>
      <c r="K75" s="256">
        <f>'Budget-ADA'!K75</f>
        <v>787</v>
      </c>
      <c r="L75" s="444">
        <f>'Budget-ADA'!L75</f>
        <v>787</v>
      </c>
      <c r="M75" s="252">
        <f>'Budget-ADA'!M75</f>
        <v>0.76754632229084785</v>
      </c>
      <c r="N75" s="254">
        <f>N73-N74</f>
        <v>510.00000000000006</v>
      </c>
      <c r="O75" s="444">
        <f>IF($G$10="","Cell G10 CANNOT be blank",N75*$G$10)</f>
        <v>510.00000000000006</v>
      </c>
      <c r="P75" s="252">
        <f t="shared" si="13"/>
        <v>-0.35196950444726804</v>
      </c>
      <c r="Q75" s="256">
        <f>Q73-Q74</f>
        <v>787.00000000000011</v>
      </c>
      <c r="R75" s="444">
        <f>IF($G$10="","Cell G10 CANNOT be blank",Q75*$G$10)</f>
        <v>787.00000000000011</v>
      </c>
      <c r="S75" s="252">
        <f t="shared" si="15"/>
        <v>0.54313725490196085</v>
      </c>
      <c r="T75" s="256">
        <f>T73-T74</f>
        <v>787.00000000000011</v>
      </c>
      <c r="U75" s="444">
        <f>IF($G$10="","Cell G10 CANNOT be blank",T75*$G$10)</f>
        <v>787.00000000000011</v>
      </c>
      <c r="V75" s="436">
        <f t="shared" si="17"/>
        <v>0</v>
      </c>
    </row>
    <row r="76" spans="1:22" ht="17.25" customHeight="1" thickBot="1">
      <c r="A76" s="240"/>
      <c r="B76" s="1692" t="s">
        <v>363</v>
      </c>
      <c r="C76" s="1693"/>
      <c r="D76" s="1693"/>
      <c r="E76" s="1693"/>
      <c r="F76" s="1693"/>
      <c r="G76" s="1694"/>
      <c r="H76" s="577"/>
      <c r="I76" s="1016">
        <f>'Budget-ADA'!I76</f>
        <v>0</v>
      </c>
      <c r="J76" s="241">
        <f>'Budget-ADA'!J76</f>
        <v>445.25</v>
      </c>
      <c r="K76" s="1017">
        <f>'Budget-ADA'!K76</f>
        <v>0</v>
      </c>
      <c r="L76" s="575">
        <f>'Budget-ADA'!L76</f>
        <v>787</v>
      </c>
      <c r="M76" s="1014"/>
      <c r="N76" s="1011"/>
      <c r="O76" s="1013">
        <f>O74+O75</f>
        <v>510.00000000000006</v>
      </c>
      <c r="P76" s="1014"/>
      <c r="Q76" s="1011"/>
      <c r="R76" s="1013">
        <f>R74+R75</f>
        <v>787.00000000000011</v>
      </c>
      <c r="S76" s="1014"/>
      <c r="T76" s="1011"/>
      <c r="U76" s="1013">
        <f>U74+U75</f>
        <v>787.00000000000011</v>
      </c>
      <c r="V76" s="1015"/>
    </row>
    <row r="77" spans="1:22" ht="15.75">
      <c r="A77" s="38"/>
      <c r="B77" s="107"/>
      <c r="C77" s="34"/>
      <c r="D77" s="34"/>
      <c r="E77" s="34"/>
      <c r="F77" s="34"/>
      <c r="G77" s="34"/>
      <c r="H77" s="38"/>
      <c r="I77" s="228"/>
      <c r="J77" s="228"/>
      <c r="K77" s="228"/>
      <c r="L77" s="228"/>
      <c r="M77" s="228"/>
      <c r="N77" s="228"/>
      <c r="O77" s="228"/>
      <c r="P77" s="228"/>
      <c r="Q77" s="228"/>
      <c r="R77" s="228"/>
      <c r="S77" s="228"/>
      <c r="T77" s="228"/>
      <c r="U77" s="228"/>
    </row>
    <row r="78" spans="1:22" ht="21.75" customHeight="1">
      <c r="A78" s="574" t="s">
        <v>198</v>
      </c>
      <c r="B78" s="574"/>
      <c r="C78" s="228"/>
      <c r="D78" s="228"/>
      <c r="E78" s="228"/>
      <c r="F78" s="228"/>
      <c r="G78" s="228"/>
      <c r="H78" s="228"/>
      <c r="I78" s="6"/>
      <c r="J78" s="6"/>
      <c r="K78" s="6"/>
      <c r="L78" s="6"/>
      <c r="M78" s="6"/>
      <c r="N78" s="6"/>
      <c r="O78" s="6"/>
      <c r="P78" s="6"/>
      <c r="Q78" s="6"/>
      <c r="R78" s="6"/>
      <c r="S78" s="6"/>
      <c r="T78" s="6"/>
    </row>
    <row r="79" spans="1:22">
      <c r="A79" s="6"/>
      <c r="B79" s="6"/>
      <c r="C79" s="6"/>
      <c r="D79" s="6"/>
      <c r="E79" s="6"/>
      <c r="F79" s="6"/>
      <c r="G79" s="6"/>
      <c r="H79" s="6"/>
      <c r="I79" s="6"/>
      <c r="J79" s="6"/>
      <c r="K79" s="6"/>
      <c r="L79" s="6"/>
      <c r="M79" s="6"/>
      <c r="N79" s="6"/>
      <c r="O79" s="6"/>
      <c r="P79" s="6"/>
      <c r="Q79" s="6"/>
      <c r="R79" s="6"/>
      <c r="S79" s="6"/>
      <c r="T79" s="6"/>
    </row>
    <row r="80" spans="1:22">
      <c r="A80" s="6"/>
      <c r="B80" s="6"/>
      <c r="C80" s="6"/>
      <c r="D80" s="6"/>
      <c r="E80" s="6"/>
      <c r="F80" s="6"/>
      <c r="G80" s="6"/>
      <c r="H80" s="6"/>
      <c r="I80" s="6"/>
      <c r="J80" s="6"/>
      <c r="K80" s="6"/>
      <c r="L80" s="6"/>
      <c r="M80" s="6"/>
      <c r="N80" s="6"/>
      <c r="O80" s="6"/>
      <c r="P80" s="6"/>
      <c r="Q80" s="6"/>
      <c r="R80" s="6"/>
      <c r="S80" s="6"/>
      <c r="T80" s="6"/>
    </row>
    <row r="81" spans="1:20">
      <c r="A81" s="6"/>
      <c r="B81" s="6"/>
      <c r="C81" s="6"/>
      <c r="D81" s="6"/>
      <c r="E81" s="6"/>
      <c r="F81" s="6"/>
      <c r="G81" s="6"/>
      <c r="H81" s="6"/>
      <c r="I81" s="6"/>
      <c r="J81" s="6"/>
      <c r="K81" s="6"/>
      <c r="L81" s="6"/>
      <c r="M81" s="6"/>
      <c r="N81" s="6"/>
      <c r="O81" s="6"/>
      <c r="P81" s="6"/>
      <c r="Q81" s="6"/>
      <c r="R81" s="6"/>
      <c r="S81" s="6"/>
      <c r="T81" s="6"/>
    </row>
    <row r="82" spans="1:20">
      <c r="A82" s="6"/>
      <c r="B82" s="6"/>
      <c r="C82" s="6"/>
      <c r="D82" s="6"/>
      <c r="E82" s="6"/>
      <c r="F82" s="6"/>
      <c r="G82" s="6"/>
      <c r="H82" s="6"/>
      <c r="I82" s="6"/>
      <c r="J82" s="6"/>
      <c r="K82" s="6"/>
      <c r="L82" s="6"/>
      <c r="M82" s="6"/>
      <c r="N82" s="6"/>
      <c r="O82" s="6"/>
      <c r="P82" s="6"/>
      <c r="Q82" s="6"/>
      <c r="R82" s="6"/>
      <c r="S82" s="6"/>
      <c r="T82" s="6"/>
    </row>
    <row r="83" spans="1:20">
      <c r="A83" s="6"/>
      <c r="B83" s="6"/>
      <c r="C83" s="6"/>
      <c r="D83" s="6"/>
      <c r="E83" s="6"/>
      <c r="F83" s="6"/>
      <c r="G83" s="6"/>
      <c r="H83" s="6"/>
      <c r="I83" s="6"/>
      <c r="J83" s="6"/>
      <c r="K83" s="6"/>
      <c r="L83" s="6"/>
      <c r="M83" s="6"/>
      <c r="N83" s="6"/>
      <c r="O83" s="6"/>
      <c r="P83" s="6"/>
      <c r="Q83" s="6"/>
      <c r="R83" s="6"/>
      <c r="S83" s="6"/>
      <c r="T83" s="6"/>
    </row>
    <row r="84" spans="1:20">
      <c r="A84" s="6"/>
      <c r="B84" s="6"/>
      <c r="C84" s="6"/>
      <c r="D84" s="6"/>
      <c r="E84" s="6"/>
      <c r="F84" s="6"/>
      <c r="G84" s="6"/>
      <c r="H84" s="6"/>
      <c r="I84" s="6"/>
      <c r="J84" s="6"/>
      <c r="K84" s="6"/>
      <c r="L84" s="6"/>
      <c r="M84" s="6"/>
      <c r="N84" s="6"/>
      <c r="O84" s="6"/>
      <c r="P84" s="6"/>
      <c r="Q84" s="6"/>
      <c r="R84" s="6"/>
      <c r="S84" s="6"/>
      <c r="T84" s="6"/>
    </row>
    <row r="85" spans="1:20">
      <c r="A85" s="6"/>
      <c r="B85" s="6"/>
      <c r="C85" s="6"/>
      <c r="D85" s="6"/>
      <c r="E85" s="6"/>
      <c r="F85" s="6"/>
      <c r="G85" s="6"/>
      <c r="H85" s="6"/>
      <c r="I85" s="6"/>
      <c r="J85" s="6"/>
      <c r="K85" s="6"/>
      <c r="L85" s="6"/>
      <c r="M85" s="6"/>
      <c r="N85" s="6"/>
      <c r="O85" s="6"/>
      <c r="P85" s="6"/>
      <c r="Q85" s="6"/>
      <c r="R85" s="6"/>
      <c r="S85" s="6"/>
      <c r="T85" s="6"/>
    </row>
    <row r="86" spans="1:20">
      <c r="A86" s="6"/>
      <c r="B86" s="6"/>
      <c r="C86" s="6"/>
      <c r="D86" s="6"/>
      <c r="E86" s="6"/>
      <c r="F86" s="6"/>
      <c r="G86" s="6"/>
      <c r="H86" s="6"/>
      <c r="I86" s="6"/>
      <c r="J86" s="6"/>
      <c r="K86" s="6"/>
      <c r="L86" s="6"/>
      <c r="M86" s="6"/>
      <c r="N86" s="6"/>
      <c r="O86" s="6"/>
      <c r="P86" s="6"/>
      <c r="Q86" s="6"/>
      <c r="R86" s="6"/>
      <c r="S86" s="6"/>
      <c r="T86" s="6"/>
    </row>
    <row r="87" spans="1:20">
      <c r="A87" s="6"/>
      <c r="B87" s="6"/>
      <c r="C87" s="6"/>
      <c r="D87" s="6"/>
      <c r="E87" s="6"/>
      <c r="F87" s="6"/>
      <c r="G87" s="6"/>
      <c r="H87" s="6"/>
      <c r="I87" s="6"/>
      <c r="J87" s="6"/>
      <c r="K87" s="6"/>
      <c r="L87" s="6"/>
      <c r="M87" s="6"/>
      <c r="N87" s="6"/>
      <c r="O87" s="6"/>
      <c r="P87" s="6"/>
      <c r="Q87" s="6"/>
      <c r="R87" s="6"/>
      <c r="S87" s="6"/>
      <c r="T87" s="6"/>
    </row>
    <row r="88" spans="1:20">
      <c r="A88" s="6"/>
      <c r="B88" s="6"/>
      <c r="C88" s="6"/>
      <c r="D88" s="6"/>
      <c r="E88" s="6"/>
      <c r="F88" s="6"/>
      <c r="G88" s="6"/>
      <c r="H88" s="6"/>
    </row>
    <row r="89" spans="1:20">
      <c r="A89" s="6"/>
    </row>
    <row r="90" spans="1:20">
      <c r="A90" s="6"/>
    </row>
    <row r="91" spans="1:20">
      <c r="A91" s="6"/>
    </row>
  </sheetData>
  <sheetProtection password="D94D" sheet="1"/>
  <mergeCells count="26">
    <mergeCell ref="B75:G75"/>
    <mergeCell ref="B76:G76"/>
    <mergeCell ref="B49:G49"/>
    <mergeCell ref="B60:G60"/>
    <mergeCell ref="B61:G61"/>
    <mergeCell ref="B62:G62"/>
    <mergeCell ref="B73:G73"/>
    <mergeCell ref="B74:G74"/>
    <mergeCell ref="B34:G34"/>
    <mergeCell ref="B35:G35"/>
    <mergeCell ref="B36:G36"/>
    <mergeCell ref="B47:G47"/>
    <mergeCell ref="B48:G48"/>
    <mergeCell ref="I1:N1"/>
    <mergeCell ref="I2:N2"/>
    <mergeCell ref="B23:G23"/>
    <mergeCell ref="A7:G8"/>
    <mergeCell ref="V8:V9"/>
    <mergeCell ref="M8:M9"/>
    <mergeCell ref="P8:P9"/>
    <mergeCell ref="S8:S9"/>
    <mergeCell ref="A6:H6"/>
    <mergeCell ref="I7:J7"/>
    <mergeCell ref="B20:G20"/>
    <mergeCell ref="B21:G21"/>
    <mergeCell ref="B22:G22"/>
  </mergeCells>
  <phoneticPr fontId="5" type="noConversion"/>
  <conditionalFormatting sqref="I1:I2">
    <cfRule type="containsText" dxfId="314" priority="316" stopIfTrue="1" operator="containsText" text="Enter">
      <formula>NOT(ISERROR(SEARCH("Enter",I1)))</formula>
    </cfRule>
  </conditionalFormatting>
  <conditionalFormatting sqref="J21">
    <cfRule type="containsText" dxfId="313" priority="312" stopIfTrue="1" operator="containsText" text="Missin">
      <formula>NOT(ISERROR(SEARCH("Missin",J21)))</formula>
    </cfRule>
    <cfRule type="containsText" dxfId="312" priority="313" stopIfTrue="1" operator="containsText" text="Cell G10 CANNOT be blank">
      <formula>NOT(ISERROR(SEARCH("Cell G10 CANNOT be blank",J21)))</formula>
    </cfRule>
  </conditionalFormatting>
  <conditionalFormatting sqref="J20">
    <cfRule type="containsText" dxfId="311" priority="267" stopIfTrue="1" operator="containsText" text="Missin">
      <formula>NOT(ISERROR(SEARCH("Missin",J20)))</formula>
    </cfRule>
    <cfRule type="containsText" dxfId="310" priority="268" stopIfTrue="1" operator="containsText" text="Cell G10 CANNOT be blank">
      <formula>NOT(ISERROR(SEARCH("Cell G10 CANNOT be blank",J20)))</formula>
    </cfRule>
  </conditionalFormatting>
  <conditionalFormatting sqref="L20">
    <cfRule type="containsText" dxfId="309" priority="214" stopIfTrue="1" operator="containsText" text="Missin">
      <formula>NOT(ISERROR(SEARCH("Missin",L20)))</formula>
    </cfRule>
    <cfRule type="containsText" dxfId="308" priority="215" stopIfTrue="1" operator="containsText" text="Cell G10 CANNOT be blank">
      <formula>NOT(ISERROR(SEARCH("Cell G10 CANNOT be blank",L20)))</formula>
    </cfRule>
  </conditionalFormatting>
  <conditionalFormatting sqref="R22">
    <cfRule type="containsText" dxfId="307" priority="89" stopIfTrue="1" operator="containsText" text="Missin">
      <formula>NOT(ISERROR(SEARCH("Missin",R22)))</formula>
    </cfRule>
    <cfRule type="containsText" dxfId="306" priority="90" stopIfTrue="1" operator="containsText" text="Cell G10 CANNOT be blank">
      <formula>NOT(ISERROR(SEARCH("Cell G10 CANNOT be blank",R22)))</formula>
    </cfRule>
  </conditionalFormatting>
  <conditionalFormatting sqref="O22">
    <cfRule type="containsText" dxfId="305" priority="192" stopIfTrue="1" operator="containsText" text="Missin">
      <formula>NOT(ISERROR(SEARCH("Missin",O22)))</formula>
    </cfRule>
    <cfRule type="containsText" dxfId="304" priority="193" stopIfTrue="1" operator="containsText" text="Cell G10 CANNOT be blank">
      <formula>NOT(ISERROR(SEARCH("Cell G10 CANNOT be blank",O22)))</formula>
    </cfRule>
  </conditionalFormatting>
  <conditionalFormatting sqref="L21:L22">
    <cfRule type="containsText" dxfId="303" priority="190" stopIfTrue="1" operator="containsText" text="Missin">
      <formula>NOT(ISERROR(SEARCH("Missin",L21)))</formula>
    </cfRule>
    <cfRule type="containsText" dxfId="302" priority="191" stopIfTrue="1" operator="containsText" text="Cell G10 CANNOT be blank">
      <formula>NOT(ISERROR(SEARCH("Cell G10 CANNOT be blank",L21)))</formula>
    </cfRule>
  </conditionalFormatting>
  <conditionalFormatting sqref="L60">
    <cfRule type="containsText" dxfId="301" priority="45" stopIfTrue="1" operator="containsText" text="Missin">
      <formula>NOT(ISERROR(SEARCH("Missin",L60)))</formula>
    </cfRule>
    <cfRule type="containsText" dxfId="300" priority="46" stopIfTrue="1" operator="containsText" text="Cell G10 CANNOT be blank">
      <formula>NOT(ISERROR(SEARCH("Cell G10 CANNOT be blank",L60)))</formula>
    </cfRule>
  </conditionalFormatting>
  <conditionalFormatting sqref="L61:L62">
    <cfRule type="containsText" dxfId="299" priority="41" stopIfTrue="1" operator="containsText" text="Missin">
      <formula>NOT(ISERROR(SEARCH("Missin",L61)))</formula>
    </cfRule>
    <cfRule type="containsText" dxfId="298" priority="42" stopIfTrue="1" operator="containsText" text="Cell G10 CANNOT be blank">
      <formula>NOT(ISERROR(SEARCH("Cell G10 CANNOT be blank",L61)))</formula>
    </cfRule>
  </conditionalFormatting>
  <conditionalFormatting sqref="U49">
    <cfRule type="containsText" dxfId="297" priority="52" stopIfTrue="1" operator="containsText" text="Missin">
      <formula>NOT(ISERROR(SEARCH("Missin",U49)))</formula>
    </cfRule>
    <cfRule type="containsText" dxfId="296" priority="53" stopIfTrue="1" operator="containsText" text="Cell G10 CANNOT be blank">
      <formula>NOT(ISERROR(SEARCH("Cell G10 CANNOT be blank",U49)))</formula>
    </cfRule>
  </conditionalFormatting>
  <conditionalFormatting sqref="R49">
    <cfRule type="containsText" dxfId="295" priority="55" stopIfTrue="1" operator="containsText" text="Missin">
      <formula>NOT(ISERROR(SEARCH("Missin",R49)))</formula>
    </cfRule>
    <cfRule type="containsText" dxfId="294" priority="56" stopIfTrue="1" operator="containsText" text="Cell G10 CANNOT be blank">
      <formula>NOT(ISERROR(SEARCH("Cell G10 CANNOT be blank",R49)))</formula>
    </cfRule>
  </conditionalFormatting>
  <conditionalFormatting sqref="J48">
    <cfRule type="containsText" dxfId="293" priority="66" stopIfTrue="1" operator="containsText" text="Missin">
      <formula>NOT(ISERROR(SEARCH("Missin",J48)))</formula>
    </cfRule>
    <cfRule type="containsText" dxfId="292" priority="67" stopIfTrue="1" operator="containsText" text="Cell G10 CANNOT be blank">
      <formula>NOT(ISERROR(SEARCH("Cell G10 CANNOT be blank",J48)))</formula>
    </cfRule>
  </conditionalFormatting>
  <conditionalFormatting sqref="J47">
    <cfRule type="containsText" dxfId="291" priority="64" stopIfTrue="1" operator="containsText" text="Missin">
      <formula>NOT(ISERROR(SEARCH("Missin",J47)))</formula>
    </cfRule>
    <cfRule type="containsText" dxfId="290" priority="65" stopIfTrue="1" operator="containsText" text="Cell G10 CANNOT be blank">
      <formula>NOT(ISERROR(SEARCH("Cell G10 CANNOT be blank",J47)))</formula>
    </cfRule>
  </conditionalFormatting>
  <conditionalFormatting sqref="L34">
    <cfRule type="containsText" dxfId="289" priority="79" stopIfTrue="1" operator="containsText" text="Missin">
      <formula>NOT(ISERROR(SEARCH("Missin",L34)))</formula>
    </cfRule>
    <cfRule type="containsText" dxfId="288" priority="80" stopIfTrue="1" operator="containsText" text="Cell G10 CANNOT be blank">
      <formula>NOT(ISERROR(SEARCH("Cell G10 CANNOT be blank",L34)))</formula>
    </cfRule>
  </conditionalFormatting>
  <conditionalFormatting sqref="O36">
    <cfRule type="containsText" dxfId="287" priority="77" stopIfTrue="1" operator="containsText" text="Missin">
      <formula>NOT(ISERROR(SEARCH("Missin",O36)))</formula>
    </cfRule>
    <cfRule type="containsText" dxfId="286" priority="78" stopIfTrue="1" operator="containsText" text="Cell G10 CANNOT be blank">
      <formula>NOT(ISERROR(SEARCH("Cell G10 CANNOT be blank",O36)))</formula>
    </cfRule>
  </conditionalFormatting>
  <conditionalFormatting sqref="L35:L36">
    <cfRule type="containsText" dxfId="285" priority="75" stopIfTrue="1" operator="containsText" text="Missin">
      <formula>NOT(ISERROR(SEARCH("Missin",L35)))</formula>
    </cfRule>
    <cfRule type="containsText" dxfId="284" priority="76" stopIfTrue="1" operator="containsText" text="Cell G10 CANNOT be blank">
      <formula>NOT(ISERROR(SEARCH("Cell G10 CANNOT be blank",L35)))</formula>
    </cfRule>
  </conditionalFormatting>
  <conditionalFormatting sqref="U74">
    <cfRule type="containsText" dxfId="283" priority="17" stopIfTrue="1" operator="containsText" text="Cell G10 CANNOT be blank">
      <formula>NOT(ISERROR(SEARCH("Cell G10 CANNOT be blank",U74)))</formula>
    </cfRule>
  </conditionalFormatting>
  <conditionalFormatting sqref="O21">
    <cfRule type="containsText" dxfId="282" priority="91" stopIfTrue="1" operator="containsText" text="Cell G10 CANNOT be blank">
      <formula>NOT(ISERROR(SEARCH("Cell G10 CANNOT be blank",O21)))</formula>
    </cfRule>
  </conditionalFormatting>
  <conditionalFormatting sqref="R21">
    <cfRule type="containsText" dxfId="281" priority="88" stopIfTrue="1" operator="containsText" text="Cell G10 CANNOT be blank">
      <formula>NOT(ISERROR(SEARCH("Cell G10 CANNOT be blank",R21)))</formula>
    </cfRule>
  </conditionalFormatting>
  <conditionalFormatting sqref="U22">
    <cfRule type="containsText" dxfId="280" priority="86" stopIfTrue="1" operator="containsText" text="Missin">
      <formula>NOT(ISERROR(SEARCH("Missin",U22)))</formula>
    </cfRule>
    <cfRule type="containsText" dxfId="279" priority="87" stopIfTrue="1" operator="containsText" text="Cell G10 CANNOT be blank">
      <formula>NOT(ISERROR(SEARCH("Cell G10 CANNOT be blank",U22)))</formula>
    </cfRule>
  </conditionalFormatting>
  <conditionalFormatting sqref="U21">
    <cfRule type="containsText" dxfId="278" priority="85" stopIfTrue="1" operator="containsText" text="Cell G10 CANNOT be blank">
      <formula>NOT(ISERROR(SEARCH("Cell G10 CANNOT be blank",U21)))</formula>
    </cfRule>
  </conditionalFormatting>
  <conditionalFormatting sqref="J35">
    <cfRule type="containsText" dxfId="277" priority="83" stopIfTrue="1" operator="containsText" text="Missin">
      <formula>NOT(ISERROR(SEARCH("Missin",J35)))</formula>
    </cfRule>
    <cfRule type="containsText" dxfId="276" priority="84" stopIfTrue="1" operator="containsText" text="Cell G10 CANNOT be blank">
      <formula>NOT(ISERROR(SEARCH("Cell G10 CANNOT be blank",J35)))</formula>
    </cfRule>
  </conditionalFormatting>
  <conditionalFormatting sqref="J34">
    <cfRule type="containsText" dxfId="275" priority="81" stopIfTrue="1" operator="containsText" text="Missin">
      <formula>NOT(ISERROR(SEARCH("Missin",J34)))</formula>
    </cfRule>
    <cfRule type="containsText" dxfId="274" priority="82" stopIfTrue="1" operator="containsText" text="Cell G10 CANNOT be blank">
      <formula>NOT(ISERROR(SEARCH("Cell G10 CANNOT be blank",J34)))</formula>
    </cfRule>
  </conditionalFormatting>
  <conditionalFormatting sqref="R36">
    <cfRule type="containsText" dxfId="273" priority="72" stopIfTrue="1" operator="containsText" text="Missin">
      <formula>NOT(ISERROR(SEARCH("Missin",R36)))</formula>
    </cfRule>
    <cfRule type="containsText" dxfId="272" priority="73" stopIfTrue="1" operator="containsText" text="Cell G10 CANNOT be blank">
      <formula>NOT(ISERROR(SEARCH("Cell G10 CANNOT be blank",R36)))</formula>
    </cfRule>
  </conditionalFormatting>
  <conditionalFormatting sqref="O35">
    <cfRule type="containsText" dxfId="271" priority="74" stopIfTrue="1" operator="containsText" text="Cell G10 CANNOT be blank">
      <formula>NOT(ISERROR(SEARCH("Cell G10 CANNOT be blank",O35)))</formula>
    </cfRule>
  </conditionalFormatting>
  <conditionalFormatting sqref="R35">
    <cfRule type="containsText" dxfId="270" priority="71" stopIfTrue="1" operator="containsText" text="Cell G10 CANNOT be blank">
      <formula>NOT(ISERROR(SEARCH("Cell G10 CANNOT be blank",R35)))</formula>
    </cfRule>
  </conditionalFormatting>
  <conditionalFormatting sqref="U36">
    <cfRule type="containsText" dxfId="269" priority="69" stopIfTrue="1" operator="containsText" text="Missin">
      <formula>NOT(ISERROR(SEARCH("Missin",U36)))</formula>
    </cfRule>
    <cfRule type="containsText" dxfId="268" priority="70" stopIfTrue="1" operator="containsText" text="Cell G10 CANNOT be blank">
      <formula>NOT(ISERROR(SEARCH("Cell G10 CANNOT be blank",U36)))</formula>
    </cfRule>
  </conditionalFormatting>
  <conditionalFormatting sqref="U35">
    <cfRule type="containsText" dxfId="267" priority="68" stopIfTrue="1" operator="containsText" text="Cell G10 CANNOT be blank">
      <formula>NOT(ISERROR(SEARCH("Cell G10 CANNOT be blank",U35)))</formula>
    </cfRule>
  </conditionalFormatting>
  <conditionalFormatting sqref="L47">
    <cfRule type="containsText" dxfId="266" priority="62" stopIfTrue="1" operator="containsText" text="Missin">
      <formula>NOT(ISERROR(SEARCH("Missin",L47)))</formula>
    </cfRule>
    <cfRule type="containsText" dxfId="265" priority="63" stopIfTrue="1" operator="containsText" text="Cell G10 CANNOT be blank">
      <formula>NOT(ISERROR(SEARCH("Cell G10 CANNOT be blank",L47)))</formula>
    </cfRule>
  </conditionalFormatting>
  <conditionalFormatting sqref="O49">
    <cfRule type="containsText" dxfId="264" priority="60" stopIfTrue="1" operator="containsText" text="Missin">
      <formula>NOT(ISERROR(SEARCH("Missin",O49)))</formula>
    </cfRule>
    <cfRule type="containsText" dxfId="263" priority="61" stopIfTrue="1" operator="containsText" text="Cell G10 CANNOT be blank">
      <formula>NOT(ISERROR(SEARCH("Cell G10 CANNOT be blank",O49)))</formula>
    </cfRule>
  </conditionalFormatting>
  <conditionalFormatting sqref="L48:L49">
    <cfRule type="containsText" dxfId="262" priority="58" stopIfTrue="1" operator="containsText" text="Missin">
      <formula>NOT(ISERROR(SEARCH("Missin",L48)))</formula>
    </cfRule>
    <cfRule type="containsText" dxfId="261" priority="59" stopIfTrue="1" operator="containsText" text="Cell G10 CANNOT be blank">
      <formula>NOT(ISERROR(SEARCH("Cell G10 CANNOT be blank",L48)))</formula>
    </cfRule>
  </conditionalFormatting>
  <conditionalFormatting sqref="O48">
    <cfRule type="containsText" dxfId="260" priority="57" stopIfTrue="1" operator="containsText" text="Cell G10 CANNOT be blank">
      <formula>NOT(ISERROR(SEARCH("Cell G10 CANNOT be blank",O48)))</formula>
    </cfRule>
  </conditionalFormatting>
  <conditionalFormatting sqref="R48">
    <cfRule type="containsText" dxfId="259" priority="54" stopIfTrue="1" operator="containsText" text="Cell G10 CANNOT be blank">
      <formula>NOT(ISERROR(SEARCH("Cell G10 CANNOT be blank",R48)))</formula>
    </cfRule>
  </conditionalFormatting>
  <conditionalFormatting sqref="U48">
    <cfRule type="containsText" dxfId="258" priority="51" stopIfTrue="1" operator="containsText" text="Cell G10 CANNOT be blank">
      <formula>NOT(ISERROR(SEARCH("Cell G10 CANNOT be blank",U48)))</formula>
    </cfRule>
  </conditionalFormatting>
  <conditionalFormatting sqref="J61">
    <cfRule type="containsText" dxfId="257" priority="49" stopIfTrue="1" operator="containsText" text="Missin">
      <formula>NOT(ISERROR(SEARCH("Missin",J61)))</formula>
    </cfRule>
    <cfRule type="containsText" dxfId="256" priority="50" stopIfTrue="1" operator="containsText" text="Cell G10 CANNOT be blank">
      <formula>NOT(ISERROR(SEARCH("Cell G10 CANNOT be blank",J61)))</formula>
    </cfRule>
  </conditionalFormatting>
  <conditionalFormatting sqref="J60">
    <cfRule type="containsText" dxfId="255" priority="47" stopIfTrue="1" operator="containsText" text="Missin">
      <formula>NOT(ISERROR(SEARCH("Missin",J60)))</formula>
    </cfRule>
    <cfRule type="containsText" dxfId="254" priority="48" stopIfTrue="1" operator="containsText" text="Cell G10 CANNOT be blank">
      <formula>NOT(ISERROR(SEARCH("Cell G10 CANNOT be blank",J60)))</formula>
    </cfRule>
  </conditionalFormatting>
  <conditionalFormatting sqref="O62">
    <cfRule type="containsText" dxfId="253" priority="43" stopIfTrue="1" operator="containsText" text="Missin">
      <formula>NOT(ISERROR(SEARCH("Missin",O62)))</formula>
    </cfRule>
    <cfRule type="containsText" dxfId="252" priority="44" stopIfTrue="1" operator="containsText" text="Cell G10 CANNOT be blank">
      <formula>NOT(ISERROR(SEARCH("Cell G10 CANNOT be blank",O62)))</formula>
    </cfRule>
  </conditionalFormatting>
  <conditionalFormatting sqref="O61">
    <cfRule type="containsText" dxfId="251" priority="40" stopIfTrue="1" operator="containsText" text="Cell G10 CANNOT be blank">
      <formula>NOT(ISERROR(SEARCH("Cell G10 CANNOT be blank",O61)))</formula>
    </cfRule>
  </conditionalFormatting>
  <conditionalFormatting sqref="R62">
    <cfRule type="containsText" dxfId="250" priority="38" stopIfTrue="1" operator="containsText" text="Missin">
      <formula>NOT(ISERROR(SEARCH("Missin",R62)))</formula>
    </cfRule>
    <cfRule type="containsText" dxfId="249" priority="39" stopIfTrue="1" operator="containsText" text="Cell G10 CANNOT be blank">
      <formula>NOT(ISERROR(SEARCH("Cell G10 CANNOT be blank",R62)))</formula>
    </cfRule>
  </conditionalFormatting>
  <conditionalFormatting sqref="R61">
    <cfRule type="containsText" dxfId="248" priority="37" stopIfTrue="1" operator="containsText" text="Cell G10 CANNOT be blank">
      <formula>NOT(ISERROR(SEARCH("Cell G10 CANNOT be blank",R61)))</formula>
    </cfRule>
  </conditionalFormatting>
  <conditionalFormatting sqref="U62">
    <cfRule type="containsText" dxfId="247" priority="35" stopIfTrue="1" operator="containsText" text="Missin">
      <formula>NOT(ISERROR(SEARCH("Missin",U62)))</formula>
    </cfRule>
    <cfRule type="containsText" dxfId="246" priority="36" stopIfTrue="1" operator="containsText" text="Cell G10 CANNOT be blank">
      <formula>NOT(ISERROR(SEARCH("Cell G10 CANNOT be blank",U62)))</formula>
    </cfRule>
  </conditionalFormatting>
  <conditionalFormatting sqref="U61">
    <cfRule type="containsText" dxfId="245" priority="34" stopIfTrue="1" operator="containsText" text="Cell G10 CANNOT be blank">
      <formula>NOT(ISERROR(SEARCH("Cell G10 CANNOT be blank",U61)))</formula>
    </cfRule>
  </conditionalFormatting>
  <conditionalFormatting sqref="J74">
    <cfRule type="containsText" dxfId="244" priority="32" stopIfTrue="1" operator="containsText" text="Missin">
      <formula>NOT(ISERROR(SEARCH("Missin",J74)))</formula>
    </cfRule>
    <cfRule type="containsText" dxfId="243" priority="33" stopIfTrue="1" operator="containsText" text="Cell G10 CANNOT be blank">
      <formula>NOT(ISERROR(SEARCH("Cell G10 CANNOT be blank",J74)))</formula>
    </cfRule>
  </conditionalFormatting>
  <conditionalFormatting sqref="J73">
    <cfRule type="containsText" dxfId="242" priority="30" stopIfTrue="1" operator="containsText" text="Missin">
      <formula>NOT(ISERROR(SEARCH("Missin",J73)))</formula>
    </cfRule>
    <cfRule type="containsText" dxfId="241" priority="31" stopIfTrue="1" operator="containsText" text="Cell G10 CANNOT be blank">
      <formula>NOT(ISERROR(SEARCH("Cell G10 CANNOT be blank",J73)))</formula>
    </cfRule>
  </conditionalFormatting>
  <conditionalFormatting sqref="L73">
    <cfRule type="containsText" dxfId="240" priority="28" stopIfTrue="1" operator="containsText" text="Missin">
      <formula>NOT(ISERROR(SEARCH("Missin",L73)))</formula>
    </cfRule>
    <cfRule type="containsText" dxfId="239" priority="29" stopIfTrue="1" operator="containsText" text="Cell G10 CANNOT be blank">
      <formula>NOT(ISERROR(SEARCH("Cell G10 CANNOT be blank",L73)))</formula>
    </cfRule>
  </conditionalFormatting>
  <conditionalFormatting sqref="O75">
    <cfRule type="containsText" dxfId="238" priority="26" stopIfTrue="1" operator="containsText" text="Missin">
      <formula>NOT(ISERROR(SEARCH("Missin",O75)))</formula>
    </cfRule>
    <cfRule type="containsText" dxfId="237" priority="27" stopIfTrue="1" operator="containsText" text="Cell G10 CANNOT be blank">
      <formula>NOT(ISERROR(SEARCH("Cell G10 CANNOT be blank",O75)))</formula>
    </cfRule>
  </conditionalFormatting>
  <conditionalFormatting sqref="L74:L75">
    <cfRule type="containsText" dxfId="236" priority="24" stopIfTrue="1" operator="containsText" text="Missin">
      <formula>NOT(ISERROR(SEARCH("Missin",L74)))</formula>
    </cfRule>
    <cfRule type="containsText" dxfId="235" priority="25" stopIfTrue="1" operator="containsText" text="Cell G10 CANNOT be blank">
      <formula>NOT(ISERROR(SEARCH("Cell G10 CANNOT be blank",L74)))</formula>
    </cfRule>
  </conditionalFormatting>
  <conditionalFormatting sqref="O74">
    <cfRule type="containsText" dxfId="234" priority="23" stopIfTrue="1" operator="containsText" text="Cell G10 CANNOT be blank">
      <formula>NOT(ISERROR(SEARCH("Cell G10 CANNOT be blank",O74)))</formula>
    </cfRule>
  </conditionalFormatting>
  <conditionalFormatting sqref="R75">
    <cfRule type="containsText" dxfId="233" priority="21" stopIfTrue="1" operator="containsText" text="Missin">
      <formula>NOT(ISERROR(SEARCH("Missin",R75)))</formula>
    </cfRule>
    <cfRule type="containsText" dxfId="232" priority="22" stopIfTrue="1" operator="containsText" text="Cell G10 CANNOT be blank">
      <formula>NOT(ISERROR(SEARCH("Cell G10 CANNOT be blank",R75)))</formula>
    </cfRule>
  </conditionalFormatting>
  <conditionalFormatting sqref="R74">
    <cfRule type="containsText" dxfId="231" priority="20" stopIfTrue="1" operator="containsText" text="Cell G10 CANNOT be blank">
      <formula>NOT(ISERROR(SEARCH("Cell G10 CANNOT be blank",R74)))</formula>
    </cfRule>
  </conditionalFormatting>
  <conditionalFormatting sqref="U75">
    <cfRule type="containsText" dxfId="230" priority="18" stopIfTrue="1" operator="containsText" text="Missin">
      <formula>NOT(ISERROR(SEARCH("Missin",U75)))</formula>
    </cfRule>
    <cfRule type="containsText" dxfId="229" priority="19" stopIfTrue="1" operator="containsText" text="Cell G10 CANNOT be blank">
      <formula>NOT(ISERROR(SEARCH("Cell G10 CANNOT be blank",U75)))</formula>
    </cfRule>
  </conditionalFormatting>
  <conditionalFormatting sqref="O76 R76 U76">
    <cfRule type="containsText" dxfId="228" priority="16" stopIfTrue="1" operator="containsText" text="Cell G10 CANNOT be blank">
      <formula>NOT(ISERROR(SEARCH("Cell G10 CANNOT be blank",O76)))</formula>
    </cfRule>
  </conditionalFormatting>
  <conditionalFormatting sqref="L76">
    <cfRule type="containsText" dxfId="227" priority="12" stopIfTrue="1" operator="containsText" text="Missin">
      <formula>NOT(ISERROR(SEARCH("Missin",L76)))</formula>
    </cfRule>
    <cfRule type="containsText" dxfId="226" priority="13" stopIfTrue="1" operator="containsText" text="Cell G10 CANNOT be blank">
      <formula>NOT(ISERROR(SEARCH("Cell G10 CANNOT be blank",L76)))</formula>
    </cfRule>
  </conditionalFormatting>
  <conditionalFormatting sqref="J22">
    <cfRule type="containsText" dxfId="225" priority="10" stopIfTrue="1" operator="containsText" text="Missin">
      <formula>NOT(ISERROR(SEARCH("Missin",J22)))</formula>
    </cfRule>
    <cfRule type="containsText" dxfId="224" priority="11" stopIfTrue="1" operator="containsText" text="Cell G10 CANNOT be blank">
      <formula>NOT(ISERROR(SEARCH("Cell G10 CANNOT be blank",J22)))</formula>
    </cfRule>
  </conditionalFormatting>
  <conditionalFormatting sqref="J36">
    <cfRule type="containsText" dxfId="223" priority="8" stopIfTrue="1" operator="containsText" text="Missin">
      <formula>NOT(ISERROR(SEARCH("Missin",J36)))</formula>
    </cfRule>
    <cfRule type="containsText" dxfId="222" priority="9" stopIfTrue="1" operator="containsText" text="Cell G10 CANNOT be blank">
      <formula>NOT(ISERROR(SEARCH("Cell G10 CANNOT be blank",J36)))</formula>
    </cfRule>
  </conditionalFormatting>
  <conditionalFormatting sqref="J49">
    <cfRule type="containsText" dxfId="221" priority="6" stopIfTrue="1" operator="containsText" text="Missin">
      <formula>NOT(ISERROR(SEARCH("Missin",J49)))</formula>
    </cfRule>
    <cfRule type="containsText" dxfId="220" priority="7" stopIfTrue="1" operator="containsText" text="Cell G10 CANNOT be blank">
      <formula>NOT(ISERROR(SEARCH("Cell G10 CANNOT be blank",J49)))</formula>
    </cfRule>
  </conditionalFormatting>
  <conditionalFormatting sqref="J62">
    <cfRule type="containsText" dxfId="219" priority="4" stopIfTrue="1" operator="containsText" text="Missin">
      <formula>NOT(ISERROR(SEARCH("Missin",J62)))</formula>
    </cfRule>
    <cfRule type="containsText" dxfId="218" priority="5" stopIfTrue="1" operator="containsText" text="Cell G10 CANNOT be blank">
      <formula>NOT(ISERROR(SEARCH("Cell G10 CANNOT be blank",J62)))</formula>
    </cfRule>
  </conditionalFormatting>
  <conditionalFormatting sqref="J75">
    <cfRule type="containsText" dxfId="217" priority="2" stopIfTrue="1" operator="containsText" text="Missin">
      <formula>NOT(ISERROR(SEARCH("Missin",J75)))</formula>
    </cfRule>
    <cfRule type="containsText" dxfId="216" priority="3" stopIfTrue="1" operator="containsText" text="Cell G10 CANNOT be blank">
      <formula>NOT(ISERROR(SEARCH("Cell G10 CANNOT be blank",J75)))</formula>
    </cfRule>
  </conditionalFormatting>
  <conditionalFormatting sqref="A7">
    <cfRule type="containsText" dxfId="215" priority="1" stopIfTrue="1" operator="containsText" text="Enter">
      <formula>NOT(ISERROR(SEARCH("Enter",A7)))</formula>
    </cfRule>
  </conditionalFormatting>
  <printOptions horizontalCentered="1"/>
  <pageMargins left="0.25" right="0.25" top="0.75" bottom="0.75" header="0.3" footer="0.3"/>
  <pageSetup scale="52" fitToHeight="2" orientation="landscape" r:id="rId1"/>
  <headerFooter alignWithMargins="0">
    <oddHeader>&amp;RPage &amp;P of &amp;N</oddHeader>
  </headerFooter>
  <rowBreaks count="1" manualBreakCount="1">
    <brk id="50" max="21"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theme="4"/>
    <pageSetUpPr fitToPage="1"/>
  </sheetPr>
  <dimension ref="A1:AH94"/>
  <sheetViews>
    <sheetView showGridLines="0" zoomScale="85" zoomScaleNormal="85" workbookViewId="0">
      <pane xSplit="6" ySplit="6" topLeftCell="G7" activePane="bottomRight" state="frozen"/>
      <selection activeCell="J13" sqref="J13"/>
      <selection pane="topRight" activeCell="J13" sqref="J13"/>
      <selection pane="bottomLeft" activeCell="J13" sqref="J13"/>
      <selection pane="bottomRight" activeCell="G20" sqref="G20"/>
    </sheetView>
  </sheetViews>
  <sheetFormatPr defaultRowHeight="12.75"/>
  <cols>
    <col min="1" max="1" width="3.7109375" customWidth="1"/>
    <col min="2" max="2" width="11" customWidth="1"/>
    <col min="3" max="3" width="16.42578125" customWidth="1"/>
    <col min="4" max="4" width="29.7109375" customWidth="1"/>
    <col min="6" max="6" width="13.7109375" customWidth="1"/>
    <col min="7" max="8" width="19.42578125" customWidth="1"/>
    <col min="9" max="9" width="11.28515625" customWidth="1"/>
    <col min="10" max="10" width="18.7109375" customWidth="1"/>
    <col min="11" max="11" width="11.28515625" customWidth="1"/>
    <col min="12" max="12" width="83.5703125" style="1203" customWidth="1"/>
    <col min="13" max="32" width="9.28515625" customWidth="1"/>
  </cols>
  <sheetData>
    <row r="1" spans="1:34" s="2" customFormat="1" ht="15.75">
      <c r="A1" s="1645" t="str">
        <f>IF('INTERIM-CERTIFICATION'!$M$1="","CHARTER NAME: Enter Charter Name on INTERIM-CERTIFICATION Worksheet",(CONCATENATE("CHARTER NAME: ",'INTERIM-CERTIFICATION'!$M$1)))</f>
        <v>CHARTER NAME: Elite Academic Academy - Virtual Prep Lucerne</v>
      </c>
      <c r="B1" s="1645"/>
      <c r="C1" s="1645"/>
      <c r="D1" s="1645"/>
      <c r="E1" s="1645"/>
      <c r="F1" s="1645"/>
      <c r="G1" s="12"/>
      <c r="H1" s="12"/>
      <c r="I1" s="12"/>
      <c r="J1" s="1"/>
      <c r="K1" s="1"/>
      <c r="L1" s="1203"/>
      <c r="M1"/>
      <c r="N1"/>
      <c r="O1"/>
      <c r="P1"/>
      <c r="Q1"/>
      <c r="R1"/>
      <c r="S1"/>
      <c r="T1"/>
      <c r="U1"/>
      <c r="V1"/>
      <c r="W1"/>
      <c r="X1"/>
      <c r="Y1"/>
      <c r="Z1"/>
      <c r="AA1"/>
      <c r="AB1"/>
      <c r="AC1"/>
      <c r="AD1"/>
      <c r="AE1"/>
      <c r="AF1"/>
      <c r="AG1" s="1"/>
      <c r="AH1" s="1"/>
    </row>
    <row r="2" spans="1:34" s="2" customFormat="1" ht="15.75">
      <c r="A2" s="1645" t="str">
        <f>IF('INTERIM-CERTIFICATION'!$M$2="","CDS #: Enter Charter CDS # on INTERIM-CERTIFICATION Worksheet",(_xlfn.CONCAT("CDS #: ",'INTERIM-CERTIFICATION'!$M$2)))</f>
        <v>CDS #: 36-75051-0138107</v>
      </c>
      <c r="B2" s="1645"/>
      <c r="C2" s="1645"/>
      <c r="D2" s="1645"/>
      <c r="E2" s="1645"/>
      <c r="F2" s="1645"/>
      <c r="G2" s="82"/>
      <c r="H2" s="82"/>
      <c r="I2" s="82"/>
      <c r="J2" s="1"/>
      <c r="K2" s="1"/>
      <c r="L2" s="1203"/>
      <c r="M2"/>
      <c r="N2"/>
      <c r="O2"/>
      <c r="P2"/>
      <c r="Q2"/>
      <c r="R2"/>
      <c r="S2"/>
      <c r="T2"/>
      <c r="U2"/>
      <c r="V2"/>
      <c r="W2"/>
      <c r="X2"/>
      <c r="Y2"/>
      <c r="Z2"/>
      <c r="AA2"/>
      <c r="AB2"/>
      <c r="AC2"/>
      <c r="AD2"/>
      <c r="AE2"/>
      <c r="AF2"/>
      <c r="AG2" s="1"/>
      <c r="AH2" s="1"/>
    </row>
    <row r="3" spans="1:34" s="2" customFormat="1" ht="15.75">
      <c r="A3" s="1645" t="str">
        <f>IF('INTERIM-CERTIFICATION'!$M$5="","CHARTER #: Enter Charter # on INTERIM-CERTIFICATION Worksheet",(_xlfn.CONCAT("CHARTER #: ",'INTERIM-CERTIFICATION'!$M$5)))</f>
        <v>CHARTER #: 1975</v>
      </c>
      <c r="B3" s="1645"/>
      <c r="C3" s="1645"/>
      <c r="D3" s="1645"/>
      <c r="E3" s="1645"/>
      <c r="F3" s="1645"/>
      <c r="G3" s="12"/>
      <c r="H3" s="12"/>
      <c r="I3" s="12"/>
      <c r="J3" s="1"/>
      <c r="K3" s="1"/>
      <c r="L3" s="1203"/>
      <c r="M3"/>
      <c r="N3"/>
      <c r="O3"/>
      <c r="P3"/>
      <c r="Q3"/>
      <c r="R3"/>
      <c r="S3"/>
      <c r="T3"/>
      <c r="U3"/>
      <c r="V3"/>
      <c r="W3"/>
      <c r="X3"/>
      <c r="Y3"/>
      <c r="Z3"/>
      <c r="AA3"/>
      <c r="AB3"/>
      <c r="AC3"/>
      <c r="AD3"/>
      <c r="AE3"/>
      <c r="AF3"/>
      <c r="AG3" s="1"/>
      <c r="AH3" s="1"/>
    </row>
    <row r="4" spans="1:34" s="2" customFormat="1" ht="15.75">
      <c r="A4" s="1700" t="str">
        <f>'1st Interim-ADA'!J4</f>
        <v>Fiscal Year 2022-23 First Interim Report</v>
      </c>
      <c r="B4" s="1700"/>
      <c r="C4" s="1700"/>
      <c r="D4" s="1700"/>
      <c r="E4" s="1700"/>
      <c r="F4" s="1700"/>
      <c r="G4" s="1700"/>
      <c r="H4" s="1700"/>
      <c r="I4" s="1700"/>
      <c r="J4" s="1700"/>
      <c r="K4" s="1700"/>
      <c r="L4" s="1203"/>
      <c r="M4"/>
      <c r="N4"/>
      <c r="O4"/>
      <c r="P4"/>
      <c r="Q4"/>
      <c r="R4"/>
      <c r="S4"/>
      <c r="T4"/>
      <c r="U4"/>
      <c r="V4"/>
      <c r="W4"/>
      <c r="X4"/>
      <c r="Y4"/>
      <c r="Z4"/>
      <c r="AA4"/>
      <c r="AB4"/>
      <c r="AC4"/>
      <c r="AD4"/>
      <c r="AE4"/>
      <c r="AF4"/>
      <c r="AG4" s="1"/>
      <c r="AH4" s="1"/>
    </row>
    <row r="5" spans="1:34" s="2" customFormat="1" ht="16.5" thickBot="1">
      <c r="A5" s="1588" t="str">
        <f>Instructions!H1</f>
        <v>Form Orignated 5/16/2022</v>
      </c>
      <c r="B5" s="267"/>
      <c r="C5" s="267"/>
      <c r="D5" s="12"/>
      <c r="E5" s="12"/>
      <c r="F5" s="12"/>
      <c r="G5" s="12"/>
      <c r="H5" s="12"/>
      <c r="I5" s="12"/>
      <c r="J5" s="1"/>
      <c r="K5" s="12"/>
      <c r="L5" s="1203"/>
      <c r="M5"/>
      <c r="N5"/>
      <c r="O5"/>
      <c r="P5"/>
      <c r="Q5"/>
      <c r="R5"/>
      <c r="S5"/>
      <c r="T5"/>
      <c r="U5"/>
      <c r="V5"/>
      <c r="W5"/>
      <c r="X5"/>
      <c r="Y5"/>
      <c r="Z5"/>
      <c r="AA5"/>
      <c r="AB5"/>
      <c r="AC5"/>
      <c r="AD5"/>
      <c r="AE5"/>
      <c r="AF5"/>
      <c r="AG5" s="1"/>
      <c r="AH5" s="1"/>
    </row>
    <row r="6" spans="1:34" ht="16.5" thickBot="1">
      <c r="A6" s="684" t="s">
        <v>35</v>
      </c>
      <c r="B6" s="685"/>
      <c r="C6" s="685"/>
      <c r="D6" s="685"/>
      <c r="E6" s="685"/>
      <c r="F6" s="686"/>
      <c r="G6" s="281" t="str">
        <f>'Budget-Assumptions'!G6</f>
        <v>2022-23</v>
      </c>
      <c r="H6" s="282" t="str">
        <f>'Budget-Assumptions'!H6</f>
        <v>2023-24</v>
      </c>
      <c r="I6" s="282" t="s">
        <v>22</v>
      </c>
      <c r="J6" s="282" t="str">
        <f>'Budget-Assumptions'!J6</f>
        <v>2024-25</v>
      </c>
      <c r="K6" s="283" t="s">
        <v>22</v>
      </c>
    </row>
    <row r="7" spans="1:34" ht="8.25" customHeight="1">
      <c r="A7" s="332"/>
      <c r="B7" s="1"/>
      <c r="C7" s="1"/>
      <c r="D7" s="1"/>
      <c r="E7" s="1"/>
      <c r="F7" s="1218"/>
      <c r="G7" s="1555"/>
      <c r="H7" s="168"/>
      <c r="I7" s="168"/>
      <c r="J7" s="168"/>
      <c r="K7" s="666"/>
    </row>
    <row r="8" spans="1:34" ht="15.75">
      <c r="A8" s="687" t="s">
        <v>328</v>
      </c>
      <c r="C8" s="155"/>
      <c r="D8" s="155"/>
      <c r="E8" s="155"/>
      <c r="F8" s="665"/>
      <c r="G8" s="667"/>
      <c r="H8" s="667"/>
      <c r="I8" s="655"/>
      <c r="J8" s="667"/>
      <c r="K8" s="656"/>
    </row>
    <row r="9" spans="1:34" ht="15.75">
      <c r="A9" s="68"/>
      <c r="B9" s="142" t="s">
        <v>250</v>
      </c>
      <c r="C9" s="141"/>
      <c r="D9" s="143"/>
      <c r="E9" s="141"/>
      <c r="F9" s="1505"/>
      <c r="G9" s="1506">
        <v>5.33E-2</v>
      </c>
      <c r="H9" s="1506">
        <v>3.61E-2</v>
      </c>
      <c r="I9" s="489">
        <f>SUM(H9-G9)</f>
        <v>-1.72E-2</v>
      </c>
      <c r="J9" s="1507">
        <v>3.6400000000000002E-2</v>
      </c>
      <c r="K9" s="488">
        <f>SUM(J9-H9)</f>
        <v>3.0000000000000165E-4</v>
      </c>
    </row>
    <row r="10" spans="1:34" ht="15.75" hidden="1" customHeight="1">
      <c r="A10" s="284"/>
      <c r="B10" s="144" t="s">
        <v>251</v>
      </c>
      <c r="C10" s="145"/>
      <c r="D10" s="143"/>
      <c r="E10" s="145"/>
      <c r="F10" s="1505"/>
      <c r="G10" s="1508">
        <v>1</v>
      </c>
      <c r="H10" s="1508">
        <v>1</v>
      </c>
      <c r="I10" s="489">
        <f>SUM(H10-G10)</f>
        <v>0</v>
      </c>
      <c r="J10" s="1507">
        <v>1</v>
      </c>
      <c r="K10" s="488">
        <f>SUM(J10-H10)</f>
        <v>0</v>
      </c>
    </row>
    <row r="11" spans="1:34" ht="15.75">
      <c r="A11" s="284"/>
      <c r="B11" s="144" t="s">
        <v>374</v>
      </c>
      <c r="C11" s="145"/>
      <c r="D11" s="145"/>
      <c r="E11" s="145"/>
      <c r="F11" s="1505"/>
      <c r="G11" s="1509">
        <v>5401118.7999999998</v>
      </c>
      <c r="H11" s="1510">
        <v>8755604.4900000002</v>
      </c>
      <c r="I11" s="489">
        <f>SUM(H11-G11)/G11</f>
        <v>0.62107237670832205</v>
      </c>
      <c r="J11" s="1509">
        <v>9076192.2200000007</v>
      </c>
      <c r="K11" s="488">
        <f>SUM(J11-H11)/H11</f>
        <v>3.66151452325367E-2</v>
      </c>
    </row>
    <row r="12" spans="1:34" ht="15.75" hidden="1" customHeight="1">
      <c r="A12" s="284"/>
      <c r="B12" s="374" t="s">
        <v>327</v>
      </c>
      <c r="C12" s="145" t="s">
        <v>376</v>
      </c>
      <c r="D12" s="145"/>
      <c r="E12" s="145"/>
      <c r="F12" s="156"/>
      <c r="G12" s="691"/>
      <c r="H12" s="692"/>
      <c r="I12" s="203"/>
      <c r="J12" s="691"/>
      <c r="K12" s="286"/>
    </row>
    <row r="13" spans="1:34" ht="15.75" hidden="1" customHeight="1">
      <c r="A13" s="284"/>
      <c r="B13" s="144"/>
      <c r="C13" s="145" t="s">
        <v>252</v>
      </c>
      <c r="D13" s="145"/>
      <c r="E13" s="145"/>
      <c r="F13" s="156"/>
      <c r="G13" s="691"/>
      <c r="H13" s="692"/>
      <c r="I13" s="203"/>
      <c r="J13" s="691"/>
      <c r="K13" s="286"/>
    </row>
    <row r="14" spans="1:34" ht="15.75">
      <c r="A14" s="284"/>
      <c r="B14" s="333"/>
      <c r="C14" s="333"/>
      <c r="D14" s="333"/>
      <c r="E14" s="333"/>
      <c r="F14" s="668"/>
      <c r="G14" s="669"/>
      <c r="H14" s="670"/>
      <c r="I14" s="495"/>
      <c r="J14" s="671"/>
      <c r="K14" s="672"/>
    </row>
    <row r="15" spans="1:34" ht="15.75">
      <c r="A15" s="687" t="s">
        <v>344</v>
      </c>
      <c r="B15" s="134"/>
      <c r="C15" s="673"/>
      <c r="D15" s="673"/>
      <c r="E15" s="673"/>
      <c r="F15" s="674"/>
      <c r="G15" s="675"/>
      <c r="H15" s="675"/>
      <c r="I15" s="676"/>
      <c r="J15" s="675"/>
      <c r="K15" s="677"/>
    </row>
    <row r="16" spans="1:34" ht="15.75">
      <c r="A16" s="284"/>
      <c r="B16" s="144" t="s">
        <v>150</v>
      </c>
      <c r="C16" s="145"/>
      <c r="D16" s="145"/>
      <c r="E16" s="145"/>
      <c r="F16" s="1505"/>
      <c r="G16" s="1509">
        <f>+'Budget-Assumptions'!G16</f>
        <v>163</v>
      </c>
      <c r="H16" s="1509">
        <f>+'Budget-Assumptions'!H16</f>
        <v>163</v>
      </c>
      <c r="I16" s="1516">
        <f>SUM(H16-G16)</f>
        <v>0</v>
      </c>
      <c r="J16" s="1509">
        <f>+'Budget-Assumptions'!J16</f>
        <v>163</v>
      </c>
      <c r="K16" s="1517">
        <f>SUM(J16-H16)</f>
        <v>0</v>
      </c>
    </row>
    <row r="17" spans="1:11" ht="15.75">
      <c r="A17" s="284"/>
      <c r="B17" s="144" t="s">
        <v>151</v>
      </c>
      <c r="C17" s="145"/>
      <c r="D17" s="145"/>
      <c r="E17" s="145"/>
      <c r="F17" s="1505"/>
      <c r="G17" s="1509"/>
      <c r="H17" s="1509"/>
      <c r="I17" s="1516">
        <f>SUM(H17-G17)</f>
        <v>0</v>
      </c>
      <c r="J17" s="1509"/>
      <c r="K17" s="1517">
        <f>SUM(J17-H17)</f>
        <v>0</v>
      </c>
    </row>
    <row r="18" spans="1:11" ht="15.75">
      <c r="A18" s="284"/>
      <c r="B18" s="333"/>
      <c r="C18" s="333"/>
      <c r="D18" s="333"/>
      <c r="E18" s="333"/>
      <c r="F18" s="668"/>
      <c r="G18" s="669"/>
      <c r="H18" s="670"/>
      <c r="I18" s="495"/>
      <c r="J18" s="671"/>
      <c r="K18" s="672"/>
    </row>
    <row r="19" spans="1:11" ht="15.75">
      <c r="A19" s="688" t="s">
        <v>201</v>
      </c>
      <c r="C19" s="166"/>
      <c r="D19" s="166"/>
      <c r="E19" s="166"/>
      <c r="F19" s="665"/>
      <c r="G19" s="678"/>
      <c r="H19" s="678"/>
      <c r="I19" s="553"/>
      <c r="J19" s="679"/>
      <c r="K19" s="554"/>
    </row>
    <row r="20" spans="1:11" ht="15.75">
      <c r="A20" s="284"/>
      <c r="B20" s="144" t="s">
        <v>152</v>
      </c>
      <c r="C20" s="145"/>
      <c r="D20" s="145"/>
      <c r="E20" s="145"/>
      <c r="F20" s="1518"/>
      <c r="G20" s="1519">
        <f>'1st Interim-ADA'!N75</f>
        <v>510.00000000000006</v>
      </c>
      <c r="H20" s="1520">
        <f>'1st Interim-ADA'!Q75</f>
        <v>787.00000000000011</v>
      </c>
      <c r="I20" s="1521">
        <f>H20-G20</f>
        <v>277.00000000000006</v>
      </c>
      <c r="J20" s="1520">
        <f>'1st Interim-ADA'!T75</f>
        <v>787.00000000000011</v>
      </c>
      <c r="K20" s="1532">
        <f>J20-H20</f>
        <v>0</v>
      </c>
    </row>
    <row r="21" spans="1:11" ht="51" customHeight="1">
      <c r="A21" s="284"/>
      <c r="B21" s="654" t="s">
        <v>154</v>
      </c>
      <c r="C21" s="145"/>
      <c r="D21" s="145"/>
      <c r="E21" s="145"/>
      <c r="F21" s="1518"/>
      <c r="G21" s="1522">
        <f>IF(('1st Interim-ADA'!O75="Cell G10 CANNOT be blank"), "Missing Data 1st Interim-ADA Tab, cell G10",'1st Interim-ADA'!O75)</f>
        <v>510.00000000000006</v>
      </c>
      <c r="H21" s="1522">
        <f>IF(('1st Interim-ADA'!R75="Cell G10 CANNOT be blank"), "Missing Data 1st Interim-ADA Tab, cell G10",'1st Interim-ADA'!R75)</f>
        <v>787.00000000000011</v>
      </c>
      <c r="I21" s="1521">
        <f>H21-G21</f>
        <v>277.00000000000006</v>
      </c>
      <c r="J21" s="1522">
        <f>IF(('1st Interim-ADA'!U75="Cell G10 CANNOT be blank"), "Missing Data 1st Interim-ADA Tab, cell G10",'1st Interim-ADA'!U75)</f>
        <v>787.00000000000011</v>
      </c>
      <c r="K21" s="1532">
        <f>J21-H21</f>
        <v>0</v>
      </c>
    </row>
    <row r="22" spans="1:11" ht="15.75">
      <c r="A22" s="284"/>
      <c r="B22" s="144" t="s">
        <v>153</v>
      </c>
      <c r="C22" s="145"/>
      <c r="D22" s="145"/>
      <c r="E22" s="145"/>
      <c r="F22" s="1518"/>
      <c r="G22" s="1523">
        <f>'1st Interim-ADA'!O74</f>
        <v>0</v>
      </c>
      <c r="H22" s="1520">
        <f>'1st Interim-ADA'!R74</f>
        <v>0</v>
      </c>
      <c r="I22" s="1521">
        <f>H22-G22</f>
        <v>0</v>
      </c>
      <c r="J22" s="1520">
        <f>'1st Interim-ADA'!U74</f>
        <v>0</v>
      </c>
      <c r="K22" s="1532">
        <f>J22-H22</f>
        <v>0</v>
      </c>
    </row>
    <row r="23" spans="1:11" ht="15.75">
      <c r="A23" s="68"/>
      <c r="B23" s="147" t="s">
        <v>36</v>
      </c>
      <c r="C23" s="141"/>
      <c r="D23" s="141"/>
      <c r="E23" s="141"/>
      <c r="F23" s="1518"/>
      <c r="G23" s="1524">
        <f>SUM(G21:G22)</f>
        <v>510.00000000000006</v>
      </c>
      <c r="H23" s="1524">
        <f>SUM(H21:H22)</f>
        <v>787.00000000000011</v>
      </c>
      <c r="I23" s="1521">
        <f>H23-G23</f>
        <v>277.00000000000006</v>
      </c>
      <c r="J23" s="1524">
        <f>SUM(J21:J22)</f>
        <v>787.00000000000011</v>
      </c>
      <c r="K23" s="1532">
        <f>J23-H23</f>
        <v>0</v>
      </c>
    </row>
    <row r="24" spans="1:11" ht="15.75">
      <c r="A24" s="285"/>
      <c r="B24" s="148" t="s">
        <v>140</v>
      </c>
      <c r="C24" s="149"/>
      <c r="D24" s="149"/>
      <c r="E24" s="150" t="s">
        <v>336</v>
      </c>
      <c r="F24" s="1525">
        <f>+'Budget-Assumptions'!F24</f>
        <v>488</v>
      </c>
      <c r="G24" s="1526">
        <v>576</v>
      </c>
      <c r="H24" s="1526">
        <v>1000</v>
      </c>
      <c r="I24" s="1521">
        <f>H24-G24</f>
        <v>424</v>
      </c>
      <c r="J24" s="1526">
        <v>1000</v>
      </c>
      <c r="K24" s="1532">
        <f>J24-H24</f>
        <v>0</v>
      </c>
    </row>
    <row r="25" spans="1:11" ht="15.75">
      <c r="A25" s="285"/>
      <c r="B25" s="148" t="s">
        <v>203</v>
      </c>
      <c r="C25" s="149"/>
      <c r="D25" s="149"/>
      <c r="E25" s="152"/>
      <c r="F25" s="1527"/>
      <c r="G25" s="489">
        <f>(G24-F24)/F24</f>
        <v>0.18032786885245902</v>
      </c>
      <c r="H25" s="489">
        <f>(H24-G24)/G24</f>
        <v>0.73611111111111116</v>
      </c>
      <c r="I25" s="1514" t="s">
        <v>2</v>
      </c>
      <c r="J25" s="489">
        <f>(J24-H24)/H24</f>
        <v>0</v>
      </c>
      <c r="K25" s="1515" t="s">
        <v>2</v>
      </c>
    </row>
    <row r="26" spans="1:11" ht="15.75">
      <c r="A26" s="285"/>
      <c r="B26" s="148" t="s">
        <v>202</v>
      </c>
      <c r="C26" s="149"/>
      <c r="D26" s="149"/>
      <c r="E26" s="219" t="str">
        <f>'1st Interim-ADA'!$I$7</f>
        <v>2021-22</v>
      </c>
      <c r="F26" s="1528">
        <f>'1st Interim-ADA'!$J$76/F24</f>
        <v>0.91239754098360659</v>
      </c>
      <c r="G26" s="489">
        <f>G23/G24</f>
        <v>0.88541666666666674</v>
      </c>
      <c r="H26" s="489">
        <f>H23/H24</f>
        <v>0.78700000000000014</v>
      </c>
      <c r="I26" s="1514" t="s">
        <v>2</v>
      </c>
      <c r="J26" s="489">
        <f>J23/J24</f>
        <v>0.78700000000000014</v>
      </c>
      <c r="K26" s="1515" t="s">
        <v>2</v>
      </c>
    </row>
    <row r="27" spans="1:11" ht="15.75">
      <c r="A27" s="285"/>
      <c r="B27" s="148" t="s">
        <v>369</v>
      </c>
      <c r="C27" s="149"/>
      <c r="D27" s="149"/>
      <c r="E27" s="150" t="s">
        <v>359</v>
      </c>
      <c r="F27" s="1525">
        <f>+'Budget-Assumptions'!F27</f>
        <v>283</v>
      </c>
      <c r="G27" s="1526">
        <f>+G28*G24</f>
        <v>355.96800000000002</v>
      </c>
      <c r="H27" s="1526">
        <f>+H28*H24</f>
        <v>593.19999999999993</v>
      </c>
      <c r="I27" s="1521">
        <f>H27-G27</f>
        <v>237.23199999999991</v>
      </c>
      <c r="J27" s="1526">
        <f>+J28*J24</f>
        <v>595.40000000000009</v>
      </c>
      <c r="K27" s="1532">
        <f>J27-H27</f>
        <v>2.2000000000001592</v>
      </c>
    </row>
    <row r="28" spans="1:11" ht="16.5">
      <c r="A28" s="285"/>
      <c r="B28" s="148" t="s">
        <v>489</v>
      </c>
      <c r="C28" s="149"/>
      <c r="D28" s="149"/>
      <c r="E28" s="219" t="str">
        <f>E26</f>
        <v>2021-22</v>
      </c>
      <c r="F28" s="1408">
        <f>+'Budget-Assumptions'!F28</f>
        <v>0.60089999999999999</v>
      </c>
      <c r="G28" s="1529">
        <v>0.61799999999999999</v>
      </c>
      <c r="H28" s="1529">
        <v>0.59319999999999995</v>
      </c>
      <c r="I28" s="1514"/>
      <c r="J28" s="1529">
        <v>0.59540000000000004</v>
      </c>
      <c r="K28" s="1515" t="s">
        <v>2</v>
      </c>
    </row>
    <row r="29" spans="1:11" ht="15.75">
      <c r="A29" s="284"/>
      <c r="B29" s="333"/>
      <c r="C29" s="333"/>
      <c r="D29" s="333"/>
      <c r="E29" s="333"/>
      <c r="F29" s="1218"/>
      <c r="G29" s="669"/>
      <c r="H29" s="670"/>
      <c r="I29" s="495"/>
      <c r="J29" s="671"/>
      <c r="K29" s="672"/>
    </row>
    <row r="30" spans="1:11" ht="15.75">
      <c r="A30" s="689" t="s">
        <v>205</v>
      </c>
      <c r="C30" s="155"/>
      <c r="D30" s="155"/>
      <c r="E30" s="155"/>
      <c r="F30" s="152"/>
      <c r="G30" s="1322"/>
      <c r="H30" s="1322"/>
      <c r="I30" s="553"/>
      <c r="J30" s="680"/>
      <c r="K30" s="554"/>
    </row>
    <row r="31" spans="1:11" ht="15.75">
      <c r="A31" s="68"/>
      <c r="B31" s="147" t="s">
        <v>233</v>
      </c>
      <c r="C31" s="141"/>
      <c r="D31" s="141"/>
      <c r="E31" s="141"/>
      <c r="F31" s="1518"/>
      <c r="G31" s="1530">
        <v>33</v>
      </c>
      <c r="H31" s="1530">
        <f>+'Budget-Assumptions'!H31</f>
        <v>39</v>
      </c>
      <c r="I31" s="1521">
        <f>H31-G31</f>
        <v>6</v>
      </c>
      <c r="J31" s="1531">
        <f>+'Budget-Assumptions'!J31</f>
        <v>39</v>
      </c>
      <c r="K31" s="1532">
        <f>J31-H31</f>
        <v>0</v>
      </c>
    </row>
    <row r="32" spans="1:11" ht="15.75">
      <c r="A32" s="68"/>
      <c r="B32" s="147" t="s">
        <v>498</v>
      </c>
      <c r="C32" s="141"/>
      <c r="D32" s="141"/>
      <c r="E32" s="141"/>
      <c r="F32" s="1533"/>
      <c r="G32" s="1530">
        <v>6</v>
      </c>
      <c r="H32" s="1530">
        <f>+'Budget-Assumptions'!H32</f>
        <v>6</v>
      </c>
      <c r="I32" s="1521">
        <f>SUM(H32-G32)</f>
        <v>0</v>
      </c>
      <c r="J32" s="1531">
        <f>+'Budget-Assumptions'!J32</f>
        <v>6</v>
      </c>
      <c r="K32" s="1532">
        <f>SUM(J32-H32)</f>
        <v>0</v>
      </c>
    </row>
    <row r="33" spans="1:11" ht="15.75">
      <c r="A33" s="68"/>
      <c r="B33" s="147" t="s">
        <v>385</v>
      </c>
      <c r="C33" s="141"/>
      <c r="D33" s="141"/>
      <c r="E33" s="141"/>
      <c r="F33" s="1533"/>
      <c r="G33" s="1534">
        <v>1</v>
      </c>
      <c r="H33" s="1534">
        <f>+'Budget-Assumptions'!H33</f>
        <v>1</v>
      </c>
      <c r="I33" s="1521">
        <f>SUM(H33-G33)</f>
        <v>0</v>
      </c>
      <c r="J33" s="1531">
        <f>+'Budget-Assumptions'!J33</f>
        <v>1</v>
      </c>
      <c r="K33" s="1532">
        <f>SUM(J33-H33)</f>
        <v>0</v>
      </c>
    </row>
    <row r="34" spans="1:11" ht="15.75">
      <c r="A34" s="285"/>
      <c r="B34" s="151" t="s">
        <v>204</v>
      </c>
      <c r="C34" s="141"/>
      <c r="D34" s="149"/>
      <c r="E34" s="149"/>
      <c r="F34" s="1533"/>
      <c r="G34" s="1521">
        <f>G24/G31</f>
        <v>17.454545454545453</v>
      </c>
      <c r="H34" s="1521">
        <f>H24/H31</f>
        <v>25.641025641025642</v>
      </c>
      <c r="I34" s="1521">
        <f>H34-G34</f>
        <v>8.186480186480189</v>
      </c>
      <c r="J34" s="1521">
        <f>J24/J31</f>
        <v>25.641025641025642</v>
      </c>
      <c r="K34" s="1532">
        <f>J34-H34</f>
        <v>0</v>
      </c>
    </row>
    <row r="35" spans="1:11" ht="15.75">
      <c r="A35" s="68"/>
      <c r="B35" s="147" t="s">
        <v>347</v>
      </c>
      <c r="C35" s="141"/>
      <c r="D35" s="141"/>
      <c r="E35" s="141"/>
      <c r="F35" s="1518"/>
      <c r="G35" s="1535"/>
      <c r="H35" s="1535"/>
      <c r="I35" s="1521">
        <f>H35-G35</f>
        <v>0</v>
      </c>
      <c r="J35" s="1535"/>
      <c r="K35" s="1532">
        <f>J35-H35</f>
        <v>0</v>
      </c>
    </row>
    <row r="36" spans="1:11" ht="15.75">
      <c r="A36" s="68"/>
      <c r="B36" s="142" t="s">
        <v>486</v>
      </c>
      <c r="C36" s="141"/>
      <c r="D36" s="141"/>
      <c r="E36" s="141"/>
      <c r="F36" s="1518"/>
      <c r="G36" s="1536">
        <v>65292.090909090912</v>
      </c>
      <c r="H36" s="1536">
        <f>+G36*1.035</f>
        <v>67577.314090909087</v>
      </c>
      <c r="I36" s="634">
        <f>IF(G36&lt;1," ",IF(H36&lt;1," ",(H36-G36)/G36))</f>
        <v>3.4999999999999899E-2</v>
      </c>
      <c r="J36" s="1536">
        <f>+H36*1.035</f>
        <v>69942.520084090895</v>
      </c>
      <c r="K36" s="488">
        <f>IF(H36&lt;1," ",IF(J36&lt;1," ",(J36-H36)/H36))</f>
        <v>3.4999999999999844E-2</v>
      </c>
    </row>
    <row r="37" spans="1:11" ht="15.75">
      <c r="A37" s="68"/>
      <c r="B37" s="142" t="s">
        <v>487</v>
      </c>
      <c r="C37" s="141"/>
      <c r="D37" s="141"/>
      <c r="E37" s="141"/>
      <c r="F37" s="1518"/>
      <c r="G37" s="1536">
        <v>102121</v>
      </c>
      <c r="H37" s="1536">
        <f>+G37*1.035</f>
        <v>105695.23499999999</v>
      </c>
      <c r="I37" s="634">
        <f>IF(G37&lt;1," ",IF(H37&lt;1," ",(H37-G37)/G37))</f>
        <v>3.4999999999999865E-2</v>
      </c>
      <c r="J37" s="1536">
        <f>+H37*1.035</f>
        <v>109394.56822499998</v>
      </c>
      <c r="K37" s="488">
        <f>IF(H37&lt;1," ",IF(J37&lt;1," ",(J37-H37)/H37))</f>
        <v>3.4999999999999955E-2</v>
      </c>
    </row>
    <row r="38" spans="1:11" ht="15.75">
      <c r="A38" s="68"/>
      <c r="B38" s="142" t="s">
        <v>488</v>
      </c>
      <c r="C38" s="141"/>
      <c r="D38" s="141"/>
      <c r="E38" s="141"/>
      <c r="F38" s="1518"/>
      <c r="G38" s="1536">
        <v>64170</v>
      </c>
      <c r="H38" s="1536">
        <f>+'Budget-Assumptions'!H38</f>
        <v>66415.95</v>
      </c>
      <c r="I38" s="634">
        <f>IF(G38&lt;1," ",IF(H38&lt;1," ",(H38-G38)/G38))</f>
        <v>3.4999999999999955E-2</v>
      </c>
      <c r="J38" s="1536">
        <f>+'Budget-Assumptions'!J38</f>
        <v>68740.508249999984</v>
      </c>
      <c r="K38" s="488">
        <f>IF(H38&lt;1," ",IF(J38&lt;1," ",(J38-H38)/H38))</f>
        <v>3.4999999999999809E-2</v>
      </c>
    </row>
    <row r="39" spans="1:11" ht="15.75">
      <c r="A39" s="68"/>
      <c r="B39" s="147" t="s">
        <v>389</v>
      </c>
      <c r="C39" s="141"/>
      <c r="D39" s="141"/>
      <c r="E39" s="141"/>
      <c r="F39" s="1518"/>
      <c r="G39" s="1536"/>
      <c r="H39" s="1536">
        <f>+'Budget-Assumptions'!H39</f>
        <v>0</v>
      </c>
      <c r="I39" s="489" t="str">
        <f>IF(H39&lt;1," ",IF(G39&lt;1," ",(H39-G39)/G39))</f>
        <v xml:space="preserve"> </v>
      </c>
      <c r="J39" s="1536">
        <f>+'Budget-Assumptions'!J39</f>
        <v>0</v>
      </c>
      <c r="K39" s="488" t="str">
        <f>IF(J39&lt;1," ",IF(H39&lt;1," ",(J39-H39)/H39))</f>
        <v xml:space="preserve"> </v>
      </c>
    </row>
    <row r="40" spans="1:11" ht="15.75">
      <c r="A40" s="68"/>
      <c r="B40" s="147" t="s">
        <v>507</v>
      </c>
      <c r="C40" s="141"/>
      <c r="D40" s="141"/>
      <c r="E40" s="141"/>
      <c r="F40" s="1518"/>
      <c r="G40" s="1536">
        <v>132000</v>
      </c>
      <c r="H40" s="1536">
        <f>+'Budget-Assumptions'!H40</f>
        <v>184000</v>
      </c>
      <c r="I40" s="489">
        <f>IF(H40&lt;1," ",IF(G40&lt;1," ",(H40-G40)/G40))</f>
        <v>0.39393939393939392</v>
      </c>
      <c r="J40" s="1536">
        <f>+'Budget-Assumptions'!J40</f>
        <v>184000</v>
      </c>
      <c r="K40" s="488">
        <f>IF(J40&lt;1," ",IF(H40&lt;1," ",(J40-H40)/H40))</f>
        <v>0</v>
      </c>
    </row>
    <row r="41" spans="1:11" ht="15.75">
      <c r="A41" s="68"/>
      <c r="B41" s="147" t="s">
        <v>234</v>
      </c>
      <c r="C41" s="141"/>
      <c r="D41" s="141"/>
      <c r="E41" s="141"/>
      <c r="F41" s="1518"/>
      <c r="G41" s="1536">
        <v>9527.7491995226646</v>
      </c>
      <c r="H41" s="1536">
        <f>+'Budget-Assumptions'!H41</f>
        <v>9861.2204215059573</v>
      </c>
      <c r="I41" s="489">
        <f>IF(H41&lt;1," ",IF(G41&lt;1," ",(H41-G41)/G41))</f>
        <v>3.4999999999999941E-2</v>
      </c>
      <c r="J41" s="1536">
        <f>+'Budget-Assumptions'!J41</f>
        <v>10206.363136258666</v>
      </c>
      <c r="K41" s="488">
        <f>IF(J41&lt;1," ",IF(H41&lt;1," ",(J41-H41)/H41))</f>
        <v>3.4999999999999983E-2</v>
      </c>
    </row>
    <row r="42" spans="1:11" ht="15.75">
      <c r="A42" s="68"/>
      <c r="B42" s="142" t="s">
        <v>513</v>
      </c>
      <c r="C42" s="141"/>
      <c r="D42" s="141"/>
      <c r="E42" s="141"/>
      <c r="F42" s="1518"/>
      <c r="G42" s="1536">
        <v>11694.094616969031</v>
      </c>
      <c r="H42" s="1536">
        <f>+'Budget-Assumptions'!H42</f>
        <v>12103.387928562946</v>
      </c>
      <c r="I42" s="489">
        <f>IF(H42&lt;1," ",IF(G42&lt;1," ",(H42-G42)/G42))</f>
        <v>3.4999999999999983E-2</v>
      </c>
      <c r="J42" s="1536">
        <f>+'Budget-Assumptions'!J42</f>
        <v>12527.006506062649</v>
      </c>
      <c r="K42" s="488">
        <f>IF(J42&lt;1," ",IF(H42&lt;1," ",(J42-H42)/H42))</f>
        <v>3.4999999999999983E-2</v>
      </c>
    </row>
    <row r="43" spans="1:11" ht="15.75">
      <c r="A43" s="68"/>
      <c r="B43" s="142" t="s">
        <v>447</v>
      </c>
      <c r="C43" s="141"/>
      <c r="D43" s="141"/>
      <c r="E43" s="141"/>
      <c r="F43" s="1518"/>
      <c r="G43" s="1333">
        <v>0.14802944702827778</v>
      </c>
      <c r="H43" s="1333">
        <f>+'Budget-Assumptions'!H43</f>
        <v>0.14802944702827778</v>
      </c>
      <c r="I43" s="489">
        <f>H43-G43</f>
        <v>0</v>
      </c>
      <c r="J43" s="1333">
        <f>+'Budget-Assumptions'!J43</f>
        <v>0.14802944702827778</v>
      </c>
      <c r="K43" s="488">
        <f>J43-H43</f>
        <v>0</v>
      </c>
    </row>
    <row r="44" spans="1:11" ht="9" customHeight="1">
      <c r="A44" s="68"/>
      <c r="B44" s="1282"/>
      <c r="C44" s="153"/>
      <c r="D44" s="153"/>
      <c r="E44" s="153"/>
      <c r="F44" s="1283"/>
      <c r="G44" s="1284"/>
      <c r="H44" s="1284"/>
      <c r="I44" s="1285"/>
      <c r="J44" s="1284"/>
      <c r="K44" s="1546"/>
    </row>
    <row r="45" spans="1:11" ht="12" customHeight="1">
      <c r="A45" s="68"/>
      <c r="B45" s="1321" t="s">
        <v>509</v>
      </c>
      <c r="C45" s="1"/>
      <c r="D45" s="1"/>
      <c r="E45" s="1"/>
      <c r="G45" s="1284"/>
      <c r="H45" s="1284"/>
      <c r="I45" s="1379"/>
      <c r="J45" s="1284"/>
      <c r="K45" s="1594"/>
    </row>
    <row r="46" spans="1:11" ht="51" customHeight="1">
      <c r="A46" s="68"/>
      <c r="B46" s="1697"/>
      <c r="C46" s="1698"/>
      <c r="D46" s="1698"/>
      <c r="E46" s="1698"/>
      <c r="F46" s="1698"/>
      <c r="G46" s="1698"/>
      <c r="H46" s="1698"/>
      <c r="I46" s="1698"/>
      <c r="J46" s="1698"/>
      <c r="K46" s="1699"/>
    </row>
    <row r="47" spans="1:11" ht="15.75">
      <c r="A47" s="68"/>
      <c r="B47" s="1695" t="s">
        <v>392</v>
      </c>
      <c r="C47" s="1695"/>
      <c r="D47" s="1695"/>
      <c r="E47" s="1695"/>
      <c r="F47" s="1695"/>
      <c r="G47" s="1695"/>
      <c r="H47" s="1695"/>
      <c r="I47" s="1695"/>
      <c r="J47" s="1695"/>
      <c r="K47" s="1696"/>
    </row>
    <row r="48" spans="1:11" ht="87.75" customHeight="1">
      <c r="A48" s="68"/>
      <c r="B48" s="1697"/>
      <c r="C48" s="1698"/>
      <c r="D48" s="1698"/>
      <c r="E48" s="1698"/>
      <c r="F48" s="1698"/>
      <c r="G48" s="1698"/>
      <c r="H48" s="1698"/>
      <c r="I48" s="1698"/>
      <c r="J48" s="1698"/>
      <c r="K48" s="1699"/>
    </row>
    <row r="49" spans="1:11" ht="15.75">
      <c r="A49" s="284"/>
      <c r="B49" s="1217"/>
      <c r="C49" s="1217"/>
      <c r="D49" s="1217"/>
      <c r="E49" s="1217"/>
      <c r="F49" s="1218"/>
      <c r="G49" s="1219"/>
      <c r="H49" s="1220"/>
      <c r="I49" s="1053"/>
      <c r="J49" s="1221"/>
      <c r="K49" s="313"/>
    </row>
    <row r="50" spans="1:11" ht="15.75">
      <c r="A50" s="689" t="s">
        <v>384</v>
      </c>
      <c r="C50" s="155"/>
      <c r="D50" s="155"/>
      <c r="E50" s="155"/>
      <c r="F50" s="152"/>
      <c r="G50" s="1322"/>
      <c r="H50" s="1322"/>
      <c r="I50" s="553"/>
      <c r="J50" s="680"/>
      <c r="K50" s="554"/>
    </row>
    <row r="51" spans="1:11" ht="15.75">
      <c r="A51" s="68"/>
      <c r="B51" s="147" t="s">
        <v>463</v>
      </c>
      <c r="C51" s="141"/>
      <c r="D51" s="141"/>
      <c r="E51" s="141"/>
      <c r="F51" s="1518"/>
      <c r="G51" s="1530">
        <v>1</v>
      </c>
      <c r="H51" s="1530">
        <f>+'Budget-Assumptions'!H51</f>
        <v>2</v>
      </c>
      <c r="I51" s="1521">
        <f>SUM(H51-G51)</f>
        <v>1</v>
      </c>
      <c r="J51" s="1531">
        <f>+'Budget-Assumptions'!J51</f>
        <v>2</v>
      </c>
      <c r="K51" s="1532">
        <f>SUM(J51-H51)</f>
        <v>0</v>
      </c>
    </row>
    <row r="52" spans="1:11" ht="15.75">
      <c r="A52" s="68"/>
      <c r="B52" s="147" t="s">
        <v>462</v>
      </c>
      <c r="C52" s="141"/>
      <c r="D52" s="141"/>
      <c r="E52" s="141"/>
      <c r="F52" s="1518"/>
      <c r="G52" s="1530">
        <v>1</v>
      </c>
      <c r="H52" s="1530">
        <f>+'Budget-Assumptions'!H52</f>
        <v>0</v>
      </c>
      <c r="I52" s="1521">
        <f>SUM(H52-G52)</f>
        <v>-1</v>
      </c>
      <c r="J52" s="1531">
        <f>+'Budget-Assumptions'!J52</f>
        <v>0</v>
      </c>
      <c r="K52" s="1532">
        <f>SUM(J52-H52)</f>
        <v>0</v>
      </c>
    </row>
    <row r="53" spans="1:11" ht="15.75">
      <c r="A53" s="68"/>
      <c r="B53" s="142" t="s">
        <v>494</v>
      </c>
      <c r="C53" s="141"/>
      <c r="D53" s="141"/>
      <c r="E53" s="141"/>
      <c r="F53" s="1518"/>
      <c r="G53" s="1536">
        <v>60030</v>
      </c>
      <c r="H53" s="1536">
        <f>+'Budget-Assumptions'!H53</f>
        <v>66576.633749999994</v>
      </c>
      <c r="I53" s="634">
        <f t="shared" ref="I53:I56" si="0">IF(G53&lt;1," ",IF(H53&lt;1," ",(H53-G53)/G53))</f>
        <v>0.10905603448275851</v>
      </c>
      <c r="J53" s="1536">
        <f>+'Budget-Assumptions'!J53</f>
        <v>68906.815931249992</v>
      </c>
      <c r="K53" s="488">
        <f t="shared" ref="K53:K58" si="1">IF(H53&lt;1," ",IF(J53&lt;1," ",(J53-H53)/H53))</f>
        <v>3.4999999999999983E-2</v>
      </c>
    </row>
    <row r="54" spans="1:11" ht="15.75">
      <c r="A54" s="68"/>
      <c r="B54" s="142" t="s">
        <v>495</v>
      </c>
      <c r="C54" s="141"/>
      <c r="D54" s="141"/>
      <c r="E54" s="141"/>
      <c r="F54" s="1518"/>
      <c r="G54" s="1536">
        <v>72800</v>
      </c>
      <c r="H54" s="1536">
        <f>+'Budget-Assumptions'!H54</f>
        <v>0</v>
      </c>
      <c r="I54" s="634" t="str">
        <f t="shared" si="0"/>
        <v xml:space="preserve"> </v>
      </c>
      <c r="J54" s="1536">
        <f>+'Budget-Assumptions'!J54</f>
        <v>0</v>
      </c>
      <c r="K54" s="488" t="str">
        <f t="shared" si="1"/>
        <v xml:space="preserve"> </v>
      </c>
    </row>
    <row r="55" spans="1:11" ht="15.75">
      <c r="A55" s="68"/>
      <c r="B55" s="147" t="s">
        <v>388</v>
      </c>
      <c r="C55" s="141"/>
      <c r="D55" s="141"/>
      <c r="E55" s="141"/>
      <c r="F55" s="1518"/>
      <c r="G55" s="1536"/>
      <c r="H55" s="1536">
        <f>+'Budget-Assumptions'!H55</f>
        <v>0</v>
      </c>
      <c r="I55" s="489" t="str">
        <f t="shared" si="0"/>
        <v xml:space="preserve"> </v>
      </c>
      <c r="J55" s="1536">
        <f>+'Budget-Assumptions'!J55</f>
        <v>0</v>
      </c>
      <c r="K55" s="488" t="str">
        <f t="shared" si="1"/>
        <v xml:space="preserve"> </v>
      </c>
    </row>
    <row r="56" spans="1:11" ht="15.75">
      <c r="A56" s="68"/>
      <c r="B56" s="147" t="s">
        <v>507</v>
      </c>
      <c r="C56" s="141"/>
      <c r="D56" s="141"/>
      <c r="E56" s="141"/>
      <c r="F56" s="1518"/>
      <c r="G56" s="1536">
        <v>8000</v>
      </c>
      <c r="H56" s="1536">
        <f>+'Budget-Assumptions'!H56</f>
        <v>8000</v>
      </c>
      <c r="I56" s="489">
        <f t="shared" si="0"/>
        <v>0</v>
      </c>
      <c r="J56" s="1536">
        <f>+'Budget-Assumptions'!J56</f>
        <v>8000</v>
      </c>
      <c r="K56" s="488">
        <f t="shared" si="1"/>
        <v>0</v>
      </c>
    </row>
    <row r="57" spans="1:11" ht="15.75">
      <c r="A57" s="68"/>
      <c r="B57" s="147" t="s">
        <v>387</v>
      </c>
      <c r="C57" s="141"/>
      <c r="D57" s="141"/>
      <c r="E57" s="141"/>
      <c r="F57" s="1518"/>
      <c r="G57" s="1536">
        <f>(807+724)*3</f>
        <v>4593</v>
      </c>
      <c r="H57" s="1536">
        <f>+'Budget-Assumptions'!H57</f>
        <v>8029.5954048208696</v>
      </c>
      <c r="I57" s="489">
        <f>IF(G57&lt;1," ",IF(H57&lt;1," ",(H57-G57)/G57))</f>
        <v>0.74822456016130412</v>
      </c>
      <c r="J57" s="1536">
        <f>+'Budget-Assumptions'!J57</f>
        <v>8310.6312439895992</v>
      </c>
      <c r="K57" s="488">
        <f t="shared" si="1"/>
        <v>3.4999999999999892E-2</v>
      </c>
    </row>
    <row r="58" spans="1:11" ht="15.75">
      <c r="A58" s="68"/>
      <c r="B58" s="142" t="s">
        <v>512</v>
      </c>
      <c r="C58" s="141"/>
      <c r="D58" s="141"/>
      <c r="E58" s="141"/>
      <c r="F58" s="1518"/>
      <c r="G58" s="1536"/>
      <c r="H58" s="1536"/>
      <c r="I58" s="489" t="str">
        <f>IF(G58&lt;1," ",IF(H58&lt;1," ",(H58-G58)/G58))</f>
        <v xml:space="preserve"> </v>
      </c>
      <c r="J58" s="1536"/>
      <c r="K58" s="488" t="str">
        <f t="shared" si="1"/>
        <v xml:space="preserve"> </v>
      </c>
    </row>
    <row r="59" spans="1:11" ht="15.75">
      <c r="A59" s="68"/>
      <c r="B59" s="142" t="s">
        <v>448</v>
      </c>
      <c r="C59" s="141"/>
      <c r="D59" s="141"/>
      <c r="E59" s="141"/>
      <c r="F59" s="1518"/>
      <c r="G59" s="1333"/>
      <c r="H59" s="1333">
        <f>+'Budget-Assumptions'!H59</f>
        <v>0</v>
      </c>
      <c r="I59" s="489">
        <f>H59-G59</f>
        <v>0</v>
      </c>
      <c r="J59" s="1333">
        <f>+'Budget-Assumptions'!J59</f>
        <v>0</v>
      </c>
      <c r="K59" s="488">
        <f>J59-H59</f>
        <v>0</v>
      </c>
    </row>
    <row r="60" spans="1:11" ht="5.25" customHeight="1">
      <c r="A60" s="68"/>
      <c r="B60" s="1282"/>
      <c r="C60" s="153"/>
      <c r="D60" s="153"/>
      <c r="E60" s="153"/>
      <c r="F60" s="1283"/>
      <c r="G60" s="1284"/>
      <c r="H60" s="1284"/>
      <c r="I60" s="1285"/>
      <c r="J60" s="1284"/>
      <c r="K60" s="1546"/>
    </row>
    <row r="61" spans="1:11" ht="12" customHeight="1">
      <c r="A61" s="68"/>
      <c r="B61" s="1321" t="s">
        <v>509</v>
      </c>
      <c r="C61" s="1"/>
      <c r="D61" s="1"/>
      <c r="E61" s="1"/>
      <c r="G61" s="1284"/>
      <c r="H61" s="1284"/>
      <c r="I61" s="1379"/>
      <c r="J61" s="1284"/>
      <c r="K61" s="1594"/>
    </row>
    <row r="62" spans="1:11" ht="51" customHeight="1">
      <c r="A62" s="68"/>
      <c r="B62" s="1697"/>
      <c r="C62" s="1698"/>
      <c r="D62" s="1698"/>
      <c r="E62" s="1698"/>
      <c r="F62" s="1698"/>
      <c r="G62" s="1698"/>
      <c r="H62" s="1698"/>
      <c r="I62" s="1698"/>
      <c r="J62" s="1698"/>
      <c r="K62" s="1699"/>
    </row>
    <row r="63" spans="1:11" ht="12.75" customHeight="1">
      <c r="A63" s="68"/>
      <c r="B63" s="1695" t="s">
        <v>392</v>
      </c>
      <c r="C63" s="1695"/>
      <c r="D63" s="1695"/>
      <c r="E63" s="1695"/>
      <c r="F63" s="1695"/>
      <c r="G63" s="1695"/>
      <c r="H63" s="1695"/>
      <c r="I63" s="1695"/>
      <c r="J63" s="1695"/>
      <c r="K63" s="1696"/>
    </row>
    <row r="64" spans="1:11" ht="89.25" customHeight="1">
      <c r="A64" s="68"/>
      <c r="B64" s="1697"/>
      <c r="C64" s="1698"/>
      <c r="D64" s="1698"/>
      <c r="E64" s="1698"/>
      <c r="F64" s="1698"/>
      <c r="G64" s="1698"/>
      <c r="H64" s="1698"/>
      <c r="I64" s="1698"/>
      <c r="J64" s="1698"/>
      <c r="K64" s="1699"/>
    </row>
    <row r="65" spans="1:13">
      <c r="A65" s="239"/>
      <c r="H65" s="1547"/>
      <c r="J65" s="1547"/>
      <c r="K65" s="472"/>
    </row>
    <row r="66" spans="1:13" ht="15.75">
      <c r="A66" s="689" t="s">
        <v>452</v>
      </c>
      <c r="K66" s="472"/>
      <c r="M66" s="1281"/>
    </row>
    <row r="67" spans="1:13" ht="15.75">
      <c r="A67" s="239"/>
      <c r="B67" s="1247" t="s">
        <v>497</v>
      </c>
      <c r="C67" s="1248"/>
      <c r="D67" s="146"/>
      <c r="E67" s="146"/>
      <c r="F67" s="1518"/>
      <c r="G67" s="1537">
        <f>+'Budget-Assumptions'!G67</f>
        <v>1.5605041483138356E-2</v>
      </c>
      <c r="H67" s="1333">
        <f>+'Budget-Assumptions'!H67</f>
        <v>1.5605041483138356E-2</v>
      </c>
      <c r="I67" s="489">
        <f>H67-G67</f>
        <v>0</v>
      </c>
      <c r="J67" s="1333">
        <f>+'Budget-Assumptions'!J67</f>
        <v>1.5605041483138356E-2</v>
      </c>
      <c r="K67" s="488">
        <f>J67-H67</f>
        <v>0</v>
      </c>
      <c r="M67" s="1281"/>
    </row>
    <row r="68" spans="1:13" ht="15.75">
      <c r="A68" s="239"/>
      <c r="B68" s="1247" t="s">
        <v>496</v>
      </c>
      <c r="C68" s="146"/>
      <c r="D68" s="146"/>
      <c r="E68" s="146"/>
      <c r="F68" s="1518"/>
      <c r="G68" s="1537">
        <f>+'Budget-Assumptions'!G68</f>
        <v>1.3122609729044778E-2</v>
      </c>
      <c r="H68" s="1333">
        <f>+'Budget-Assumptions'!H68</f>
        <v>1.3122609729044778E-2</v>
      </c>
      <c r="I68" s="489">
        <f>H68-G68</f>
        <v>0</v>
      </c>
      <c r="J68" s="1333">
        <f>+'Budget-Assumptions'!J68</f>
        <v>1.3122609729044778E-2</v>
      </c>
      <c r="K68" s="488">
        <f>J68-H68</f>
        <v>0</v>
      </c>
      <c r="M68" s="1281"/>
    </row>
    <row r="69" spans="1:13" ht="15.75">
      <c r="A69" s="239"/>
      <c r="B69" s="1247" t="s">
        <v>455</v>
      </c>
      <c r="C69" s="146"/>
      <c r="D69" s="146"/>
      <c r="E69" s="146"/>
      <c r="F69" s="1518"/>
      <c r="G69" s="1399">
        <f>+'Budget-Assumptions'!G69</f>
        <v>1.2232472730360889E-2</v>
      </c>
      <c r="H69" s="1333">
        <f>+'Budget-Assumptions'!H69</f>
        <v>1.2232472730360889E-2</v>
      </c>
      <c r="I69" s="489">
        <f>H69-G69</f>
        <v>0</v>
      </c>
      <c r="J69" s="1333">
        <f>+'Budget-Assumptions'!J69</f>
        <v>1.2232472730360889E-2</v>
      </c>
      <c r="K69" s="488">
        <f>J69-H69</f>
        <v>0</v>
      </c>
      <c r="M69" s="1281"/>
    </row>
    <row r="70" spans="1:13" ht="15.75">
      <c r="A70" s="239"/>
      <c r="B70" s="1247" t="s">
        <v>456</v>
      </c>
      <c r="C70" s="146"/>
      <c r="D70" s="146"/>
      <c r="E70" s="146"/>
      <c r="F70" s="1518"/>
      <c r="G70" s="1561">
        <f>+'Budget-Assumptions'!G70</f>
        <v>0</v>
      </c>
      <c r="H70" s="1561">
        <f>+'Budget-Assumptions'!H70</f>
        <v>0</v>
      </c>
      <c r="I70" s="1538">
        <f>H70-G70</f>
        <v>0</v>
      </c>
      <c r="J70" s="1561">
        <f>+'Budget-Assumptions'!J70</f>
        <v>0</v>
      </c>
      <c r="K70" s="488">
        <f>J70-H70</f>
        <v>0</v>
      </c>
    </row>
    <row r="71" spans="1:13" ht="15.75">
      <c r="A71" s="284"/>
      <c r="B71" s="333"/>
      <c r="C71" s="333"/>
      <c r="D71" s="333"/>
      <c r="E71" s="333"/>
      <c r="F71" s="668"/>
      <c r="G71" s="1219"/>
      <c r="H71" s="1220"/>
      <c r="I71" s="1053"/>
      <c r="J71" s="1221"/>
      <c r="K71" s="672"/>
    </row>
    <row r="72" spans="1:13" ht="15.75">
      <c r="A72" s="687" t="s">
        <v>339</v>
      </c>
      <c r="B72" s="166"/>
      <c r="C72" s="166"/>
      <c r="D72" s="166"/>
      <c r="E72" s="166"/>
      <c r="F72" s="665"/>
      <c r="G72" s="1219"/>
      <c r="H72" s="1220"/>
      <c r="I72" s="553"/>
      <c r="J72" s="1556"/>
      <c r="K72" s="554"/>
    </row>
    <row r="73" spans="1:13" ht="15.75">
      <c r="A73" s="68"/>
      <c r="B73" s="1557" t="s">
        <v>340</v>
      </c>
      <c r="C73" s="141"/>
      <c r="D73" s="141"/>
      <c r="E73" s="141"/>
      <c r="F73" s="1518"/>
      <c r="G73" s="1536">
        <f>+'Budget-Assumptions'!G73</f>
        <v>18315.059999999998</v>
      </c>
      <c r="H73" s="1536">
        <f>+'Budget-Assumptions'!H73</f>
        <v>18896.490476190476</v>
      </c>
      <c r="I73" s="489">
        <f>IF(G73&lt;1," ",IF(H73&lt;1," ",(H73-G73)/G73))</f>
        <v>3.1746031746031883E-2</v>
      </c>
      <c r="J73" s="1536">
        <f>+'Budget-Assumptions'!J73</f>
        <v>18896.490476190476</v>
      </c>
      <c r="K73" s="488">
        <f>IF(H73&lt;1," ",IF(J73&lt;1," ",(J73-H73)/H73))</f>
        <v>0</v>
      </c>
    </row>
    <row r="74" spans="1:13" ht="15.75">
      <c r="A74" s="68"/>
      <c r="B74" s="147" t="s">
        <v>341</v>
      </c>
      <c r="C74" s="141"/>
      <c r="D74" s="141"/>
      <c r="E74" s="141"/>
      <c r="F74" s="1518"/>
      <c r="G74" s="1536"/>
      <c r="H74" s="1536">
        <f>+'Budget-Assumptions'!H74</f>
        <v>0</v>
      </c>
      <c r="I74" s="489" t="str">
        <f>IF(G74&lt;1," ",IF(H74&lt;1," ",(H74-G74)/G74))</f>
        <v xml:space="preserve"> </v>
      </c>
      <c r="J74" s="1536">
        <f>+'Budget-Assumptions'!J74</f>
        <v>0</v>
      </c>
      <c r="K74" s="488" t="str">
        <f>IF(H74&lt;1," ",IF(J74&lt;1," ",(J74-H74)/H74))</f>
        <v xml:space="preserve"> </v>
      </c>
    </row>
    <row r="75" spans="1:13" ht="15.75">
      <c r="A75" s="68"/>
      <c r="B75" s="147" t="s">
        <v>342</v>
      </c>
      <c r="C75" s="141"/>
      <c r="D75" s="141"/>
      <c r="E75" s="141"/>
      <c r="F75" s="1518"/>
      <c r="G75" s="1536"/>
      <c r="H75" s="1536">
        <f>+'Budget-Assumptions'!H75</f>
        <v>0</v>
      </c>
      <c r="I75" s="489" t="str">
        <f>IF(G75&lt;1," ",IF(H75&lt;1," ",(H75-G75)/G75))</f>
        <v xml:space="preserve"> </v>
      </c>
      <c r="J75" s="1536">
        <f>+'Budget-Assumptions'!J75</f>
        <v>0</v>
      </c>
      <c r="K75" s="488" t="str">
        <f>IF(H75&lt;1," ",IF(J75&lt;1," ",(J75-H75)/H75))</f>
        <v xml:space="preserve"> </v>
      </c>
    </row>
    <row r="76" spans="1:13" ht="15.75">
      <c r="A76" s="68"/>
      <c r="B76" s="147" t="s">
        <v>161</v>
      </c>
      <c r="C76" s="141"/>
      <c r="D76" s="141"/>
      <c r="E76" s="141"/>
      <c r="F76" s="1518"/>
      <c r="G76" s="1536"/>
      <c r="H76" s="1536">
        <f>+'Budget-Assumptions'!H76</f>
        <v>0</v>
      </c>
      <c r="I76" s="489" t="str">
        <f>IF(G76&lt;1," ",IF(H76&lt;1," ",(H76-G76)/G76))</f>
        <v xml:space="preserve"> </v>
      </c>
      <c r="J76" s="1536">
        <f>+'Budget-Assumptions'!J76</f>
        <v>0</v>
      </c>
      <c r="K76" s="488" t="str">
        <f>IF(H76&lt;1," ",IF(J76&lt;1," ",(J76-H76)/H76))</f>
        <v xml:space="preserve"> </v>
      </c>
    </row>
    <row r="77" spans="1:13" ht="9.75" customHeight="1">
      <c r="A77" s="68"/>
      <c r="B77" s="1282"/>
      <c r="C77" s="153"/>
      <c r="D77" s="153"/>
      <c r="E77" s="153"/>
      <c r="F77" s="1283"/>
      <c r="G77" s="1284"/>
      <c r="H77" s="1284"/>
      <c r="I77" s="1285"/>
      <c r="J77" s="1284"/>
      <c r="K77" s="1546"/>
    </row>
    <row r="78" spans="1:13" ht="15.75">
      <c r="A78" s="68"/>
      <c r="B78" s="1695" t="s">
        <v>464</v>
      </c>
      <c r="C78" s="1695"/>
      <c r="D78" s="1695"/>
      <c r="E78" s="1695"/>
      <c r="F78" s="1695"/>
      <c r="G78" s="1695"/>
      <c r="H78" s="1695"/>
      <c r="I78" s="1695"/>
      <c r="J78" s="1695"/>
      <c r="K78" s="1696"/>
    </row>
    <row r="79" spans="1:13" ht="42" customHeight="1">
      <c r="A79" s="68"/>
      <c r="B79" s="1697"/>
      <c r="C79" s="1698"/>
      <c r="D79" s="1698"/>
      <c r="E79" s="1698"/>
      <c r="F79" s="1698"/>
      <c r="G79" s="1698"/>
      <c r="H79" s="1698"/>
      <c r="I79" s="1698"/>
      <c r="J79" s="1698"/>
      <c r="K79" s="1699"/>
    </row>
    <row r="80" spans="1:13" ht="15.75">
      <c r="A80" s="1286"/>
      <c r="B80" s="1287"/>
      <c r="C80" s="1287"/>
      <c r="D80" s="1287"/>
      <c r="E80" s="1287"/>
      <c r="F80" s="668"/>
      <c r="G80" s="1288"/>
      <c r="H80" s="1289"/>
      <c r="I80" s="1290"/>
      <c r="J80" s="1291"/>
      <c r="K80" s="1292"/>
    </row>
    <row r="81" spans="1:11" ht="15.75">
      <c r="A81" s="306" t="s">
        <v>206</v>
      </c>
      <c r="C81" s="1"/>
      <c r="D81" s="1"/>
      <c r="E81" s="1"/>
      <c r="F81" s="152"/>
      <c r="G81" s="1558"/>
      <c r="H81" s="1558"/>
      <c r="I81" s="159"/>
      <c r="J81" s="1558"/>
      <c r="K81" s="1294"/>
    </row>
    <row r="82" spans="1:11" ht="15.75">
      <c r="A82" s="68"/>
      <c r="B82" s="693">
        <f>+'Budget-Assumptions'!B82</f>
        <v>0.03</v>
      </c>
      <c r="C82" s="141" t="s">
        <v>41</v>
      </c>
      <c r="D82" s="141"/>
      <c r="E82" s="141"/>
      <c r="F82" s="1518"/>
      <c r="G82" s="1548">
        <f>B82*('1st Interim-Summary MYP'!G13+'1st Interim-Summary MYP'!G14+'1st Interim-Summary MYP'!G15+'1st Interim-Summary MYP'!G16)</f>
        <v>162033.56399999998</v>
      </c>
      <c r="H82" s="1548">
        <f>B82*('1st Interim-Summary MYP'!I13+'1st Interim-Summary MYP'!I14+'1st Interim-Summary MYP'!I15+'1st Interim-Summary MYP'!I16)</f>
        <v>262668.1347</v>
      </c>
      <c r="I82" s="298">
        <f>IF(G82&lt;1," ",IF(H82&lt;1," ",(H82-G82)/G82))</f>
        <v>0.62107237670832216</v>
      </c>
      <c r="J82" s="1548">
        <f>B82*('1st Interim-Summary MYP'!K13+'1st Interim-Summary MYP'!K14+'1st Interim-Summary MYP'!K15+'1st Interim-Summary MYP'!K16)</f>
        <v>272285.76660000003</v>
      </c>
      <c r="K82" s="926">
        <f>IF(H82&lt;1," ",IF(J82&lt;1," ",(J82-H82)/H82))</f>
        <v>3.661514523253679E-2</v>
      </c>
    </row>
    <row r="83" spans="1:11" ht="15.75">
      <c r="A83" s="68"/>
      <c r="B83" s="154"/>
      <c r="C83" s="141" t="s">
        <v>235</v>
      </c>
      <c r="D83" s="141"/>
      <c r="E83" s="141"/>
      <c r="F83" s="1518"/>
      <c r="G83" s="1540">
        <v>2030113</v>
      </c>
      <c r="H83" s="1540">
        <f>+'Budget-Assumptions'!H83</f>
        <v>3490662.3143580304</v>
      </c>
      <c r="I83" s="489">
        <f>IF(G83&lt;1," ",IF(H83&lt;1," ",(H83-G83)/G83))</f>
        <v>0.71944237308860659</v>
      </c>
      <c r="J83" s="1540">
        <f>+'Budget-Assumptions'!J83</f>
        <v>3534043.8711580299</v>
      </c>
      <c r="K83" s="488">
        <f>IF(H83&lt;1," ",IF(J83&lt;1," ",(J83-H83)/H83))</f>
        <v>1.2427887000572773E-2</v>
      </c>
    </row>
    <row r="84" spans="1:11" ht="15.75">
      <c r="A84" s="68"/>
      <c r="B84" s="147"/>
      <c r="C84" s="141" t="s">
        <v>249</v>
      </c>
      <c r="D84" s="141"/>
      <c r="E84" s="141"/>
      <c r="F84" s="1518"/>
      <c r="G84" s="1540"/>
      <c r="H84" s="1540">
        <f>+'Budget-Assumptions'!H84</f>
        <v>0</v>
      </c>
      <c r="I84" s="489" t="str">
        <f>IF(G84&lt;1," ",IF(H84&lt;1," ",(H84-G84)/G84))</f>
        <v xml:space="preserve"> </v>
      </c>
      <c r="J84" s="1540">
        <f>+'Budget-Assumptions'!J84</f>
        <v>0</v>
      </c>
      <c r="K84" s="488" t="str">
        <f>IF(H84&lt;1," ",IF(J84&lt;1," ",(J84-H84)/H84))</f>
        <v xml:space="preserve"> </v>
      </c>
    </row>
    <row r="85" spans="1:11" ht="15.75">
      <c r="A85" s="284"/>
      <c r="B85" s="333"/>
      <c r="C85" s="333"/>
      <c r="D85" s="333"/>
      <c r="E85" s="333"/>
      <c r="F85" s="668"/>
      <c r="G85" s="669"/>
      <c r="H85" s="670"/>
      <c r="I85" s="495"/>
      <c r="J85" s="671"/>
      <c r="K85" s="672"/>
    </row>
    <row r="86" spans="1:11" ht="15.75">
      <c r="A86" s="687" t="s">
        <v>345</v>
      </c>
      <c r="C86" s="155"/>
      <c r="D86" s="155"/>
      <c r="E86" s="155"/>
      <c r="F86" s="152"/>
      <c r="G86" s="681"/>
      <c r="H86" s="681"/>
      <c r="I86" s="682"/>
      <c r="J86" s="681"/>
      <c r="K86" s="683"/>
    </row>
    <row r="87" spans="1:11" ht="15.75">
      <c r="A87" s="287"/>
      <c r="B87" s="1701" t="s">
        <v>536</v>
      </c>
      <c r="C87" s="1701"/>
      <c r="D87" s="1701"/>
      <c r="E87" s="1701"/>
      <c r="F87" s="1701"/>
      <c r="G87" s="1540">
        <v>339072</v>
      </c>
      <c r="H87" s="1540">
        <f>+'Budget-Assumptions'!H87</f>
        <v>504576</v>
      </c>
      <c r="I87" s="489">
        <f t="shared" ref="I87:I94" si="2">IF(G87&lt;1," ",IF(H87&lt;1," ",(H87-G87)/G87))</f>
        <v>0.48810872027180069</v>
      </c>
      <c r="J87" s="1540">
        <f>+'Budget-Assumptions'!J87</f>
        <v>504576</v>
      </c>
      <c r="K87" s="488">
        <f t="shared" ref="K87:K94" si="3">IF(H87&lt;1," ",IF(J87&lt;1," ",(J87-H87)/H87))</f>
        <v>0</v>
      </c>
    </row>
    <row r="88" spans="1:11" ht="15.75">
      <c r="A88" s="287"/>
      <c r="B88" s="1701"/>
      <c r="C88" s="1701"/>
      <c r="D88" s="1701"/>
      <c r="E88" s="1701"/>
      <c r="F88" s="1701"/>
      <c r="G88" s="1540"/>
      <c r="H88" s="1540">
        <f>+'Budget-Assumptions'!H88</f>
        <v>0</v>
      </c>
      <c r="I88" s="489" t="str">
        <f t="shared" si="2"/>
        <v xml:space="preserve"> </v>
      </c>
      <c r="J88" s="1540">
        <f>+'Budget-Assumptions'!J88</f>
        <v>0</v>
      </c>
      <c r="K88" s="488" t="str">
        <f t="shared" si="3"/>
        <v xml:space="preserve"> </v>
      </c>
    </row>
    <row r="89" spans="1:11" ht="15.75">
      <c r="A89" s="287"/>
      <c r="B89" s="1701"/>
      <c r="C89" s="1701"/>
      <c r="D89" s="1701"/>
      <c r="E89" s="1701"/>
      <c r="F89" s="1701"/>
      <c r="G89" s="1540"/>
      <c r="H89" s="1540"/>
      <c r="I89" s="489" t="str">
        <f t="shared" si="2"/>
        <v xml:space="preserve"> </v>
      </c>
      <c r="J89" s="1540"/>
      <c r="K89" s="488" t="str">
        <f t="shared" si="3"/>
        <v xml:space="preserve"> </v>
      </c>
    </row>
    <row r="90" spans="1:11" ht="15.75">
      <c r="A90" s="287"/>
      <c r="B90" s="1701"/>
      <c r="C90" s="1701"/>
      <c r="D90" s="1701"/>
      <c r="E90" s="1701"/>
      <c r="F90" s="1701"/>
      <c r="G90" s="1540"/>
      <c r="H90" s="1540"/>
      <c r="I90" s="489" t="str">
        <f t="shared" si="2"/>
        <v xml:space="preserve"> </v>
      </c>
      <c r="J90" s="1540"/>
      <c r="K90" s="488" t="str">
        <f t="shared" si="3"/>
        <v xml:space="preserve"> </v>
      </c>
    </row>
    <row r="91" spans="1:11" ht="15.75">
      <c r="A91" s="287"/>
      <c r="B91" s="1701"/>
      <c r="C91" s="1701"/>
      <c r="D91" s="1701"/>
      <c r="E91" s="1701"/>
      <c r="F91" s="1701"/>
      <c r="G91" s="1540"/>
      <c r="H91" s="1540"/>
      <c r="I91" s="489" t="str">
        <f t="shared" si="2"/>
        <v xml:space="preserve"> </v>
      </c>
      <c r="J91" s="1540"/>
      <c r="K91" s="488" t="str">
        <f t="shared" si="3"/>
        <v xml:space="preserve"> </v>
      </c>
    </row>
    <row r="92" spans="1:11" ht="15.75">
      <c r="A92" s="287"/>
      <c r="B92" s="1701"/>
      <c r="C92" s="1701"/>
      <c r="D92" s="1701"/>
      <c r="E92" s="1701"/>
      <c r="F92" s="1701"/>
      <c r="G92" s="1540"/>
      <c r="H92" s="1540"/>
      <c r="I92" s="489" t="str">
        <f t="shared" si="2"/>
        <v xml:space="preserve"> </v>
      </c>
      <c r="J92" s="1540"/>
      <c r="K92" s="488" t="str">
        <f t="shared" si="3"/>
        <v xml:space="preserve"> </v>
      </c>
    </row>
    <row r="93" spans="1:11" ht="15.75">
      <c r="A93" s="287"/>
      <c r="B93" s="1701"/>
      <c r="C93" s="1701"/>
      <c r="D93" s="1701"/>
      <c r="E93" s="1701"/>
      <c r="F93" s="1701"/>
      <c r="G93" s="1542"/>
      <c r="H93" s="1542"/>
      <c r="I93" s="489" t="str">
        <f t="shared" si="2"/>
        <v xml:space="preserve"> </v>
      </c>
      <c r="J93" s="1542"/>
      <c r="K93" s="488" t="str">
        <f t="shared" si="3"/>
        <v xml:space="preserve"> </v>
      </c>
    </row>
    <row r="94" spans="1:11" ht="16.5" thickBot="1">
      <c r="A94" s="288"/>
      <c r="B94" s="1702"/>
      <c r="C94" s="1702"/>
      <c r="D94" s="1702"/>
      <c r="E94" s="1702"/>
      <c r="F94" s="1702"/>
      <c r="G94" s="1543"/>
      <c r="H94" s="1543"/>
      <c r="I94" s="1544" t="str">
        <f t="shared" si="2"/>
        <v xml:space="preserve"> </v>
      </c>
      <c r="J94" s="1543"/>
      <c r="K94" s="1545" t="str">
        <f t="shared" si="3"/>
        <v xml:space="preserve"> </v>
      </c>
    </row>
  </sheetData>
  <sheetProtection password="D94D" sheet="1"/>
  <mergeCells count="20">
    <mergeCell ref="B78:K78"/>
    <mergeCell ref="B79:K79"/>
    <mergeCell ref="B94:F94"/>
    <mergeCell ref="B90:F90"/>
    <mergeCell ref="B91:F91"/>
    <mergeCell ref="B87:F87"/>
    <mergeCell ref="B88:F88"/>
    <mergeCell ref="B89:F89"/>
    <mergeCell ref="B92:F92"/>
    <mergeCell ref="B93:F93"/>
    <mergeCell ref="B63:K63"/>
    <mergeCell ref="B64:K64"/>
    <mergeCell ref="A1:F1"/>
    <mergeCell ref="A2:F2"/>
    <mergeCell ref="A3:F3"/>
    <mergeCell ref="A4:K4"/>
    <mergeCell ref="B47:K47"/>
    <mergeCell ref="B48:K48"/>
    <mergeCell ref="B46:K46"/>
    <mergeCell ref="B62:K62"/>
  </mergeCells>
  <phoneticPr fontId="5" type="noConversion"/>
  <conditionalFormatting sqref="H21">
    <cfRule type="containsText" dxfId="214" priority="13" stopIfTrue="1" operator="containsText" text="Missing Data ADA Tab, cell G10">
      <formula>NOT(ISERROR(SEARCH("Missing Data ADA Tab, cell G10",H21)))</formula>
    </cfRule>
    <cfRule type="containsText" dxfId="213" priority="14" stopIfTrue="1" operator="containsText" text="Missing Data ADA Tab cell G10">
      <formula>NOT(ISERROR(SEARCH("Missing Data ADA Tab cell G10",H21)))</formula>
    </cfRule>
  </conditionalFormatting>
  <conditionalFormatting sqref="A1:A3">
    <cfRule type="containsText" dxfId="212" priority="10" stopIfTrue="1" operator="containsText" text="Enter">
      <formula>NOT(ISERROR(SEARCH("Enter",A1)))</formula>
    </cfRule>
  </conditionalFormatting>
  <conditionalFormatting sqref="G21:H21 J21">
    <cfRule type="cellIs" dxfId="211" priority="17" stopIfTrue="1" operator="equal">
      <formula>"Cell G11 can NOT be blank"</formula>
    </cfRule>
  </conditionalFormatting>
  <conditionalFormatting sqref="G21">
    <cfRule type="containsText" dxfId="210" priority="9" stopIfTrue="1" operator="containsText" text="Missing">
      <formula>NOT(ISERROR(SEARCH("Missing",G21)))</formula>
    </cfRule>
    <cfRule type="containsText" dxfId="209" priority="15" stopIfTrue="1" operator="containsText" text="Missing Data ADA Tab, cell G10">
      <formula>NOT(ISERROR(SEARCH("Missing Data ADA Tab, cell G10",G21)))</formula>
    </cfRule>
    <cfRule type="containsText" dxfId="208" priority="16" stopIfTrue="1" operator="containsText" text="Missing Data ADA Tab cell G10">
      <formula>NOT(ISERROR(SEARCH("Missing Data ADA Tab cell G10",G21)))</formula>
    </cfRule>
  </conditionalFormatting>
  <conditionalFormatting sqref="J21">
    <cfRule type="containsText" dxfId="207" priority="11" stopIfTrue="1" operator="containsText" text="Missing Data ADA Tab, cell G10">
      <formula>NOT(ISERROR(SEARCH("Missing Data ADA Tab, cell G10",J21)))</formula>
    </cfRule>
    <cfRule type="containsText" dxfId="206" priority="12" stopIfTrue="1" operator="containsText" text="Missing Data ADA Tab cell G10">
      <formula>NOT(ISERROR(SEARCH("Missing Data ADA Tab cell G10",J21)))</formula>
    </cfRule>
  </conditionalFormatting>
  <conditionalFormatting sqref="H21">
    <cfRule type="containsText" dxfId="205" priority="6" stopIfTrue="1" operator="containsText" text="Missing">
      <formula>NOT(ISERROR(SEARCH("Missing",H21)))</formula>
    </cfRule>
    <cfRule type="containsText" dxfId="204" priority="7" stopIfTrue="1" operator="containsText" text="Missing Data ADA Tab, cell G10">
      <formula>NOT(ISERROR(SEARCH("Missing Data ADA Tab, cell G10",H21)))</formula>
    </cfRule>
    <cfRule type="containsText" dxfId="203" priority="8" stopIfTrue="1" operator="containsText" text="Missing Data ADA Tab cell G10">
      <formula>NOT(ISERROR(SEARCH("Missing Data ADA Tab cell G10",H21)))</formula>
    </cfRule>
  </conditionalFormatting>
  <conditionalFormatting sqref="J21">
    <cfRule type="containsText" dxfId="202" priority="4" stopIfTrue="1" operator="containsText" text="Missing Data ADA Tab, cell G10">
      <formula>NOT(ISERROR(SEARCH("Missing Data ADA Tab, cell G10",J21)))</formula>
    </cfRule>
    <cfRule type="containsText" dxfId="201" priority="5" stopIfTrue="1" operator="containsText" text="Missing Data ADA Tab cell G10">
      <formula>NOT(ISERROR(SEARCH("Missing Data ADA Tab cell G10",J21)))</formula>
    </cfRule>
  </conditionalFormatting>
  <conditionalFormatting sqref="J21">
    <cfRule type="containsText" dxfId="200" priority="1" stopIfTrue="1" operator="containsText" text="Missing">
      <formula>NOT(ISERROR(SEARCH("Missing",J21)))</formula>
    </cfRule>
    <cfRule type="containsText" dxfId="199" priority="2" stopIfTrue="1" operator="containsText" text="Missing Data ADA Tab, cell G10">
      <formula>NOT(ISERROR(SEARCH("Missing Data ADA Tab, cell G10",J21)))</formula>
    </cfRule>
    <cfRule type="containsText" dxfId="198" priority="3" stopIfTrue="1" operator="containsText" text="Missing Data ADA Tab cell G10">
      <formula>NOT(ISERROR(SEARCH("Missing Data ADA Tab cell G10",J21)))</formula>
    </cfRule>
  </conditionalFormatting>
  <printOptions horizontalCentered="1"/>
  <pageMargins left="0.75" right="0.75" top="1" bottom="1" header="0.5" footer="0.5"/>
  <pageSetup scale="55" fitToHeight="0" orientation="portrait" r:id="rId1"/>
  <headerFooter alignWithMargins="0">
    <oddFooter>Page &amp;P of &amp;N</oddFooter>
  </headerFooter>
  <rowBreaks count="1" manualBreakCount="1">
    <brk id="65" max="16383" man="1"/>
  </row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theme="4"/>
    <pageSetUpPr fitToPage="1"/>
  </sheetPr>
  <dimension ref="A1:O239"/>
  <sheetViews>
    <sheetView showGridLines="0" zoomScaleNormal="100" zoomScaleSheetLayoutView="100" workbookViewId="0">
      <pane xSplit="4" ySplit="10" topLeftCell="E41" activePane="bottomRight" state="frozen"/>
      <selection activeCell="J13" sqref="J13"/>
      <selection pane="topRight" activeCell="J13" sqref="J13"/>
      <selection pane="bottomLeft" activeCell="J13" sqref="J13"/>
      <selection pane="bottomRight" activeCell="K43" sqref="K43"/>
    </sheetView>
  </sheetViews>
  <sheetFormatPr defaultColWidth="72.5703125" defaultRowHeight="12.75"/>
  <cols>
    <col min="1" max="1" width="5.42578125" customWidth="1"/>
    <col min="2" max="2" width="3" customWidth="1"/>
    <col min="3" max="3" width="85.28515625" customWidth="1"/>
    <col min="4" max="4" width="11" customWidth="1"/>
    <col min="5" max="7" width="14.5703125" customWidth="1"/>
    <col min="8" max="8" width="10.5703125" customWidth="1"/>
    <col min="9" max="9" width="14.5703125" customWidth="1"/>
    <col min="10" max="10" width="10.5703125" customWidth="1"/>
    <col min="11" max="11" width="14.5703125" customWidth="1"/>
    <col min="12" max="12" width="10.5703125" customWidth="1"/>
    <col min="13" max="13" width="72.5703125" style="1203" customWidth="1"/>
  </cols>
  <sheetData>
    <row r="1" spans="1:15" ht="15.75">
      <c r="A1" s="1645" t="str">
        <f>IF('INTERIM-CERTIFICATION'!$M$1="","CHARTER NAME: Enter Charter Name on INTERIM-CERTIFICATION Worksheet",(CONCATENATE("CHARTER NAME: ",'INTERIM-CERTIFICATION'!$M$1)))</f>
        <v>CHARTER NAME: Elite Academic Academy - Virtual Prep Lucerne</v>
      </c>
      <c r="B1" s="1645"/>
      <c r="C1" s="1645"/>
      <c r="D1" s="209"/>
      <c r="E1" s="12"/>
      <c r="F1" s="158"/>
      <c r="G1" s="157"/>
      <c r="H1" s="1"/>
      <c r="I1" s="159"/>
      <c r="J1" s="1"/>
      <c r="K1" s="159"/>
      <c r="L1" s="1"/>
    </row>
    <row r="2" spans="1:15" ht="15.75">
      <c r="A2" s="1645" t="str">
        <f>IF('INTERIM-CERTIFICATION'!$M$2="","CDS #: Enter Charter CDS # on INTERIM-CERTIFICATION Worksheet",(_xlfn.CONCAT("CDS #: ",'INTERIM-CERTIFICATION'!$M$2)))</f>
        <v>CDS #: 36-75051-0138107</v>
      </c>
      <c r="B2" s="1645"/>
      <c r="C2" s="1645"/>
      <c r="D2" s="209"/>
      <c r="E2" s="12"/>
      <c r="F2" s="158"/>
      <c r="G2" s="158"/>
      <c r="H2" s="1"/>
      <c r="I2" s="159"/>
      <c r="J2" s="1"/>
      <c r="K2" s="159"/>
      <c r="L2" s="1"/>
    </row>
    <row r="3" spans="1:15" ht="15.75">
      <c r="A3" s="1645" t="str">
        <f>IF('INTERIM-CERTIFICATION'!$M$5="","CHARTER #: Enter Charter # on INTERIM-CERTIFICATION Worksheet",(_xlfn.CONCAT("CHARTER #: ",'INTERIM-CERTIFICATION'!$M$5)))</f>
        <v>CHARTER #: 1975</v>
      </c>
      <c r="B3" s="1645"/>
      <c r="C3" s="1645"/>
      <c r="D3" s="209"/>
      <c r="E3" s="12"/>
      <c r="F3" s="157"/>
      <c r="G3" s="157"/>
      <c r="H3" s="1"/>
      <c r="I3" s="159"/>
      <c r="J3" s="1"/>
      <c r="K3" s="159"/>
      <c r="L3" s="1"/>
    </row>
    <row r="4" spans="1:15" ht="15.75">
      <c r="A4" s="2"/>
      <c r="B4" s="53"/>
      <c r="C4" s="53"/>
      <c r="D4" s="160" t="str">
        <f>'1st Interim-ADA'!J4</f>
        <v>Fiscal Year 2022-23 First Interim Report</v>
      </c>
      <c r="E4" s="53"/>
      <c r="F4" s="53"/>
      <c r="G4" s="53"/>
      <c r="H4" s="53"/>
      <c r="I4" s="53"/>
      <c r="J4" s="53"/>
      <c r="K4" s="53"/>
      <c r="L4" s="53"/>
    </row>
    <row r="5" spans="1:15" ht="15.75">
      <c r="A5" s="12"/>
      <c r="B5" s="12"/>
      <c r="C5" s="53"/>
      <c r="D5" s="160" t="s">
        <v>207</v>
      </c>
      <c r="E5" s="53"/>
      <c r="F5" s="161"/>
      <c r="G5" s="161"/>
      <c r="H5" s="1"/>
      <c r="I5" s="162"/>
      <c r="J5" s="1"/>
      <c r="K5" s="162"/>
      <c r="L5" s="1"/>
    </row>
    <row r="6" spans="1:15" ht="16.5" thickBot="1">
      <c r="A6" s="1589" t="str">
        <f>Instructions!H1</f>
        <v>Form Orignated 5/16/2022</v>
      </c>
      <c r="B6" s="12"/>
      <c r="C6" s="12"/>
      <c r="D6" s="12"/>
      <c r="E6" s="12"/>
      <c r="F6" s="157"/>
      <c r="G6" s="157"/>
      <c r="H6" s="1"/>
      <c r="I6" s="159"/>
      <c r="J6" s="1"/>
      <c r="K6" s="159"/>
      <c r="L6" s="1"/>
    </row>
    <row r="7" spans="1:15" ht="15.75">
      <c r="A7" s="242"/>
      <c r="B7" s="237"/>
      <c r="C7" s="237"/>
      <c r="D7" s="299"/>
      <c r="E7" s="300"/>
      <c r="F7" s="301" t="s">
        <v>168</v>
      </c>
      <c r="G7" s="301" t="str">
        <f>$F$7</f>
        <v>First Interim</v>
      </c>
      <c r="H7" s="300"/>
      <c r="I7" s="302" t="str">
        <f>$F$7</f>
        <v>First Interim</v>
      </c>
      <c r="J7" s="300"/>
      <c r="K7" s="302" t="str">
        <f>$F$7</f>
        <v>First Interim</v>
      </c>
      <c r="L7" s="462"/>
    </row>
    <row r="8" spans="1:15" ht="15.75">
      <c r="A8" s="1703" t="s">
        <v>21</v>
      </c>
      <c r="B8" s="1704"/>
      <c r="C8" s="1704"/>
      <c r="D8" s="54"/>
      <c r="E8" s="14" t="s">
        <v>17</v>
      </c>
      <c r="F8" s="455" t="s">
        <v>61</v>
      </c>
      <c r="G8" s="163" t="s">
        <v>19</v>
      </c>
      <c r="H8" s="14" t="s">
        <v>18</v>
      </c>
      <c r="I8" s="303" t="s">
        <v>19</v>
      </c>
      <c r="J8" s="14" t="s">
        <v>18</v>
      </c>
      <c r="K8" s="303" t="s">
        <v>19</v>
      </c>
      <c r="L8" s="463" t="s">
        <v>18</v>
      </c>
    </row>
    <row r="9" spans="1:15" ht="15.75">
      <c r="A9" s="68"/>
      <c r="B9" s="1"/>
      <c r="C9" s="1"/>
      <c r="D9" s="54"/>
      <c r="E9" s="14" t="s">
        <v>16</v>
      </c>
      <c r="F9" s="163" t="s">
        <v>242</v>
      </c>
      <c r="G9" s="163" t="s">
        <v>16</v>
      </c>
      <c r="H9" s="14" t="s">
        <v>22</v>
      </c>
      <c r="I9" s="303" t="s">
        <v>16</v>
      </c>
      <c r="J9" s="14" t="s">
        <v>22</v>
      </c>
      <c r="K9" s="303" t="s">
        <v>16</v>
      </c>
      <c r="L9" s="463" t="s">
        <v>22</v>
      </c>
    </row>
    <row r="10" spans="1:15" ht="16.5" thickBot="1">
      <c r="A10" s="304"/>
      <c r="B10" s="164"/>
      <c r="C10" s="164"/>
      <c r="D10" s="55"/>
      <c r="E10" s="15" t="str">
        <f>'Budget-Unrestricted MYP'!F10</f>
        <v>2022-23</v>
      </c>
      <c r="F10" s="165" t="str">
        <f>'Budget-DEBT'!D13</f>
        <v>2022</v>
      </c>
      <c r="G10" s="208" t="str">
        <f>E10</f>
        <v>2022-23</v>
      </c>
      <c r="H10" s="15"/>
      <c r="I10" s="305" t="str">
        <f>'Budget-Unrestricted MYP'!H10</f>
        <v>2023-24</v>
      </c>
      <c r="J10" s="15"/>
      <c r="K10" s="305" t="str">
        <f>'Budget-Unrestricted MYP'!J10</f>
        <v>2024-25</v>
      </c>
      <c r="L10" s="464"/>
    </row>
    <row r="11" spans="1:15" ht="16.5" thickTop="1">
      <c r="A11" s="306" t="s">
        <v>1</v>
      </c>
      <c r="B11" s="1"/>
      <c r="C11" s="1"/>
      <c r="D11" s="337"/>
      <c r="E11" s="13"/>
      <c r="F11" s="1840"/>
      <c r="G11" s="1840"/>
      <c r="H11" s="1840"/>
      <c r="I11" s="1840"/>
      <c r="J11" s="456"/>
      <c r="K11" s="456"/>
      <c r="L11" s="465"/>
    </row>
    <row r="12" spans="1:15" ht="15.75">
      <c r="A12" s="306"/>
      <c r="B12" s="278" t="s">
        <v>306</v>
      </c>
      <c r="C12" s="147"/>
      <c r="D12" s="141"/>
      <c r="E12" s="338"/>
      <c r="F12" s="1838"/>
      <c r="G12" s="1838"/>
      <c r="H12" s="1838"/>
      <c r="I12" s="1838"/>
      <c r="J12" s="152"/>
      <c r="K12" s="152"/>
      <c r="L12" s="466"/>
    </row>
    <row r="13" spans="1:15" ht="15.75">
      <c r="A13" s="306"/>
      <c r="B13" s="147"/>
      <c r="C13" s="280" t="s">
        <v>155</v>
      </c>
      <c r="D13" s="346">
        <v>8011</v>
      </c>
      <c r="E13" s="696">
        <f>'Budget-Unrestricted MYP'!F13</f>
        <v>8090636.0600000005</v>
      </c>
      <c r="F13" s="788">
        <v>1839098.1813622767</v>
      </c>
      <c r="G13" s="696">
        <f>'1st Interim-Assumptions'!G11-G14-G16</f>
        <v>5166835</v>
      </c>
      <c r="H13" s="270">
        <f>IF(E13&lt;1," ",IF(G13&lt;1," ",(G13-E13)/E13))</f>
        <v>-0.36138086527649355</v>
      </c>
      <c r="I13" s="790">
        <f>'1st Interim-Assumptions'!H11-I14-I16</f>
        <v>8394946</v>
      </c>
      <c r="J13" s="270">
        <f>IF(G13&lt;1," ",IF(I13&lt;1," ",(I13-G13)/G13))</f>
        <v>0.62477532183628859</v>
      </c>
      <c r="K13" s="696">
        <f>'1st Interim-Assumptions'!J11-K14-K16</f>
        <v>8715699</v>
      </c>
      <c r="L13" s="307">
        <f>IF(I13&lt;1," ",IF(K13&lt;1," ",(K13-I13)/I13))</f>
        <v>3.8207869353775473E-2</v>
      </c>
      <c r="O13" t="s">
        <v>157</v>
      </c>
    </row>
    <row r="14" spans="1:15" ht="15.75">
      <c r="A14" s="306"/>
      <c r="B14" s="147"/>
      <c r="C14" s="280" t="s">
        <v>156</v>
      </c>
      <c r="D14" s="346">
        <v>8012</v>
      </c>
      <c r="E14" s="696">
        <f>'Budget-Unrestricted MYP'!F14</f>
        <v>157400</v>
      </c>
      <c r="F14" s="788">
        <v>36340.496018281287</v>
      </c>
      <c r="G14" s="788">
        <v>102000</v>
      </c>
      <c r="H14" s="584">
        <f>IF(E14&lt;1," ",IF(G14&lt;1," ",(G14-E14)/E14))</f>
        <v>-0.3519695044472681</v>
      </c>
      <c r="I14" s="791">
        <f>+'Budget-Unrestricted MYP'!H14</f>
        <v>157400</v>
      </c>
      <c r="J14" s="270">
        <f>IF(G14&lt;1," ",IF(I14&lt;1," ",(I14-G14)/G14))</f>
        <v>0.54313725490196074</v>
      </c>
      <c r="K14" s="788">
        <f>+'Budget-Unrestricted MYP'!J14</f>
        <v>157400</v>
      </c>
      <c r="L14" s="307">
        <f>IF(I14&lt;1," ",IF(K14&lt;1," ",(K14-I14)/I14))</f>
        <v>0</v>
      </c>
    </row>
    <row r="15" spans="1:15" ht="15.75">
      <c r="A15" s="68"/>
      <c r="B15" s="147"/>
      <c r="C15" s="280" t="s">
        <v>304</v>
      </c>
      <c r="D15" s="346">
        <v>8019</v>
      </c>
      <c r="E15" s="696">
        <f>'Budget-Unrestricted MYP'!F15</f>
        <v>0</v>
      </c>
      <c r="F15" s="788"/>
      <c r="G15" s="788"/>
      <c r="H15" s="584" t="str">
        <f>IF(E15&lt;1," ",IF(G15&lt;1," ",(G15-E15)/E15))</f>
        <v xml:space="preserve"> </v>
      </c>
      <c r="I15" s="792"/>
      <c r="J15" s="270" t="str">
        <f>IF(G15&lt;1," ",IF(I15&lt;1," ",(I15-G15)/G15))</f>
        <v xml:space="preserve"> </v>
      </c>
      <c r="K15" s="794"/>
      <c r="L15" s="307" t="str">
        <f>IF(I15&lt;1," ",IF(K15&lt;1," ",(K15-I15)/I15))</f>
        <v xml:space="preserve"> </v>
      </c>
    </row>
    <row r="16" spans="1:15" ht="15.75">
      <c r="A16" s="68"/>
      <c r="B16" s="147"/>
      <c r="C16" s="280" t="s">
        <v>305</v>
      </c>
      <c r="D16" s="346">
        <v>8096</v>
      </c>
      <c r="E16" s="696">
        <f>'Budget-Unrestricted MYP'!F16</f>
        <v>204132</v>
      </c>
      <c r="F16" s="788">
        <v>47129.98928610899</v>
      </c>
      <c r="G16" s="789">
        <v>132283.79999999999</v>
      </c>
      <c r="H16" s="643">
        <f>IF(E16&lt;1," ",IF(G16&lt;1," ",(G16-E16)/E16))</f>
        <v>-0.35196931397331144</v>
      </c>
      <c r="I16" s="793">
        <f>+'Budget-Unrestricted MYP'!H16</f>
        <v>203258.49</v>
      </c>
      <c r="J16" s="270">
        <f>IF(G16&lt;1," ",IF(I16&lt;1," ",(I16-G16)/G16))</f>
        <v>0.53653349843291476</v>
      </c>
      <c r="K16" s="789">
        <f>+'Budget-Unrestricted MYP'!J16</f>
        <v>203093.22</v>
      </c>
      <c r="L16" s="307">
        <f>IF(I16&lt;1," ",IF(K16&lt;1," ",(K16-I16)/I16))</f>
        <v>-8.1310256708091023E-4</v>
      </c>
    </row>
    <row r="17" spans="1:12" ht="15.75">
      <c r="A17" s="68"/>
      <c r="B17" s="278" t="s">
        <v>307</v>
      </c>
      <c r="C17" s="278"/>
      <c r="D17" s="346" t="s">
        <v>99</v>
      </c>
      <c r="E17" s="696">
        <f>'Budget-Unrestricted MYP'!F17</f>
        <v>0</v>
      </c>
      <c r="F17" s="756">
        <f>F84</f>
        <v>0</v>
      </c>
      <c r="G17" s="756">
        <f>G84</f>
        <v>0</v>
      </c>
      <c r="H17" s="270" t="str">
        <f>IF(E17&lt;1," ",IF(G17&lt;1," ",(G17-E17)/E17))</f>
        <v xml:space="preserve"> </v>
      </c>
      <c r="I17" s="291">
        <f>I84</f>
        <v>0</v>
      </c>
      <c r="J17" s="270" t="str">
        <f>IF(G17&lt;1," ",IF(I17&lt;1," ",(I17-G17)/G17))</f>
        <v xml:space="preserve"> </v>
      </c>
      <c r="K17" s="756">
        <f>K84</f>
        <v>0</v>
      </c>
      <c r="L17" s="307" t="str">
        <f>IF(I17&lt;1," ",IF(K17&lt;1," ",(K17-I17)/I17))</f>
        <v xml:space="preserve"> </v>
      </c>
    </row>
    <row r="18" spans="1:12" ht="15.75">
      <c r="A18" s="68"/>
      <c r="B18" s="147" t="s">
        <v>308</v>
      </c>
      <c r="C18" s="141"/>
      <c r="D18" s="141"/>
      <c r="E18" s="579"/>
      <c r="F18" s="581"/>
      <c r="G18" s="581"/>
      <c r="H18" s="585"/>
      <c r="I18" s="581"/>
      <c r="J18" s="585"/>
      <c r="K18" s="581"/>
      <c r="L18" s="589"/>
    </row>
    <row r="19" spans="1:12" ht="15.75">
      <c r="A19" s="68"/>
      <c r="B19" s="147"/>
      <c r="C19" s="280" t="s">
        <v>309</v>
      </c>
      <c r="D19" s="346">
        <v>8560</v>
      </c>
      <c r="E19" s="696">
        <f>'Budget-Unrestricted MYP'!F19</f>
        <v>133984.37325999999</v>
      </c>
      <c r="F19" s="788">
        <v>30934.298494072063</v>
      </c>
      <c r="G19" s="756">
        <f>G87</f>
        <v>86825.959800000011</v>
      </c>
      <c r="H19" s="270">
        <f>IF(E19&lt;1," ",IF(G19&lt;1," ",(G19-E19)/E19))</f>
        <v>-0.35196950444726799</v>
      </c>
      <c r="I19" s="291">
        <f>I87</f>
        <v>133984.37326000002</v>
      </c>
      <c r="J19" s="270">
        <f>IF(G19&lt;1," ",IF(I19&lt;1," ",(I19-G19)/G19))</f>
        <v>0.54313725490196085</v>
      </c>
      <c r="K19" s="756">
        <f>K87</f>
        <v>133984.37326000002</v>
      </c>
      <c r="L19" s="307">
        <f>IF(I19&lt;1," ",IF(K19&lt;1," ",(K19-I19)/I19))</f>
        <v>0</v>
      </c>
    </row>
    <row r="20" spans="1:12" ht="15.75">
      <c r="A20" s="68"/>
      <c r="B20" s="467"/>
      <c r="C20" s="468" t="s">
        <v>310</v>
      </c>
      <c r="D20" s="469">
        <v>8560</v>
      </c>
      <c r="E20" s="795"/>
      <c r="F20" s="795"/>
      <c r="G20" s="795"/>
      <c r="H20" s="486"/>
      <c r="I20" s="796"/>
      <c r="J20" s="486"/>
      <c r="K20" s="795"/>
      <c r="L20" s="353"/>
    </row>
    <row r="21" spans="1:12" ht="15.75">
      <c r="A21" s="68"/>
      <c r="B21" s="147"/>
      <c r="C21" s="280" t="s">
        <v>311</v>
      </c>
      <c r="D21" s="346" t="s">
        <v>100</v>
      </c>
      <c r="E21" s="696">
        <f>'Budget-Unrestricted MYP'!F21</f>
        <v>0</v>
      </c>
      <c r="F21" s="756">
        <f>F108</f>
        <v>0</v>
      </c>
      <c r="G21" s="756">
        <f>G108</f>
        <v>0</v>
      </c>
      <c r="H21" s="270" t="str">
        <f>IF(E21&lt;1," ",IF(G21&lt;1," ",(G21-E21)/E21))</f>
        <v xml:space="preserve"> </v>
      </c>
      <c r="I21" s="291">
        <f>I108</f>
        <v>0</v>
      </c>
      <c r="J21" s="270" t="str">
        <f>IF(G21&lt;1," ",IF(I21&lt;1," ",(I21-G21)/G21))</f>
        <v xml:space="preserve"> </v>
      </c>
      <c r="K21" s="756">
        <f>K108</f>
        <v>0</v>
      </c>
      <c r="L21" s="307" t="str">
        <f>IF(I21&lt;1," ",IF(K21&lt;1," ",(K21-I21)/I21))</f>
        <v xml:space="preserve"> </v>
      </c>
    </row>
    <row r="22" spans="1:12" ht="15.75">
      <c r="A22" s="68"/>
      <c r="B22" s="147" t="s">
        <v>312</v>
      </c>
      <c r="C22" s="141"/>
      <c r="D22" s="141"/>
      <c r="E22" s="579"/>
      <c r="F22" s="581"/>
      <c r="G22" s="581"/>
      <c r="H22" s="585"/>
      <c r="I22" s="581"/>
      <c r="J22" s="270"/>
      <c r="K22" s="578"/>
      <c r="L22" s="307"/>
    </row>
    <row r="23" spans="1:12" ht="15.75">
      <c r="A23" s="68"/>
      <c r="B23" s="147"/>
      <c r="C23" s="280" t="s">
        <v>239</v>
      </c>
      <c r="D23" s="346">
        <v>8660</v>
      </c>
      <c r="E23" s="696">
        <f>'Budget-Unrestricted MYP'!F23</f>
        <v>0</v>
      </c>
      <c r="F23" s="788"/>
      <c r="G23" s="788"/>
      <c r="H23" s="270" t="str">
        <f>IF(E23&lt;1," ",IF(G23&lt;1," ",(G23-E23)/E23))</f>
        <v xml:space="preserve"> </v>
      </c>
      <c r="I23" s="791"/>
      <c r="J23" s="270" t="str">
        <f>IF(G23&lt;1," ",IF(I23&lt;1," ",(I23-G23)/G23))</f>
        <v xml:space="preserve"> </v>
      </c>
      <c r="K23" s="788"/>
      <c r="L23" s="307" t="str">
        <f>IF(I23&lt;1," ",IF(K23&lt;1," ",(K23-I23)/I23))</f>
        <v xml:space="preserve"> </v>
      </c>
    </row>
    <row r="24" spans="1:12" ht="15.75">
      <c r="A24" s="68"/>
      <c r="B24" s="467"/>
      <c r="C24" s="468" t="s">
        <v>313</v>
      </c>
      <c r="D24" s="469">
        <v>8792</v>
      </c>
      <c r="E24" s="797"/>
      <c r="F24" s="795"/>
      <c r="G24" s="795"/>
      <c r="H24" s="486"/>
      <c r="I24" s="796"/>
      <c r="J24" s="486"/>
      <c r="K24" s="795"/>
      <c r="L24" s="353"/>
    </row>
    <row r="25" spans="1:12" ht="16.5" thickBot="1">
      <c r="A25" s="68"/>
      <c r="B25" s="899"/>
      <c r="C25" s="932" t="s">
        <v>314</v>
      </c>
      <c r="D25" s="933" t="s">
        <v>101</v>
      </c>
      <c r="E25" s="703">
        <f>'Budget-Unrestricted MYP'!F25</f>
        <v>0</v>
      </c>
      <c r="F25" s="802">
        <f>F117</f>
        <v>0</v>
      </c>
      <c r="G25" s="802">
        <f>G117</f>
        <v>0</v>
      </c>
      <c r="H25" s="297" t="str">
        <f>IF(E25&lt;1," ",IF(G25&lt;1," ",(G25-E25)/E25))</f>
        <v xml:space="preserve"> </v>
      </c>
      <c r="I25" s="951">
        <f>I117</f>
        <v>0</v>
      </c>
      <c r="J25" s="297" t="str">
        <f>IF(G25&lt;1," ",IF(I25&lt;1," ",(I25-G25)/G25))</f>
        <v xml:space="preserve"> </v>
      </c>
      <c r="K25" s="802">
        <f>K117</f>
        <v>0</v>
      </c>
      <c r="L25" s="590" t="str">
        <f>IF(I25&lt;1," ",IF(K25&lt;1," ",(K25-I25)/I25))</f>
        <v xml:space="preserve"> </v>
      </c>
    </row>
    <row r="26" spans="1:12" ht="17.25" thickTop="1" thickBot="1">
      <c r="A26" s="68"/>
      <c r="B26" s="929" t="s">
        <v>315</v>
      </c>
      <c r="C26" s="930"/>
      <c r="D26" s="931"/>
      <c r="E26" s="900">
        <f>'Budget-Unrestricted MYP'!F26</f>
        <v>8586152.4332600012</v>
      </c>
      <c r="F26" s="810">
        <f>SUM(F13:F25)</f>
        <v>1953502.9651607391</v>
      </c>
      <c r="G26" s="810">
        <f>SUM(G13:G25)</f>
        <v>5487944.7598000001</v>
      </c>
      <c r="H26" s="588">
        <f>IF(E26&lt;1," ",IF(G26&lt;1," ",(G26-E26)/E26))</f>
        <v>-0.36083772068366016</v>
      </c>
      <c r="I26" s="900">
        <f>SUM(I13:I25)</f>
        <v>8889588.8632600009</v>
      </c>
      <c r="J26" s="588">
        <f>IF(G26&lt;1," ",IF(I26&lt;1," ",(I26-G26)/G26))</f>
        <v>0.61983934830713727</v>
      </c>
      <c r="K26" s="900">
        <f>SUM(K13:K25)</f>
        <v>9210176.5932600014</v>
      </c>
      <c r="L26" s="591">
        <f>IF(I26&lt;1," ",IF(K26&lt;1," ",(K26-I26)/I26))</f>
        <v>3.6063279745699527E-2</v>
      </c>
    </row>
    <row r="27" spans="1:12" ht="10.5" customHeight="1" thickTop="1">
      <c r="A27" s="68"/>
      <c r="B27" s="1"/>
      <c r="C27" s="1"/>
      <c r="D27" s="1"/>
      <c r="E27" s="269"/>
      <c r="F27" s="1730"/>
      <c r="G27" s="1730"/>
      <c r="H27" s="1730"/>
      <c r="I27" s="1730"/>
      <c r="L27" s="472"/>
    </row>
    <row r="28" spans="1:12" ht="15.75">
      <c r="A28" s="1746" t="s">
        <v>3</v>
      </c>
      <c r="B28" s="1747"/>
      <c r="C28" s="1747"/>
      <c r="D28" s="155"/>
      <c r="E28" s="269"/>
      <c r="F28" s="1838"/>
      <c r="G28" s="1838"/>
      <c r="H28" s="1838"/>
      <c r="I28" s="1838"/>
      <c r="J28" s="152"/>
      <c r="K28" s="152"/>
      <c r="L28" s="466"/>
    </row>
    <row r="29" spans="1:12" ht="15.75">
      <c r="A29" s="68"/>
      <c r="B29" s="278" t="s">
        <v>4</v>
      </c>
      <c r="C29" s="278"/>
      <c r="D29" s="279" t="s">
        <v>102</v>
      </c>
      <c r="E29" s="696">
        <f>'Budget-Unrestricted MYP'!F29</f>
        <v>3153669</v>
      </c>
      <c r="F29" s="789">
        <v>827537.50999999978</v>
      </c>
      <c r="G29" s="789">
        <v>2466726.8433333333</v>
      </c>
      <c r="H29" s="270">
        <f t="shared" ref="H29:H37" si="0">IF(E29&lt;1," ",IF(G29&lt;1," ",(G29-E29)/E29))</f>
        <v>-0.21782316301002633</v>
      </c>
      <c r="I29" s="793">
        <f>+'Budget-Unrestricted MYP'!H29</f>
        <v>3260968.4649999999</v>
      </c>
      <c r="J29" s="270">
        <f t="shared" ref="J29:J37" si="1">IF(G29&lt;1," ",IF(I29&lt;1," ",(I29-G29)/G29))</f>
        <v>0.32198199156635976</v>
      </c>
      <c r="K29" s="789">
        <f>+'Budget-Unrestricted MYP'!J29</f>
        <v>3372023.4112749989</v>
      </c>
      <c r="L29" s="307">
        <f t="shared" ref="L29:L37" si="2">IF(I29&lt;1," ",IF(K29&lt;1," ",(K29-I29)/I29))</f>
        <v>3.4055817303035182E-2</v>
      </c>
    </row>
    <row r="30" spans="1:12" ht="15.75">
      <c r="A30" s="68"/>
      <c r="B30" s="278" t="s">
        <v>23</v>
      </c>
      <c r="C30" s="278"/>
      <c r="D30" s="279" t="s">
        <v>103</v>
      </c>
      <c r="E30" s="696">
        <f>'Budget-Unrestricted MYP'!F30</f>
        <v>136650.5</v>
      </c>
      <c r="F30" s="789">
        <v>22640</v>
      </c>
      <c r="G30" s="789">
        <v>111193.33333333334</v>
      </c>
      <c r="H30" s="270">
        <f t="shared" si="0"/>
        <v>-0.18629398843521727</v>
      </c>
      <c r="I30" s="793">
        <f>+'Budget-Unrestricted MYP'!H30</f>
        <v>141153.26749999999</v>
      </c>
      <c r="J30" s="270">
        <f t="shared" si="1"/>
        <v>0.26944002188380578</v>
      </c>
      <c r="K30" s="789">
        <f>+'Budget-Unrestricted MYP'!J30</f>
        <v>145813.63186249998</v>
      </c>
      <c r="L30" s="307">
        <f t="shared" si="2"/>
        <v>3.3016340641919585E-2</v>
      </c>
    </row>
    <row r="31" spans="1:12" ht="15.75">
      <c r="A31" s="68"/>
      <c r="B31" s="278" t="s">
        <v>24</v>
      </c>
      <c r="C31" s="278"/>
      <c r="D31" s="279" t="s">
        <v>104</v>
      </c>
      <c r="E31" s="696">
        <f>'Budget-Unrestricted MYP'!F31</f>
        <v>968504.72549999994</v>
      </c>
      <c r="F31" s="789">
        <v>213021</v>
      </c>
      <c r="G31" s="789">
        <v>587212</v>
      </c>
      <c r="H31" s="270">
        <f t="shared" si="0"/>
        <v>-0.39369216841265681</v>
      </c>
      <c r="I31" s="793">
        <f>+'Budget-Unrestricted MYP'!H31</f>
        <v>1003051.6153424999</v>
      </c>
      <c r="J31" s="270">
        <f t="shared" si="1"/>
        <v>0.70815925993082551</v>
      </c>
      <c r="K31" s="789">
        <f>+'Budget-Unrestricted MYP'!J31</f>
        <v>1038807.6463294872</v>
      </c>
      <c r="L31" s="307">
        <f t="shared" si="2"/>
        <v>3.5647249294123419E-2</v>
      </c>
    </row>
    <row r="32" spans="1:12" ht="15.75">
      <c r="A32" s="68"/>
      <c r="B32" s="278" t="s">
        <v>25</v>
      </c>
      <c r="C32" s="278"/>
      <c r="D32" s="279" t="s">
        <v>105</v>
      </c>
      <c r="E32" s="696">
        <f>'Budget-Unrestricted MYP'!F32</f>
        <v>522371.33</v>
      </c>
      <c r="F32" s="789">
        <v>119482.07949999999</v>
      </c>
      <c r="G32" s="789">
        <v>370313</v>
      </c>
      <c r="H32" s="270">
        <f t="shared" si="0"/>
        <v>-0.29109241121636598</v>
      </c>
      <c r="I32" s="793">
        <f>+'Budget-Unrestricted MYP'!H32</f>
        <v>522371.33</v>
      </c>
      <c r="J32" s="270">
        <f t="shared" si="1"/>
        <v>0.41062109620780263</v>
      </c>
      <c r="K32" s="789">
        <f>+'Budget-Unrestricted MYP'!J32</f>
        <v>522371.33</v>
      </c>
      <c r="L32" s="307">
        <f t="shared" si="2"/>
        <v>0</v>
      </c>
    </row>
    <row r="33" spans="1:12" ht="15.75">
      <c r="A33" s="68"/>
      <c r="B33" s="278" t="s">
        <v>26</v>
      </c>
      <c r="C33" s="278"/>
      <c r="D33" s="279" t="s">
        <v>106</v>
      </c>
      <c r="E33" s="696">
        <f>'Budget-Unrestricted MYP'!F33</f>
        <v>4541682.3687866004</v>
      </c>
      <c r="F33" s="789">
        <v>1194372.4786</v>
      </c>
      <c r="G33" s="789">
        <f>2675796-'1st Interim-Restricted MYP'!G33+7000</f>
        <v>2214236.9155000001</v>
      </c>
      <c r="H33" s="270">
        <f t="shared" si="0"/>
        <v>-0.51246328217101256</v>
      </c>
      <c r="I33" s="793">
        <f>+'Budget-Unrestricted MYP'!H33</f>
        <v>4515562.2904866003</v>
      </c>
      <c r="J33" s="270">
        <f t="shared" si="1"/>
        <v>1.0393311388121873</v>
      </c>
      <c r="K33" s="789">
        <f>+'Budget-Unrestricted MYP'!J33</f>
        <v>4578595.4691866003</v>
      </c>
      <c r="L33" s="307">
        <f t="shared" si="2"/>
        <v>1.3959098478787135E-2</v>
      </c>
    </row>
    <row r="34" spans="1:12" ht="15.75">
      <c r="A34" s="68"/>
      <c r="B34" s="278" t="s">
        <v>5</v>
      </c>
      <c r="C34" s="278"/>
      <c r="D34" s="279" t="s">
        <v>107</v>
      </c>
      <c r="E34" s="696">
        <f>'Budget-Unrestricted MYP'!F34</f>
        <v>14362.290000000005</v>
      </c>
      <c r="F34" s="789">
        <v>8442.2681000000011</v>
      </c>
      <c r="G34" s="789">
        <f>1843*12</f>
        <v>22116</v>
      </c>
      <c r="H34" s="270">
        <f t="shared" si="0"/>
        <v>0.53986585704647327</v>
      </c>
      <c r="I34" s="793">
        <f>+'Budget-Unrestricted MYP'!H34</f>
        <v>14362.290000000005</v>
      </c>
      <c r="J34" s="270">
        <f t="shared" si="1"/>
        <v>-0.35059278350515444</v>
      </c>
      <c r="K34" s="789">
        <f>+'Budget-Unrestricted MYP'!J34</f>
        <v>14362.290000000005</v>
      </c>
      <c r="L34" s="307">
        <f t="shared" si="2"/>
        <v>0</v>
      </c>
    </row>
    <row r="35" spans="1:12" ht="15.75">
      <c r="A35" s="68"/>
      <c r="B35" s="278" t="s">
        <v>27</v>
      </c>
      <c r="C35" s="278"/>
      <c r="D35" s="279" t="s">
        <v>108</v>
      </c>
      <c r="E35" s="696">
        <f>'Budget-Unrestricted MYP'!F35</f>
        <v>2499</v>
      </c>
      <c r="F35" s="789">
        <v>0</v>
      </c>
      <c r="G35" s="789">
        <v>2499</v>
      </c>
      <c r="H35" s="270">
        <f t="shared" si="0"/>
        <v>0</v>
      </c>
      <c r="I35" s="793">
        <f>+'Budget-Unrestricted MYP'!H35</f>
        <v>2499</v>
      </c>
      <c r="J35" s="270">
        <f t="shared" si="1"/>
        <v>0</v>
      </c>
      <c r="K35" s="789">
        <f>+'Budget-Unrestricted MYP'!J35</f>
        <v>2499</v>
      </c>
      <c r="L35" s="307">
        <f t="shared" si="2"/>
        <v>0</v>
      </c>
    </row>
    <row r="36" spans="1:12" ht="16.5" thickBot="1">
      <c r="A36" s="68"/>
      <c r="B36" s="922" t="s">
        <v>149</v>
      </c>
      <c r="C36" s="922"/>
      <c r="D36" s="629" t="s">
        <v>114</v>
      </c>
      <c r="E36" s="703">
        <f>'Budget-Unrestricted MYP'!F36</f>
        <v>0</v>
      </c>
      <c r="F36" s="952"/>
      <c r="G36" s="952"/>
      <c r="H36" s="297" t="str">
        <f t="shared" si="0"/>
        <v xml:space="preserve"> </v>
      </c>
      <c r="I36" s="953">
        <f>+'Budget-Unrestricted MYP'!H36</f>
        <v>0</v>
      </c>
      <c r="J36" s="297" t="str">
        <f t="shared" si="1"/>
        <v xml:space="preserve"> </v>
      </c>
      <c r="K36" s="952">
        <f>+'Budget-Unrestricted MYP'!J36</f>
        <v>0</v>
      </c>
      <c r="L36" s="590" t="str">
        <f t="shared" si="2"/>
        <v xml:space="preserve"> </v>
      </c>
    </row>
    <row r="37" spans="1:12" ht="17.25" thickTop="1" thickBot="1">
      <c r="A37" s="68"/>
      <c r="B37" s="929" t="s">
        <v>28</v>
      </c>
      <c r="C37" s="930"/>
      <c r="D37" s="931"/>
      <c r="E37" s="900">
        <f>'Budget-Unrestricted MYP'!F37</f>
        <v>9339739.2142865993</v>
      </c>
      <c r="F37" s="900">
        <f>SUM(F29:F36)</f>
        <v>2385495.3361999998</v>
      </c>
      <c r="G37" s="900">
        <f>SUM(G29:G36)</f>
        <v>5774297.0921666669</v>
      </c>
      <c r="H37" s="588">
        <f t="shared" si="0"/>
        <v>-0.3817496442155503</v>
      </c>
      <c r="I37" s="900">
        <f>SUM(I29:I36)</f>
        <v>9459968.258329099</v>
      </c>
      <c r="J37" s="588">
        <f t="shared" si="1"/>
        <v>0.63828914711755369</v>
      </c>
      <c r="K37" s="900">
        <f>SUM(K29:K36)</f>
        <v>9674472.7786535863</v>
      </c>
      <c r="L37" s="591">
        <f t="shared" si="2"/>
        <v>2.2674972522833271E-2</v>
      </c>
    </row>
    <row r="38" spans="1:12" ht="17.25" thickTop="1" thickBot="1">
      <c r="A38" s="68"/>
      <c r="B38" s="1"/>
      <c r="C38" s="1"/>
      <c r="D38" s="168"/>
      <c r="E38" s="20"/>
      <c r="F38" s="1845"/>
      <c r="G38" s="1845"/>
      <c r="H38" s="1845"/>
      <c r="I38" s="1845"/>
      <c r="L38" s="472"/>
    </row>
    <row r="39" spans="1:12" ht="17.25" thickTop="1" thickBot="1">
      <c r="A39" s="1846" t="s">
        <v>208</v>
      </c>
      <c r="B39" s="1847"/>
      <c r="C39" s="1847"/>
      <c r="D39" s="1847"/>
      <c r="E39" s="954">
        <f>'Budget-Unrestricted MYP'!F39</f>
        <v>-753586.78102659807</v>
      </c>
      <c r="F39" s="954">
        <f>SUM(F26-F37)</f>
        <v>-431992.37103926064</v>
      </c>
      <c r="G39" s="954">
        <f>SUM(G26-G37)</f>
        <v>-286352.33236666676</v>
      </c>
      <c r="H39" s="946" t="str">
        <f>IF(E39&lt;1," ",IF(G39&lt;1," ",(G39-E39)/E39))</f>
        <v xml:space="preserve"> </v>
      </c>
      <c r="I39" s="954">
        <f>SUM(I26-I37)</f>
        <v>-570379.3950690981</v>
      </c>
      <c r="J39" s="946" t="str">
        <f>IF(G39&lt;1," ",IF(I39&lt;1," ",(I39-G39)/G39))</f>
        <v xml:space="preserve"> </v>
      </c>
      <c r="K39" s="954">
        <f>SUM(K26-K37)</f>
        <v>-464296.18539358489</v>
      </c>
      <c r="L39" s="947" t="str">
        <f>IF(I39&lt;1," ",IF(K39&lt;1," ",(K39-I39)/I39))</f>
        <v xml:space="preserve"> </v>
      </c>
    </row>
    <row r="40" spans="1:12" ht="9" customHeight="1" thickTop="1">
      <c r="A40" s="68"/>
      <c r="B40" s="1"/>
      <c r="C40" s="343"/>
      <c r="D40" s="344"/>
      <c r="E40" s="84"/>
      <c r="F40" s="1726"/>
      <c r="G40" s="1726"/>
      <c r="H40" s="1726"/>
      <c r="I40" s="1726"/>
      <c r="J40" s="492"/>
      <c r="K40" s="492"/>
      <c r="L40" s="493"/>
    </row>
    <row r="41" spans="1:12" ht="15.75">
      <c r="A41" s="306" t="s">
        <v>29</v>
      </c>
      <c r="B41" s="1"/>
      <c r="C41" s="155"/>
      <c r="D41" s="345"/>
      <c r="E41" s="83"/>
      <c r="F41" s="1728"/>
      <c r="G41" s="1728"/>
      <c r="H41" s="1728"/>
      <c r="I41" s="1728"/>
      <c r="J41" s="458"/>
      <c r="K41" s="458"/>
      <c r="L41" s="476"/>
    </row>
    <row r="42" spans="1:12" ht="15.75">
      <c r="A42" s="68"/>
      <c r="B42" s="147" t="s">
        <v>127</v>
      </c>
      <c r="C42" s="141"/>
      <c r="D42" s="310">
        <v>8900</v>
      </c>
      <c r="E42" s="765">
        <f>'Budget-Unrestricted MYP'!F42</f>
        <v>0</v>
      </c>
      <c r="F42" s="789"/>
      <c r="G42" s="789">
        <v>0</v>
      </c>
      <c r="H42" s="50" t="str">
        <f>IF(E42&lt;1," ",IF(G42&lt;1," ",(G42-E42)/E42))</f>
        <v xml:space="preserve"> </v>
      </c>
      <c r="I42" s="789">
        <f>+'Budget-Unrestricted MYP'!H42</f>
        <v>-407355</v>
      </c>
      <c r="J42" s="634" t="str">
        <f>IF(G42&lt;1," ",IF(I42&lt;1," ",(I42-G42)/G42))</f>
        <v xml:space="preserve"> </v>
      </c>
      <c r="K42" s="789">
        <f>+'Budget-Unrestricted MYP'!J42</f>
        <v>-515298</v>
      </c>
      <c r="L42" s="633" t="str">
        <f>IF(I42&lt;1," ",IF(K42&lt;1," ",(K42-I42)/I42))</f>
        <v xml:space="preserve"> </v>
      </c>
    </row>
    <row r="43" spans="1:12" ht="16.5" thickBot="1">
      <c r="A43" s="68"/>
      <c r="B43" s="899" t="s">
        <v>30</v>
      </c>
      <c r="C43" s="153"/>
      <c r="D43" s="928">
        <v>7600</v>
      </c>
      <c r="E43" s="815">
        <f>'Budget-Unrestricted MYP'!F43</f>
        <v>-945000</v>
      </c>
      <c r="F43" s="805">
        <v>-402000</v>
      </c>
      <c r="G43" s="805">
        <v>-360000</v>
      </c>
      <c r="H43" s="596" t="str">
        <f>IF(E43&lt;1," ",IF(G43&lt;1," ",(G43-E43)/E43))</f>
        <v xml:space="preserve"> </v>
      </c>
      <c r="I43" s="805">
        <v>-1100000</v>
      </c>
      <c r="J43" s="641" t="str">
        <f>IF(G43&lt;1," ",IF(I43&lt;1," ",(I43-G43)/G43))</f>
        <v xml:space="preserve"> </v>
      </c>
      <c r="K43" s="805">
        <v>-1000000</v>
      </c>
      <c r="L43" s="642" t="str">
        <f>IF(I43&lt;1," ",IF(K43&lt;1," ",(K43-I43)/I43))</f>
        <v xml:space="preserve"> </v>
      </c>
    </row>
    <row r="44" spans="1:12" ht="17.25" thickTop="1" thickBot="1">
      <c r="A44" s="68"/>
      <c r="B44" s="1776" t="s">
        <v>31</v>
      </c>
      <c r="C44" s="1777"/>
      <c r="D44" s="1777"/>
      <c r="E44" s="900">
        <f>'Budget-Unrestricted MYP'!F44</f>
        <v>945000</v>
      </c>
      <c r="F44" s="900">
        <f>F42-F43</f>
        <v>402000</v>
      </c>
      <c r="G44" s="900">
        <f>G42-G43</f>
        <v>360000</v>
      </c>
      <c r="H44" s="588">
        <f>IF(E44&lt;1," ",IF(G44&lt;1," ",(G44-E44)/E44))</f>
        <v>-0.61904761904761907</v>
      </c>
      <c r="I44" s="900">
        <f>I42-I43</f>
        <v>692645</v>
      </c>
      <c r="J44" s="588">
        <f>IF(G44&lt;1," ",IF(I44&lt;1," ",(I44-G44)/G44))</f>
        <v>0.92401388888888891</v>
      </c>
      <c r="K44" s="900">
        <f>K42-K43</f>
        <v>484702</v>
      </c>
      <c r="L44" s="591">
        <f>IF(I44&lt;1," ",IF(K44&lt;1," ",(K44-I44)/I44))</f>
        <v>-0.30021583928274947</v>
      </c>
    </row>
    <row r="45" spans="1:12" ht="17.25" thickTop="1" thickBot="1">
      <c r="A45" s="68"/>
      <c r="B45" s="1"/>
      <c r="C45" s="1"/>
      <c r="D45" s="168"/>
      <c r="E45" s="269"/>
      <c r="F45" s="52"/>
      <c r="G45" s="52"/>
      <c r="H45" s="269"/>
      <c r="I45" s="52"/>
      <c r="J45" s="269"/>
      <c r="K45" s="52"/>
      <c r="L45" s="881"/>
    </row>
    <row r="46" spans="1:12" ht="17.25" thickTop="1" thickBot="1">
      <c r="A46" s="1843" t="s">
        <v>32</v>
      </c>
      <c r="B46" s="1844"/>
      <c r="C46" s="1844"/>
      <c r="D46" s="1844"/>
      <c r="E46" s="900">
        <f>'Budget-Unrestricted MYP'!F46</f>
        <v>191413.21897340193</v>
      </c>
      <c r="F46" s="900">
        <f>F39+F44</f>
        <v>-29992.371039260644</v>
      </c>
      <c r="G46" s="900">
        <f>G39+G44</f>
        <v>73647.667633333243</v>
      </c>
      <c r="H46" s="588">
        <f>IF(E46&lt;1," ",IF(G46&lt;1," ",(G46-E46)/E46))</f>
        <v>-0.61524252071866026</v>
      </c>
      <c r="I46" s="900">
        <f>I39+I44</f>
        <v>122265.6049309019</v>
      </c>
      <c r="J46" s="588">
        <f>IF(G46&lt;1," ",IF(I46&lt;1," ",(I46-G46)/G46))</f>
        <v>0.66014225378624181</v>
      </c>
      <c r="K46" s="900">
        <f>K39+K44</f>
        <v>20405.814606415108</v>
      </c>
      <c r="L46" s="591">
        <f>IF(I46&lt;1," ",IF(K46&lt;1," ",(K46-I46)/I46))</f>
        <v>-0.83310257518500475</v>
      </c>
    </row>
    <row r="47" spans="1:12" ht="9.75" customHeight="1" thickTop="1">
      <c r="A47" s="306"/>
      <c r="B47" s="1"/>
      <c r="C47" s="1"/>
      <c r="D47" s="168"/>
      <c r="E47" s="269"/>
      <c r="F47" s="1730"/>
      <c r="G47" s="1730"/>
      <c r="H47" s="1730"/>
      <c r="I47" s="1730"/>
      <c r="L47" s="472"/>
    </row>
    <row r="48" spans="1:12" ht="15.75">
      <c r="A48" s="306" t="s">
        <v>6</v>
      </c>
      <c r="B48" s="1"/>
      <c r="C48" s="155"/>
      <c r="D48" s="345"/>
      <c r="E48" s="269"/>
      <c r="F48" s="1838"/>
      <c r="G48" s="1838"/>
      <c r="H48" s="1838"/>
      <c r="I48" s="1838"/>
      <c r="J48" s="152"/>
      <c r="K48" s="152"/>
      <c r="L48" s="466"/>
    </row>
    <row r="49" spans="1:12" ht="15.75">
      <c r="A49" s="68"/>
      <c r="B49" s="293" t="s">
        <v>162</v>
      </c>
      <c r="C49" s="294"/>
      <c r="D49" s="295">
        <v>9791</v>
      </c>
      <c r="E49" s="824">
        <f>'Budget-Unrestricted MYP'!F49</f>
        <v>193690.83966911718</v>
      </c>
      <c r="F49" s="825">
        <f>E49</f>
        <v>193690.83966911718</v>
      </c>
      <c r="G49" s="713">
        <f>F49</f>
        <v>193690.83966911718</v>
      </c>
      <c r="H49" s="1087"/>
      <c r="I49" s="1085"/>
      <c r="J49" s="1088"/>
      <c r="K49" s="1086"/>
      <c r="L49" s="1089"/>
    </row>
    <row r="50" spans="1:12" ht="15.75">
      <c r="A50" s="68"/>
      <c r="B50" s="315" t="s">
        <v>136</v>
      </c>
      <c r="C50" s="316"/>
      <c r="D50" s="317">
        <v>9792</v>
      </c>
      <c r="E50" s="892"/>
      <c r="F50" s="811">
        <f>G50</f>
        <v>0</v>
      </c>
      <c r="G50" s="826"/>
      <c r="H50" s="624"/>
      <c r="I50" s="800"/>
      <c r="J50" s="597"/>
      <c r="K50" s="798"/>
      <c r="L50" s="599"/>
    </row>
    <row r="51" spans="1:12" ht="15.75">
      <c r="A51" s="68"/>
      <c r="B51" s="1740" t="s">
        <v>236</v>
      </c>
      <c r="C51" s="1741"/>
      <c r="D51" s="1742"/>
      <c r="E51" s="892"/>
      <c r="F51" s="811">
        <f>F49+F50</f>
        <v>193690.83966911718</v>
      </c>
      <c r="G51" s="764">
        <f>G49+G50</f>
        <v>193690.83966911718</v>
      </c>
      <c r="H51" s="624"/>
      <c r="I51" s="800"/>
      <c r="J51" s="597"/>
      <c r="K51" s="798"/>
      <c r="L51" s="599"/>
    </row>
    <row r="52" spans="1:12" ht="15.75">
      <c r="A52" s="68"/>
      <c r="B52" s="315" t="s">
        <v>302</v>
      </c>
      <c r="C52" s="316"/>
      <c r="D52" s="317">
        <v>9793</v>
      </c>
      <c r="E52" s="892"/>
      <c r="F52" s="826"/>
      <c r="G52" s="826"/>
      <c r="H52" s="624"/>
      <c r="I52" s="1008"/>
      <c r="J52" s="597"/>
      <c r="K52" s="798"/>
      <c r="L52" s="599"/>
    </row>
    <row r="53" spans="1:12" ht="15.75">
      <c r="A53" s="68"/>
      <c r="B53" s="315" t="s">
        <v>301</v>
      </c>
      <c r="C53" s="316"/>
      <c r="D53" s="317">
        <v>9795</v>
      </c>
      <c r="E53" s="892"/>
      <c r="F53" s="826"/>
      <c r="G53" s="826"/>
      <c r="H53" s="624"/>
      <c r="I53" s="801"/>
      <c r="J53" s="598"/>
      <c r="K53" s="799"/>
      <c r="L53" s="600"/>
    </row>
    <row r="54" spans="1:12" ht="16.5" thickBot="1">
      <c r="A54" s="68"/>
      <c r="B54" s="910" t="s">
        <v>284</v>
      </c>
      <c r="C54" s="504"/>
      <c r="D54" s="911"/>
      <c r="E54" s="893"/>
      <c r="F54" s="827">
        <f>F51+F52+F53</f>
        <v>193690.83966911718</v>
      </c>
      <c r="G54" s="814">
        <f>G51+G52+G53</f>
        <v>193690.83966911718</v>
      </c>
      <c r="H54" s="615"/>
      <c r="I54" s="1108">
        <f>G55</f>
        <v>267338.50730245042</v>
      </c>
      <c r="J54" s="598"/>
      <c r="K54" s="1109">
        <f>I55</f>
        <v>389604.11223335232</v>
      </c>
      <c r="L54" s="600"/>
    </row>
    <row r="55" spans="1:12" ht="17.25" thickTop="1" thickBot="1">
      <c r="A55" s="68"/>
      <c r="B55" s="912" t="s">
        <v>33</v>
      </c>
      <c r="C55" s="913"/>
      <c r="D55" s="914">
        <v>9790</v>
      </c>
      <c r="E55" s="900">
        <f>'Budget-Unrestricted MYP'!F55</f>
        <v>385104.05864251911</v>
      </c>
      <c r="F55" s="900">
        <f>F54+F46</f>
        <v>163698.46862985654</v>
      </c>
      <c r="G55" s="900">
        <f>G54+G46</f>
        <v>267338.50730245042</v>
      </c>
      <c r="H55" s="588">
        <f>IF(E55&lt;1," ",IF(G55&lt;1," ",(G55-E55)/E55))</f>
        <v>-0.30580189612955239</v>
      </c>
      <c r="I55" s="900">
        <f>I54+I46</f>
        <v>389604.11223335232</v>
      </c>
      <c r="J55" s="588">
        <f>IF(G55&lt;1," ",IF(I55&lt;1," ",(I55-G55)/G55))</f>
        <v>0.45734378546738153</v>
      </c>
      <c r="K55" s="900">
        <f>K46+K54</f>
        <v>410009.92683976743</v>
      </c>
      <c r="L55" s="591">
        <f>IF(I55&lt;1," ",IF(K55&lt;1," ",(K55-I55)/I55))</f>
        <v>5.237576803140389E-2</v>
      </c>
    </row>
    <row r="56" spans="1:12" ht="10.5" customHeight="1" thickTop="1">
      <c r="A56" s="68"/>
      <c r="B56" s="1"/>
      <c r="C56" s="1"/>
      <c r="D56" s="168"/>
      <c r="E56" s="769"/>
      <c r="F56" s="515"/>
      <c r="G56" s="515"/>
      <c r="H56" s="169"/>
      <c r="I56" s="52"/>
      <c r="J56" s="169"/>
      <c r="K56" s="52"/>
      <c r="L56" s="475"/>
    </row>
    <row r="57" spans="1:12" ht="15.75">
      <c r="A57" s="324" t="s">
        <v>142</v>
      </c>
      <c r="B57" s="152"/>
      <c r="C57" s="480"/>
      <c r="D57" s="481" t="s">
        <v>2</v>
      </c>
      <c r="E57" s="482"/>
      <c r="F57" s="484"/>
      <c r="G57" s="484"/>
      <c r="H57" s="482"/>
      <c r="I57" s="484"/>
      <c r="J57" s="482"/>
      <c r="K57" s="484"/>
      <c r="L57" s="485"/>
    </row>
    <row r="58" spans="1:12" ht="15.75">
      <c r="A58" s="68"/>
      <c r="B58" s="348" t="s">
        <v>7</v>
      </c>
      <c r="C58" s="354" t="s">
        <v>143</v>
      </c>
      <c r="D58" s="355"/>
      <c r="E58" s="601"/>
      <c r="F58" s="1839"/>
      <c r="G58" s="1839"/>
      <c r="H58" s="1839"/>
      <c r="I58" s="1839"/>
      <c r="J58" s="146"/>
      <c r="K58" s="146"/>
      <c r="L58" s="602"/>
    </row>
    <row r="59" spans="1:12" ht="15.75">
      <c r="A59" s="68"/>
      <c r="B59" s="351"/>
      <c r="C59" s="349" t="s">
        <v>34</v>
      </c>
      <c r="D59" s="289">
        <v>9711</v>
      </c>
      <c r="E59" s="696">
        <f>'Budget-Unrestricted MYP'!F59</f>
        <v>0</v>
      </c>
      <c r="F59" s="828"/>
      <c r="G59" s="828"/>
      <c r="H59" s="270" t="str">
        <f>IF(E59&lt;1," ",IF(G59&lt;1," ",(G59-E59)/E59))</f>
        <v xml:space="preserve"> </v>
      </c>
      <c r="I59" s="828"/>
      <c r="J59" s="637" t="str">
        <f>IF(G59&lt;1," ",IF(I59&lt;1," ",(I59-G59)/G59))</f>
        <v xml:space="preserve"> </v>
      </c>
      <c r="K59" s="828"/>
      <c r="L59" s="639" t="str">
        <f>IF(I59&lt;1," ",IF(K59&lt;1," ",(K59-I59)/I59))</f>
        <v xml:space="preserve"> </v>
      </c>
    </row>
    <row r="60" spans="1:12" ht="15.75">
      <c r="A60" s="68"/>
      <c r="B60" s="348"/>
      <c r="C60" s="349" t="s">
        <v>10</v>
      </c>
      <c r="D60" s="289">
        <v>9712</v>
      </c>
      <c r="E60" s="830">
        <f>'Budget-Unrestricted MYP'!F60</f>
        <v>0</v>
      </c>
      <c r="F60" s="828"/>
      <c r="G60" s="828"/>
      <c r="H60" s="635" t="str">
        <f>IF(E60&lt;1," ",IF(G60&lt;1," ",(G60-E60)/E60))</f>
        <v xml:space="preserve"> </v>
      </c>
      <c r="I60" s="828"/>
      <c r="J60" s="638" t="str">
        <f>IF(G60&lt;1," ",IF(I60&lt;1," ",(I60-G60)/G60))</f>
        <v xml:space="preserve"> </v>
      </c>
      <c r="K60" s="828"/>
      <c r="L60" s="639" t="str">
        <f>IF(I60&lt;1," ",IF(K60&lt;1," ",(K60-I60)/I60))</f>
        <v xml:space="preserve"> </v>
      </c>
    </row>
    <row r="61" spans="1:12" ht="15.75">
      <c r="A61" s="68"/>
      <c r="B61" s="348"/>
      <c r="C61" s="349" t="s">
        <v>11</v>
      </c>
      <c r="D61" s="289">
        <v>9713</v>
      </c>
      <c r="E61" s="764">
        <f>'Budget-Unrestricted MYP'!F61</f>
        <v>0</v>
      </c>
      <c r="F61" s="804"/>
      <c r="G61" s="804"/>
      <c r="H61" s="50" t="str">
        <f>IF(E61&lt;1," ",IF(G61&lt;1," ",(G61-E61)/E61))</f>
        <v xml:space="preserve"> </v>
      </c>
      <c r="I61" s="804"/>
      <c r="J61" s="634" t="str">
        <f>IF(G61&lt;1," ",IF(I61&lt;1," ",(I61-G61)/G61))</f>
        <v xml:space="preserve"> </v>
      </c>
      <c r="K61" s="804"/>
      <c r="L61" s="633" t="str">
        <f>IF(I61&lt;1," ",IF(K61&lt;1," ",(K61-I61)/I61))</f>
        <v xml:space="preserve"> </v>
      </c>
    </row>
    <row r="62" spans="1:12" ht="15.75">
      <c r="A62" s="68"/>
      <c r="B62" s="348"/>
      <c r="C62" s="349" t="s">
        <v>144</v>
      </c>
      <c r="D62" s="289">
        <v>9719</v>
      </c>
      <c r="E62" s="764">
        <f>'Budget-Unrestricted MYP'!F62</f>
        <v>0</v>
      </c>
      <c r="F62" s="804"/>
      <c r="G62" s="804"/>
      <c r="H62" s="50" t="str">
        <f>IF(E62&lt;1," ",IF(G62&lt;1," ",(G62-E62)/E62))</f>
        <v xml:space="preserve"> </v>
      </c>
      <c r="I62" s="804"/>
      <c r="J62" s="634" t="str">
        <f>IF(G62&lt;1," ",IF(I62&lt;1," ",(I62-G62)/G62))</f>
        <v xml:space="preserve"> </v>
      </c>
      <c r="K62" s="804"/>
      <c r="L62" s="633" t="str">
        <f>IF(I62&lt;1," ",IF(K62&lt;1," ",(K62-I62)/I62))</f>
        <v xml:space="preserve"> </v>
      </c>
    </row>
    <row r="63" spans="1:12" ht="15.75">
      <c r="A63" s="326"/>
      <c r="B63" s="477" t="s">
        <v>8</v>
      </c>
      <c r="C63" s="478" t="s">
        <v>145</v>
      </c>
      <c r="D63" s="479">
        <v>9740</v>
      </c>
      <c r="E63" s="831"/>
      <c r="F63" s="829"/>
      <c r="G63" s="829"/>
      <c r="H63" s="624"/>
      <c r="I63" s="829"/>
      <c r="J63" s="597"/>
      <c r="K63" s="829"/>
      <c r="L63" s="599"/>
    </row>
    <row r="64" spans="1:12" ht="15.75">
      <c r="A64" s="68"/>
      <c r="B64" s="348" t="s">
        <v>9</v>
      </c>
      <c r="C64" s="354" t="s">
        <v>349</v>
      </c>
      <c r="D64" s="988"/>
      <c r="E64" s="832"/>
      <c r="F64" s="833"/>
      <c r="G64" s="833"/>
      <c r="H64" s="636"/>
      <c r="I64" s="833"/>
      <c r="J64" s="636"/>
      <c r="K64" s="833"/>
      <c r="L64" s="640"/>
    </row>
    <row r="65" spans="1:12" ht="15.75">
      <c r="A65" s="68"/>
      <c r="B65" s="348"/>
      <c r="C65" s="349" t="s">
        <v>146</v>
      </c>
      <c r="D65" s="290">
        <v>9750</v>
      </c>
      <c r="E65" s="764">
        <f>'Budget-Unrestricted MYP'!F65</f>
        <v>0</v>
      </c>
      <c r="F65" s="804"/>
      <c r="G65" s="804"/>
      <c r="H65" s="50" t="str">
        <f>IF(E65&lt;1," ",IF(G65&lt;1," ",(G65-E65)/E65))</f>
        <v xml:space="preserve"> </v>
      </c>
      <c r="I65" s="804"/>
      <c r="J65" s="634" t="str">
        <f>IF(G65&lt;1," ",IF(I65&lt;1," ",(I65-G65)/G65))</f>
        <v xml:space="preserve"> </v>
      </c>
      <c r="K65" s="804"/>
      <c r="L65" s="633" t="str">
        <f>IF(I65&lt;1," ",IF(K65&lt;1," ",(K65-I65)/I65))</f>
        <v xml:space="preserve"> </v>
      </c>
    </row>
    <row r="66" spans="1:12" ht="15.75">
      <c r="A66" s="68"/>
      <c r="B66" s="348"/>
      <c r="C66" s="349" t="s">
        <v>147</v>
      </c>
      <c r="D66" s="290">
        <v>9760</v>
      </c>
      <c r="E66" s="764">
        <f>'Budget-Unrestricted MYP'!F66</f>
        <v>0</v>
      </c>
      <c r="F66" s="804"/>
      <c r="G66" s="804"/>
      <c r="H66" s="50" t="str">
        <f>IF(E66&lt;1," ",IF(G66&lt;1," ",(G66-E66)/E66))</f>
        <v xml:space="preserve"> </v>
      </c>
      <c r="I66" s="804"/>
      <c r="J66" s="634" t="str">
        <f>IF(G66&lt;1," ",IF(I66&lt;1," ",(I66-G66)/G66))</f>
        <v xml:space="preserve"> </v>
      </c>
      <c r="K66" s="804"/>
      <c r="L66" s="633" t="str">
        <f>IF(I66&lt;1," ",IF(K66&lt;1," ",(K66-I66)/I66))</f>
        <v xml:space="preserve"> </v>
      </c>
    </row>
    <row r="67" spans="1:12" ht="15.75">
      <c r="A67" s="68"/>
      <c r="B67" s="348" t="s">
        <v>38</v>
      </c>
      <c r="C67" s="350" t="s">
        <v>148</v>
      </c>
      <c r="D67" s="289">
        <v>9780</v>
      </c>
      <c r="E67" s="764">
        <f>'Budget-Unrestricted MYP'!F67</f>
        <v>0</v>
      </c>
      <c r="F67" s="804"/>
      <c r="G67" s="804"/>
      <c r="H67" s="50" t="str">
        <f>IF(E67&lt;1," ",IF(G67&lt;1," ",(G67-E67)/E67))</f>
        <v xml:space="preserve"> </v>
      </c>
      <c r="I67" s="804"/>
      <c r="J67" s="634" t="str">
        <f>IF(G67&lt;1," ",IF(I67&lt;1," ",(I67-G67)/G67))</f>
        <v xml:space="preserve"> </v>
      </c>
      <c r="K67" s="804"/>
      <c r="L67" s="633" t="str">
        <f>IF(I67&lt;1," ",IF(K67&lt;1," ",(K67-I67)/I67))</f>
        <v xml:space="preserve"> </v>
      </c>
    </row>
    <row r="68" spans="1:12" ht="15.75">
      <c r="A68" s="68"/>
      <c r="B68" s="348" t="s">
        <v>40</v>
      </c>
      <c r="C68" s="354" t="s">
        <v>352</v>
      </c>
      <c r="D68" s="604"/>
      <c r="E68" s="832"/>
      <c r="F68" s="833"/>
      <c r="G68" s="833"/>
      <c r="H68" s="636"/>
      <c r="I68" s="833"/>
      <c r="J68" s="636"/>
      <c r="K68" s="833"/>
      <c r="L68" s="640"/>
    </row>
    <row r="69" spans="1:12" ht="15.75">
      <c r="A69" s="68"/>
      <c r="B69" s="348"/>
      <c r="C69" s="349" t="s">
        <v>350</v>
      </c>
      <c r="D69" s="290">
        <v>9789</v>
      </c>
      <c r="E69" s="764">
        <f>'Budget-Unrestricted MYP'!F69</f>
        <v>0</v>
      </c>
      <c r="F69" s="803"/>
      <c r="G69" s="803"/>
      <c r="H69" s="50" t="str">
        <f>IF(E69&lt;1," ",IF(G69&lt;1," ",(G69-E69)/E69))</f>
        <v xml:space="preserve"> </v>
      </c>
      <c r="I69" s="803"/>
      <c r="J69" s="634" t="str">
        <f>IF(G69&lt;1," ",IF(I69&lt;1," ",(I69-G69)/G69))</f>
        <v xml:space="preserve"> </v>
      </c>
      <c r="K69" s="803"/>
      <c r="L69" s="633" t="str">
        <f>IF(I69&lt;1," ",IF(K69&lt;1," ",(K69-I69)/I69))</f>
        <v xml:space="preserve"> </v>
      </c>
    </row>
    <row r="70" spans="1:12" ht="16.5" thickBot="1">
      <c r="A70" s="68"/>
      <c r="B70" s="899"/>
      <c r="C70" s="905" t="s">
        <v>351</v>
      </c>
      <c r="D70" s="629">
        <v>9790</v>
      </c>
      <c r="E70" s="815">
        <f>E55-E65-E66-E67-E69-E59-E60-E61-E62-E63</f>
        <v>385104.05864251911</v>
      </c>
      <c r="F70" s="815">
        <f>F55-F65-F66-F67-F69-F59-F60-F61-F62-F63</f>
        <v>163698.46862985654</v>
      </c>
      <c r="G70" s="815">
        <f>G55-G65-G66-G67-G69-G59-G60-G61-G62-G63</f>
        <v>267338.50730245042</v>
      </c>
      <c r="H70" s="596">
        <f>IF(E70&lt;1," ",IF(G70&lt;1," ",(G70-E70)/E70))</f>
        <v>-0.30580189612955239</v>
      </c>
      <c r="I70" s="815">
        <f>I55-I65-I66-I67-I69-I59-I60-I61-I62-I63</f>
        <v>389604.11223335232</v>
      </c>
      <c r="J70" s="641">
        <f>IF(G70&lt;1," ",IF(I70&lt;1," ",(I70-G70)/G70))</f>
        <v>0.45734378546738153</v>
      </c>
      <c r="K70" s="815">
        <f>K55-K65-K66-K67-K69-K59-K60-K61-K62-K63</f>
        <v>410009.92683976743</v>
      </c>
      <c r="L70" s="642">
        <f>IF(I70&lt;1," ",IF(K70&lt;1," ",(K70-I70)/I70))</f>
        <v>5.237576803140389E-2</v>
      </c>
    </row>
    <row r="71" spans="1:12" ht="17.25" thickTop="1" thickBot="1">
      <c r="A71" s="68"/>
      <c r="B71" s="1102"/>
      <c r="C71" s="1103"/>
      <c r="D71" s="1104"/>
      <c r="E71" s="1105"/>
      <c r="F71" s="1105"/>
      <c r="G71" s="1105"/>
      <c r="H71" s="1106"/>
      <c r="I71" s="1105"/>
      <c r="J71" s="1106"/>
      <c r="K71" s="1105"/>
      <c r="L71" s="1107"/>
    </row>
    <row r="72" spans="1:12" ht="8.25" customHeight="1" thickTop="1">
      <c r="A72" s="332"/>
      <c r="B72" s="225"/>
      <c r="C72" s="225"/>
      <c r="D72" s="225"/>
      <c r="E72" s="1100"/>
      <c r="F72" s="1100"/>
      <c r="G72" s="226"/>
      <c r="H72" s="226"/>
      <c r="I72" s="1100"/>
      <c r="J72" s="226"/>
      <c r="K72" s="1101"/>
      <c r="L72" s="472"/>
    </row>
    <row r="73" spans="1:12" ht="15.75">
      <c r="A73" s="332" t="s">
        <v>316</v>
      </c>
      <c r="B73" s="225"/>
      <c r="C73" s="225"/>
      <c r="D73" s="225"/>
      <c r="E73" s="225"/>
      <c r="F73" s="1705"/>
      <c r="G73" s="1705"/>
      <c r="H73" s="1705"/>
      <c r="I73" s="1705"/>
      <c r="J73" s="1705"/>
      <c r="L73" s="472"/>
    </row>
    <row r="74" spans="1:12" ht="16.5">
      <c r="A74" s="284"/>
      <c r="B74" s="166"/>
      <c r="C74" s="1749" t="s">
        <v>324</v>
      </c>
      <c r="D74" s="1749"/>
      <c r="E74" s="1749"/>
      <c r="F74" s="1749"/>
      <c r="G74" s="1749"/>
      <c r="H74" s="1749"/>
      <c r="I74" s="1749"/>
      <c r="J74" s="1749"/>
      <c r="K74" s="458"/>
      <c r="L74" s="472"/>
    </row>
    <row r="75" spans="1:12" ht="15.75">
      <c r="A75" s="332"/>
      <c r="B75" s="291">
        <v>1</v>
      </c>
      <c r="C75" s="1719" t="s">
        <v>244</v>
      </c>
      <c r="D75" s="1719"/>
      <c r="E75" s="1120">
        <f>'Budget-Unrestricted MYP'!F75</f>
        <v>0</v>
      </c>
      <c r="F75" s="720"/>
      <c r="G75" s="720"/>
      <c r="H75" s="50" t="str">
        <f>IF(E75&lt;1," ",IF(G75&lt;1," ",(G75-E75)/E75))</f>
        <v xml:space="preserve"> </v>
      </c>
      <c r="I75" s="726"/>
      <c r="J75" s="489" t="str">
        <f t="shared" ref="J75:J84" si="3">IF(G75&lt;1," ",IF(I75&lt;1," ",(I75-G75)/G75))</f>
        <v xml:space="preserve"> </v>
      </c>
      <c r="K75" s="710"/>
      <c r="L75" s="488" t="str">
        <f t="shared" ref="L75:L84" si="4">IF(I75&lt;1," ",IF(K75&lt;1," ",(K75-I75)/I75))</f>
        <v xml:space="preserve"> </v>
      </c>
    </row>
    <row r="76" spans="1:12" ht="15.75">
      <c r="A76" s="284"/>
      <c r="B76" s="291">
        <v>2</v>
      </c>
      <c r="C76" s="1717"/>
      <c r="D76" s="1717"/>
      <c r="E76" s="1116">
        <f>'Budget-Unrestricted MYP'!F76</f>
        <v>0</v>
      </c>
      <c r="F76" s="720"/>
      <c r="G76" s="720"/>
      <c r="H76" s="50" t="str">
        <f t="shared" ref="H76:H83" si="5">IF(E76&lt;1," ",IF(G76&lt;1," ",(G76-E76)/E76))</f>
        <v xml:space="preserve"> </v>
      </c>
      <c r="I76" s="726"/>
      <c r="J76" s="489" t="str">
        <f t="shared" si="3"/>
        <v xml:space="preserve"> </v>
      </c>
      <c r="K76" s="710"/>
      <c r="L76" s="488" t="str">
        <f t="shared" si="4"/>
        <v xml:space="preserve"> </v>
      </c>
    </row>
    <row r="77" spans="1:12" ht="15.75">
      <c r="A77" s="284"/>
      <c r="B77" s="291">
        <v>3</v>
      </c>
      <c r="C77" s="1717"/>
      <c r="D77" s="1717"/>
      <c r="E77" s="1116">
        <f>'Budget-Unrestricted MYP'!F77</f>
        <v>0</v>
      </c>
      <c r="F77" s="720"/>
      <c r="G77" s="720"/>
      <c r="H77" s="50" t="str">
        <f t="shared" si="5"/>
        <v xml:space="preserve"> </v>
      </c>
      <c r="I77" s="726"/>
      <c r="J77" s="489" t="str">
        <f t="shared" si="3"/>
        <v xml:space="preserve"> </v>
      </c>
      <c r="K77" s="710"/>
      <c r="L77" s="488" t="str">
        <f t="shared" si="4"/>
        <v xml:space="preserve"> </v>
      </c>
    </row>
    <row r="78" spans="1:12" ht="15.75">
      <c r="A78" s="284"/>
      <c r="B78" s="291">
        <v>4</v>
      </c>
      <c r="C78" s="1717"/>
      <c r="D78" s="1717"/>
      <c r="E78" s="1116">
        <f>'Budget-Unrestricted MYP'!F78</f>
        <v>0</v>
      </c>
      <c r="F78" s="720"/>
      <c r="G78" s="720"/>
      <c r="H78" s="50" t="str">
        <f t="shared" si="5"/>
        <v xml:space="preserve"> </v>
      </c>
      <c r="I78" s="726"/>
      <c r="J78" s="489" t="str">
        <f t="shared" si="3"/>
        <v xml:space="preserve"> </v>
      </c>
      <c r="K78" s="710"/>
      <c r="L78" s="488" t="str">
        <f t="shared" si="4"/>
        <v xml:space="preserve"> </v>
      </c>
    </row>
    <row r="79" spans="1:12" ht="15.75">
      <c r="A79" s="284"/>
      <c r="B79" s="291">
        <v>5</v>
      </c>
      <c r="C79" s="1717"/>
      <c r="D79" s="1717"/>
      <c r="E79" s="1116">
        <f>'Budget-Unrestricted MYP'!F79</f>
        <v>0</v>
      </c>
      <c r="F79" s="720"/>
      <c r="G79" s="720"/>
      <c r="H79" s="50" t="str">
        <f t="shared" si="5"/>
        <v xml:space="preserve"> </v>
      </c>
      <c r="I79" s="726"/>
      <c r="J79" s="489" t="str">
        <f t="shared" si="3"/>
        <v xml:space="preserve"> </v>
      </c>
      <c r="K79" s="710"/>
      <c r="L79" s="488" t="str">
        <f t="shared" si="4"/>
        <v xml:space="preserve"> </v>
      </c>
    </row>
    <row r="80" spans="1:12" ht="15.75">
      <c r="A80" s="284"/>
      <c r="B80" s="292">
        <v>6</v>
      </c>
      <c r="C80" s="1720"/>
      <c r="D80" s="1720"/>
      <c r="E80" s="1116">
        <f>'Budget-Unrestricted MYP'!F80</f>
        <v>0</v>
      </c>
      <c r="F80" s="720"/>
      <c r="G80" s="720"/>
      <c r="H80" s="50" t="str">
        <f t="shared" si="5"/>
        <v xml:space="preserve"> </v>
      </c>
      <c r="I80" s="726"/>
      <c r="J80" s="489" t="str">
        <f t="shared" si="3"/>
        <v xml:space="preserve"> </v>
      </c>
      <c r="K80" s="710"/>
      <c r="L80" s="488" t="str">
        <f t="shared" si="4"/>
        <v xml:space="preserve"> </v>
      </c>
    </row>
    <row r="81" spans="1:12" ht="15.75">
      <c r="A81" s="284"/>
      <c r="B81" s="292">
        <v>7</v>
      </c>
      <c r="C81" s="1720"/>
      <c r="D81" s="1720"/>
      <c r="E81" s="1116">
        <f>'Budget-Unrestricted MYP'!F81</f>
        <v>0</v>
      </c>
      <c r="F81" s="720"/>
      <c r="G81" s="720"/>
      <c r="H81" s="50" t="str">
        <f t="shared" si="5"/>
        <v xml:space="preserve"> </v>
      </c>
      <c r="I81" s="726"/>
      <c r="J81" s="489" t="str">
        <f t="shared" si="3"/>
        <v xml:space="preserve"> </v>
      </c>
      <c r="K81" s="710"/>
      <c r="L81" s="488" t="str">
        <f t="shared" si="4"/>
        <v xml:space="preserve"> </v>
      </c>
    </row>
    <row r="82" spans="1:12" ht="15.75">
      <c r="A82" s="68"/>
      <c r="B82" s="292">
        <v>8</v>
      </c>
      <c r="C82" s="1720"/>
      <c r="D82" s="1720"/>
      <c r="E82" s="1119">
        <f>'Budget-Unrestricted MYP'!F82</f>
        <v>0</v>
      </c>
      <c r="F82" s="721"/>
      <c r="G82" s="721"/>
      <c r="H82" s="50" t="str">
        <f t="shared" si="5"/>
        <v xml:space="preserve"> </v>
      </c>
      <c r="I82" s="728"/>
      <c r="J82" s="489" t="str">
        <f t="shared" si="3"/>
        <v xml:space="preserve"> </v>
      </c>
      <c r="K82" s="717"/>
      <c r="L82" s="488" t="str">
        <f t="shared" si="4"/>
        <v xml:space="preserve"> </v>
      </c>
    </row>
    <row r="83" spans="1:12" ht="16.5" thickBot="1">
      <c r="A83" s="68"/>
      <c r="B83" s="938">
        <v>9</v>
      </c>
      <c r="C83" s="1842"/>
      <c r="D83" s="1842"/>
      <c r="E83" s="1109">
        <f>'Budget-Unrestricted MYP'!F83</f>
        <v>0</v>
      </c>
      <c r="F83" s="722"/>
      <c r="G83" s="722"/>
      <c r="H83" s="50" t="str">
        <f t="shared" si="5"/>
        <v xml:space="preserve"> </v>
      </c>
      <c r="I83" s="834"/>
      <c r="J83" s="490" t="str">
        <f t="shared" si="3"/>
        <v xml:space="preserve"> </v>
      </c>
      <c r="K83" s="711"/>
      <c r="L83" s="491" t="str">
        <f t="shared" si="4"/>
        <v xml:space="preserve"> </v>
      </c>
    </row>
    <row r="84" spans="1:12" ht="17.25" thickTop="1" thickBot="1">
      <c r="A84" s="68"/>
      <c r="B84" s="939" t="s">
        <v>2</v>
      </c>
      <c r="C84" s="1707" t="s">
        <v>321</v>
      </c>
      <c r="D84" s="1708"/>
      <c r="E84" s="1133">
        <f>'Budget-Unrestricted MYP'!F84</f>
        <v>0</v>
      </c>
      <c r="F84" s="900">
        <f>SUM(F75:F83)</f>
        <v>0</v>
      </c>
      <c r="G84" s="900">
        <f>SUM(G75:G83)</f>
        <v>0</v>
      </c>
      <c r="H84" s="1110" t="str">
        <f>IF(E84&lt;1," ",IF(G84&lt;1," ",(G84-E84)/E84))</f>
        <v xml:space="preserve"> </v>
      </c>
      <c r="I84" s="900">
        <f>SUM(I75:I83)</f>
        <v>0</v>
      </c>
      <c r="J84" s="901" t="str">
        <f t="shared" si="3"/>
        <v xml:space="preserve"> </v>
      </c>
      <c r="K84" s="900">
        <f>SUM(K75:K83)</f>
        <v>0</v>
      </c>
      <c r="L84" s="902" t="str">
        <f t="shared" si="4"/>
        <v xml:space="preserve"> </v>
      </c>
    </row>
    <row r="85" spans="1:12" ht="10.5" customHeight="1" thickTop="1">
      <c r="A85" s="68"/>
      <c r="B85" s="949"/>
      <c r="C85" s="950"/>
      <c r="D85" s="950"/>
      <c r="E85" s="169"/>
      <c r="F85" s="52"/>
      <c r="G85" s="169"/>
      <c r="H85" s="52"/>
      <c r="I85" s="169"/>
      <c r="J85" s="52"/>
      <c r="K85" s="52"/>
      <c r="L85" s="882"/>
    </row>
    <row r="86" spans="1:12" ht="15.75">
      <c r="A86" s="68"/>
      <c r="B86" s="352" t="s">
        <v>128</v>
      </c>
      <c r="C86" s="167"/>
      <c r="D86" s="167"/>
      <c r="E86" s="977"/>
      <c r="F86" s="1092"/>
      <c r="G86" s="975">
        <f>'1st Interim-Assumptions'!G16</f>
        <v>163</v>
      </c>
      <c r="H86" s="470"/>
      <c r="I86" s="975">
        <f>'1st Interim-Assumptions'!H16</f>
        <v>163</v>
      </c>
      <c r="J86" s="470"/>
      <c r="K86" s="975">
        <f>'1st Interim-Assumptions'!J16</f>
        <v>163</v>
      </c>
      <c r="L86" s="690"/>
    </row>
    <row r="87" spans="1:12" ht="15.75">
      <c r="A87" s="284"/>
      <c r="B87" s="352" t="s">
        <v>137</v>
      </c>
      <c r="C87" s="167"/>
      <c r="D87" s="167"/>
      <c r="E87" s="973"/>
      <c r="F87" s="1093"/>
      <c r="G87" s="978">
        <f>(1.04446*'1st Interim-ADA'!O76)*G86</f>
        <v>86825.959800000011</v>
      </c>
      <c r="H87" s="50" t="str">
        <f>IF(E87&lt;1," ",IF(G87&lt;1," ",(G87-E87)/E87))</f>
        <v xml:space="preserve"> </v>
      </c>
      <c r="I87" s="978">
        <f>(1.04446*'1st Interim-ADA'!R76)*I86</f>
        <v>133984.37326000002</v>
      </c>
      <c r="J87" s="272">
        <f>IF(G87&lt;1," ",IF(I87&lt;1," ",(I87-G87)/G87))</f>
        <v>0.54313725490196085</v>
      </c>
      <c r="K87" s="978">
        <f>(1.04446*'1st Interim-ADA'!U76)*K86</f>
        <v>133984.37326000002</v>
      </c>
      <c r="L87" s="308">
        <f>IF(I87&lt;1," ",IF(K87&lt;1," ",(K87-I87)/I87))</f>
        <v>0</v>
      </c>
    </row>
    <row r="88" spans="1:12" ht="7.5" customHeight="1">
      <c r="A88" s="68"/>
      <c r="B88" s="362"/>
      <c r="C88" s="362"/>
      <c r="D88" s="362"/>
      <c r="E88" s="970"/>
      <c r="F88" s="52"/>
      <c r="G88" s="52"/>
      <c r="H88" s="971"/>
      <c r="I88" s="52"/>
      <c r="J88" s="971"/>
      <c r="K88" s="52"/>
      <c r="L88" s="882"/>
    </row>
    <row r="89" spans="1:12" ht="15.75">
      <c r="A89" s="284"/>
      <c r="B89" s="166"/>
      <c r="C89" s="166" t="s">
        <v>129</v>
      </c>
      <c r="D89" s="166"/>
      <c r="E89" s="166"/>
      <c r="F89" s="1713"/>
      <c r="G89" s="1713"/>
      <c r="H89" s="1713"/>
      <c r="I89" s="1713"/>
      <c r="J89" s="1713"/>
      <c r="K89" s="52"/>
      <c r="L89" s="607"/>
    </row>
    <row r="90" spans="1:12" ht="15.75">
      <c r="A90" s="284"/>
      <c r="B90" s="291">
        <v>1</v>
      </c>
      <c r="C90" s="1719" t="s">
        <v>360</v>
      </c>
      <c r="D90" s="1719"/>
      <c r="E90" s="1119">
        <f>'Budget-Unrestricted MYP'!F90</f>
        <v>0</v>
      </c>
      <c r="F90" s="720">
        <v>0</v>
      </c>
      <c r="G90" s="720"/>
      <c r="H90" s="1112" t="str">
        <f t="shared" ref="H90:H108" si="6">IF(E90&lt;1," ",IF(G90&lt;1," ",(G90-E90)/E90))</f>
        <v xml:space="preserve"> </v>
      </c>
      <c r="I90" s="726"/>
      <c r="J90" s="490" t="str">
        <f t="shared" ref="J90:J108" si="7">IF(G90&lt;1," ",IF(I90&lt;1," ",(I90-G90)/G90))</f>
        <v xml:space="preserve"> </v>
      </c>
      <c r="K90" s="715"/>
      <c r="L90" s="608" t="str">
        <f t="shared" ref="L90:L108" si="8">IF(I90&lt;1," ",IF(K90&lt;1," ",(K90-I90)/I90))</f>
        <v xml:space="preserve"> </v>
      </c>
    </row>
    <row r="91" spans="1:12" ht="15.75">
      <c r="A91" s="284"/>
      <c r="B91" s="291">
        <v>2</v>
      </c>
      <c r="C91" s="1717"/>
      <c r="D91" s="1718"/>
      <c r="E91" s="1119">
        <f>'Budget-Unrestricted MYP'!F91</f>
        <v>0</v>
      </c>
      <c r="F91" s="721"/>
      <c r="G91" s="721"/>
      <c r="H91" s="1112" t="str">
        <f t="shared" si="6"/>
        <v xml:space="preserve"> </v>
      </c>
      <c r="I91" s="728"/>
      <c r="J91" s="490" t="str">
        <f t="shared" si="7"/>
        <v xml:space="preserve"> </v>
      </c>
      <c r="K91" s="717"/>
      <c r="L91" s="491" t="str">
        <f t="shared" si="8"/>
        <v xml:space="preserve"> </v>
      </c>
    </row>
    <row r="92" spans="1:12" ht="15.75">
      <c r="A92" s="284"/>
      <c r="B92" s="291">
        <v>3</v>
      </c>
      <c r="C92" s="1717"/>
      <c r="D92" s="1718"/>
      <c r="E92" s="1119">
        <f>'Budget-Unrestricted MYP'!F92</f>
        <v>0</v>
      </c>
      <c r="F92" s="721"/>
      <c r="G92" s="721"/>
      <c r="H92" s="1112" t="str">
        <f t="shared" si="6"/>
        <v xml:space="preserve"> </v>
      </c>
      <c r="I92" s="728"/>
      <c r="J92" s="490" t="str">
        <f t="shared" si="7"/>
        <v xml:space="preserve"> </v>
      </c>
      <c r="K92" s="717"/>
      <c r="L92" s="491" t="str">
        <f t="shared" si="8"/>
        <v xml:space="preserve"> </v>
      </c>
    </row>
    <row r="93" spans="1:12" ht="15.75">
      <c r="A93" s="284"/>
      <c r="B93" s="291">
        <v>4</v>
      </c>
      <c r="C93" s="1717"/>
      <c r="D93" s="1718"/>
      <c r="E93" s="1119">
        <f>'Budget-Unrestricted MYP'!F93</f>
        <v>0</v>
      </c>
      <c r="F93" s="720"/>
      <c r="G93" s="720"/>
      <c r="H93" s="1112" t="str">
        <f t="shared" si="6"/>
        <v xml:space="preserve"> </v>
      </c>
      <c r="I93" s="726"/>
      <c r="J93" s="490" t="str">
        <f t="shared" si="7"/>
        <v xml:space="preserve"> </v>
      </c>
      <c r="K93" s="710"/>
      <c r="L93" s="491" t="str">
        <f t="shared" si="8"/>
        <v xml:space="preserve"> </v>
      </c>
    </row>
    <row r="94" spans="1:12" ht="15.75">
      <c r="A94" s="68"/>
      <c r="B94" s="291">
        <v>5</v>
      </c>
      <c r="C94" s="1717"/>
      <c r="D94" s="1718"/>
      <c r="E94" s="1119">
        <f>'Budget-Unrestricted MYP'!F94</f>
        <v>0</v>
      </c>
      <c r="F94" s="738"/>
      <c r="G94" s="738"/>
      <c r="H94" s="1112" t="str">
        <f t="shared" si="6"/>
        <v xml:space="preserve"> </v>
      </c>
      <c r="I94" s="835"/>
      <c r="J94" s="490" t="str">
        <f t="shared" si="7"/>
        <v xml:space="preserve"> </v>
      </c>
      <c r="K94" s="840"/>
      <c r="L94" s="491" t="str">
        <f t="shared" si="8"/>
        <v xml:space="preserve"> </v>
      </c>
    </row>
    <row r="95" spans="1:12" ht="15.75">
      <c r="A95" s="285"/>
      <c r="B95" s="292">
        <v>6</v>
      </c>
      <c r="C95" s="1720"/>
      <c r="D95" s="1757"/>
      <c r="E95" s="1119">
        <f>'Budget-Unrestricted MYP'!F95</f>
        <v>0</v>
      </c>
      <c r="F95" s="739"/>
      <c r="G95" s="739"/>
      <c r="H95" s="1111" t="str">
        <f t="shared" si="6"/>
        <v xml:space="preserve"> </v>
      </c>
      <c r="I95" s="836"/>
      <c r="J95" s="489" t="str">
        <f t="shared" si="7"/>
        <v xml:space="preserve"> </v>
      </c>
      <c r="K95" s="841"/>
      <c r="L95" s="488" t="str">
        <f t="shared" si="8"/>
        <v xml:space="preserve"> </v>
      </c>
    </row>
    <row r="96" spans="1:12" ht="15.75">
      <c r="A96" s="285"/>
      <c r="B96" s="292">
        <v>7</v>
      </c>
      <c r="C96" s="1720"/>
      <c r="D96" s="1757"/>
      <c r="E96" s="1119">
        <f>'Budget-Unrestricted MYP'!F96</f>
        <v>0</v>
      </c>
      <c r="F96" s="721"/>
      <c r="G96" s="721"/>
      <c r="H96" s="1111" t="str">
        <f t="shared" si="6"/>
        <v xml:space="preserve"> </v>
      </c>
      <c r="I96" s="728"/>
      <c r="J96" s="489" t="str">
        <f t="shared" si="7"/>
        <v xml:space="preserve"> </v>
      </c>
      <c r="K96" s="717"/>
      <c r="L96" s="488" t="str">
        <f t="shared" si="8"/>
        <v xml:space="preserve"> </v>
      </c>
    </row>
    <row r="97" spans="1:12" ht="15.75">
      <c r="A97" s="285"/>
      <c r="B97" s="292">
        <v>8</v>
      </c>
      <c r="C97" s="1720"/>
      <c r="D97" s="1757"/>
      <c r="E97" s="1119">
        <f>'Budget-Unrestricted MYP'!F97</f>
        <v>0</v>
      </c>
      <c r="F97" s="721"/>
      <c r="G97" s="721"/>
      <c r="H97" s="1111" t="str">
        <f t="shared" si="6"/>
        <v xml:space="preserve"> </v>
      </c>
      <c r="I97" s="728"/>
      <c r="J97" s="489" t="str">
        <f t="shared" si="7"/>
        <v xml:space="preserve"> </v>
      </c>
      <c r="K97" s="717"/>
      <c r="L97" s="488" t="str">
        <f t="shared" si="8"/>
        <v xml:space="preserve"> </v>
      </c>
    </row>
    <row r="98" spans="1:12" ht="15.75">
      <c r="A98" s="285"/>
      <c r="B98" s="292">
        <v>9</v>
      </c>
      <c r="C98" s="1717"/>
      <c r="D98" s="1718"/>
      <c r="E98" s="1119">
        <f>'Budget-Unrestricted MYP'!F98</f>
        <v>0</v>
      </c>
      <c r="F98" s="721"/>
      <c r="G98" s="721"/>
      <c r="H98" s="1111" t="str">
        <f t="shared" si="6"/>
        <v xml:space="preserve"> </v>
      </c>
      <c r="I98" s="728"/>
      <c r="J98" s="489" t="str">
        <f t="shared" si="7"/>
        <v xml:space="preserve"> </v>
      </c>
      <c r="K98" s="717"/>
      <c r="L98" s="488" t="str">
        <f t="shared" si="8"/>
        <v xml:space="preserve"> </v>
      </c>
    </row>
    <row r="99" spans="1:12" ht="15.75">
      <c r="A99" s="285"/>
      <c r="B99" s="147">
        <v>10</v>
      </c>
      <c r="C99" s="1720"/>
      <c r="D99" s="1757"/>
      <c r="E99" s="1119">
        <f>'Budget-Unrestricted MYP'!F99</f>
        <v>0</v>
      </c>
      <c r="F99" s="717"/>
      <c r="G99" s="721"/>
      <c r="H99" s="1111" t="str">
        <f t="shared" si="6"/>
        <v xml:space="preserve"> </v>
      </c>
      <c r="I99" s="728"/>
      <c r="J99" s="489" t="str">
        <f t="shared" si="7"/>
        <v xml:space="preserve"> </v>
      </c>
      <c r="K99" s="717"/>
      <c r="L99" s="488" t="str">
        <f t="shared" si="8"/>
        <v xml:space="preserve"> </v>
      </c>
    </row>
    <row r="100" spans="1:12" ht="15.75">
      <c r="A100" s="68"/>
      <c r="B100" s="147">
        <v>11</v>
      </c>
      <c r="C100" s="1720"/>
      <c r="D100" s="1757"/>
      <c r="E100" s="1119">
        <f>'Budget-Unrestricted MYP'!F100</f>
        <v>0</v>
      </c>
      <c r="F100" s="842"/>
      <c r="G100" s="731"/>
      <c r="H100" s="1111" t="str">
        <f t="shared" si="6"/>
        <v xml:space="preserve"> </v>
      </c>
      <c r="I100" s="731"/>
      <c r="J100" s="489" t="str">
        <f t="shared" si="7"/>
        <v xml:space="preserve"> </v>
      </c>
      <c r="K100" s="842"/>
      <c r="L100" s="488" t="str">
        <f t="shared" si="8"/>
        <v xml:space="preserve"> </v>
      </c>
    </row>
    <row r="101" spans="1:12" ht="15.75">
      <c r="A101" s="68"/>
      <c r="B101" s="147">
        <v>12</v>
      </c>
      <c r="C101" s="1720"/>
      <c r="D101" s="1757"/>
      <c r="E101" s="1119">
        <f>'Budget-Unrestricted MYP'!F101</f>
        <v>0</v>
      </c>
      <c r="F101" s="843"/>
      <c r="G101" s="732"/>
      <c r="H101" s="1111" t="str">
        <f t="shared" si="6"/>
        <v xml:space="preserve"> </v>
      </c>
      <c r="I101" s="732"/>
      <c r="J101" s="489" t="str">
        <f t="shared" si="7"/>
        <v xml:space="preserve"> </v>
      </c>
      <c r="K101" s="843"/>
      <c r="L101" s="488" t="str">
        <f t="shared" si="8"/>
        <v xml:space="preserve"> </v>
      </c>
    </row>
    <row r="102" spans="1:12" ht="15.75">
      <c r="A102" s="68"/>
      <c r="B102" s="147">
        <v>13</v>
      </c>
      <c r="C102" s="1720"/>
      <c r="D102" s="1757"/>
      <c r="E102" s="1119">
        <f>'Budget-Unrestricted MYP'!F102</f>
        <v>0</v>
      </c>
      <c r="F102" s="746"/>
      <c r="G102" s="740"/>
      <c r="H102" s="1111" t="str">
        <f t="shared" si="6"/>
        <v xml:space="preserve"> </v>
      </c>
      <c r="I102" s="837"/>
      <c r="J102" s="489" t="str">
        <f t="shared" si="7"/>
        <v xml:space="preserve"> </v>
      </c>
      <c r="K102" s="746"/>
      <c r="L102" s="488" t="str">
        <f t="shared" si="8"/>
        <v xml:space="preserve"> </v>
      </c>
    </row>
    <row r="103" spans="1:12" ht="15.75">
      <c r="A103" s="68"/>
      <c r="B103" s="147">
        <v>14</v>
      </c>
      <c r="C103" s="1720"/>
      <c r="D103" s="1757"/>
      <c r="E103" s="1119">
        <f>'Budget-Unrestricted MYP'!F103</f>
        <v>0</v>
      </c>
      <c r="F103" s="747"/>
      <c r="G103" s="741"/>
      <c r="H103" s="1111" t="str">
        <f t="shared" si="6"/>
        <v xml:space="preserve"> </v>
      </c>
      <c r="I103" s="754"/>
      <c r="J103" s="489" t="str">
        <f t="shared" si="7"/>
        <v xml:space="preserve"> </v>
      </c>
      <c r="K103" s="747"/>
      <c r="L103" s="488" t="str">
        <f t="shared" si="8"/>
        <v xml:space="preserve"> </v>
      </c>
    </row>
    <row r="104" spans="1:12" ht="15.75">
      <c r="A104" s="68"/>
      <c r="B104" s="147">
        <v>15</v>
      </c>
      <c r="C104" s="1720"/>
      <c r="D104" s="1757"/>
      <c r="E104" s="1119">
        <f>'Budget-Unrestricted MYP'!F104</f>
        <v>0</v>
      </c>
      <c r="F104" s="740"/>
      <c r="G104" s="740"/>
      <c r="H104" s="1111" t="str">
        <f t="shared" si="6"/>
        <v xml:space="preserve"> </v>
      </c>
      <c r="I104" s="837"/>
      <c r="J104" s="489" t="str">
        <f t="shared" si="7"/>
        <v xml:space="preserve"> </v>
      </c>
      <c r="K104" s="746"/>
      <c r="L104" s="488" t="str">
        <f t="shared" si="8"/>
        <v xml:space="preserve"> </v>
      </c>
    </row>
    <row r="105" spans="1:12" ht="15.75">
      <c r="A105" s="68"/>
      <c r="B105" s="147">
        <v>16</v>
      </c>
      <c r="C105" s="1720"/>
      <c r="D105" s="1757"/>
      <c r="E105" s="1119">
        <f>'Budget-Unrestricted MYP'!F105</f>
        <v>0</v>
      </c>
      <c r="F105" s="742"/>
      <c r="G105" s="742"/>
      <c r="H105" s="1111" t="str">
        <f t="shared" si="6"/>
        <v xml:space="preserve"> </v>
      </c>
      <c r="I105" s="838"/>
      <c r="J105" s="489" t="str">
        <f t="shared" si="7"/>
        <v xml:space="preserve"> </v>
      </c>
      <c r="K105" s="748"/>
      <c r="L105" s="488" t="str">
        <f t="shared" si="8"/>
        <v xml:space="preserve"> </v>
      </c>
    </row>
    <row r="106" spans="1:12" ht="15.75">
      <c r="A106" s="68"/>
      <c r="B106" s="147">
        <v>17</v>
      </c>
      <c r="C106" s="1720"/>
      <c r="D106" s="1757"/>
      <c r="E106" s="1119">
        <f>'Budget-Unrestricted MYP'!F106</f>
        <v>0</v>
      </c>
      <c r="F106" s="743"/>
      <c r="G106" s="743"/>
      <c r="H106" s="1111" t="str">
        <f t="shared" si="6"/>
        <v xml:space="preserve"> </v>
      </c>
      <c r="I106" s="839"/>
      <c r="J106" s="489" t="str">
        <f t="shared" si="7"/>
        <v xml:space="preserve"> </v>
      </c>
      <c r="K106" s="749"/>
      <c r="L106" s="488" t="str">
        <f t="shared" si="8"/>
        <v xml:space="preserve"> </v>
      </c>
    </row>
    <row r="107" spans="1:12" ht="16.5" thickBot="1">
      <c r="A107" s="68"/>
      <c r="B107" s="899">
        <v>18</v>
      </c>
      <c r="C107" s="1758"/>
      <c r="D107" s="1759"/>
      <c r="E107" s="1119">
        <f>'Budget-Unrestricted MYP'!F107</f>
        <v>0</v>
      </c>
      <c r="F107" s="1200"/>
      <c r="G107" s="737"/>
      <c r="H107" s="334" t="str">
        <f t="shared" si="6"/>
        <v xml:space="preserve"> </v>
      </c>
      <c r="I107" s="737"/>
      <c r="J107" s="605" t="str">
        <f t="shared" si="7"/>
        <v xml:space="preserve"> </v>
      </c>
      <c r="K107" s="844"/>
      <c r="L107" s="606" t="str">
        <f t="shared" si="8"/>
        <v xml:space="preserve"> </v>
      </c>
    </row>
    <row r="108" spans="1:12" ht="17.25" thickTop="1" thickBot="1">
      <c r="A108" s="68"/>
      <c r="B108" s="903"/>
      <c r="C108" s="1707" t="s">
        <v>320</v>
      </c>
      <c r="D108" s="1708"/>
      <c r="E108" s="900">
        <f>'Budget-Unrestricted MYP'!F108</f>
        <v>0</v>
      </c>
      <c r="F108" s="900">
        <f>SUM(F90:F107)</f>
        <v>0</v>
      </c>
      <c r="G108" s="900">
        <f>SUM(G90:G107)</f>
        <v>0</v>
      </c>
      <c r="H108" s="1113" t="str">
        <f t="shared" si="6"/>
        <v xml:space="preserve"> </v>
      </c>
      <c r="I108" s="900">
        <f>SUM(I90:I107)</f>
        <v>0</v>
      </c>
      <c r="J108" s="901" t="str">
        <f t="shared" si="7"/>
        <v xml:space="preserve"> </v>
      </c>
      <c r="K108" s="900">
        <f>SUM(K90:K107)</f>
        <v>0</v>
      </c>
      <c r="L108" s="902" t="str">
        <f t="shared" si="8"/>
        <v xml:space="preserve"> </v>
      </c>
    </row>
    <row r="109" spans="1:12" ht="6.75" customHeight="1" thickTop="1">
      <c r="A109" s="68"/>
      <c r="B109" s="153"/>
      <c r="C109" s="1841"/>
      <c r="D109" s="1841"/>
      <c r="E109" s="658"/>
      <c r="F109" s="459"/>
      <c r="G109" s="459"/>
      <c r="H109" s="869"/>
      <c r="I109" s="459"/>
      <c r="J109" s="869"/>
      <c r="K109" s="459"/>
      <c r="L109" s="883"/>
    </row>
    <row r="110" spans="1:12" ht="15.75">
      <c r="A110" s="284"/>
      <c r="B110" s="166"/>
      <c r="C110" s="166" t="s">
        <v>329</v>
      </c>
      <c r="D110" s="166"/>
      <c r="E110" s="166"/>
      <c r="F110" s="1713"/>
      <c r="G110" s="1713"/>
      <c r="H110" s="1713"/>
      <c r="I110" s="1713"/>
      <c r="J110" s="1713"/>
      <c r="K110" s="52"/>
      <c r="L110" s="607"/>
    </row>
    <row r="111" spans="1:12" ht="15.75">
      <c r="A111" s="68"/>
      <c r="B111" s="291">
        <v>1</v>
      </c>
      <c r="C111" s="1717" t="s">
        <v>245</v>
      </c>
      <c r="D111" s="1718"/>
      <c r="E111" s="1119">
        <f>'Budget-Unrestricted MYP'!F111</f>
        <v>0</v>
      </c>
      <c r="F111" s="1201"/>
      <c r="G111" s="734"/>
      <c r="H111" s="1111" t="str">
        <f t="shared" ref="H111:H117" si="9">IF(E111&lt;1," ",IF(G111&lt;1," ",(G111-E111)/E111))</f>
        <v xml:space="preserve"> </v>
      </c>
      <c r="I111" s="754"/>
      <c r="J111" s="31" t="str">
        <f t="shared" ref="J111:J117" si="10">IF(G111&lt;1," ",IF(I111&lt;1," ",(I111-G111)/G111))</f>
        <v xml:space="preserve"> </v>
      </c>
      <c r="K111" s="845"/>
      <c r="L111" s="644" t="str">
        <f t="shared" ref="L111:L117" si="11">IF(I111&lt;1," ",IF(K111&lt;1," ",(K111-I111)/I111))</f>
        <v xml:space="preserve"> </v>
      </c>
    </row>
    <row r="112" spans="1:12" ht="15.75">
      <c r="A112" s="68"/>
      <c r="B112" s="291">
        <v>2</v>
      </c>
      <c r="C112" s="1717"/>
      <c r="D112" s="1718"/>
      <c r="E112" s="1119">
        <f>'Budget-Unrestricted MYP'!F112</f>
        <v>0</v>
      </c>
      <c r="F112" s="1202"/>
      <c r="G112" s="752"/>
      <c r="H112" s="80" t="str">
        <f t="shared" si="9"/>
        <v xml:space="preserve"> </v>
      </c>
      <c r="I112" s="752"/>
      <c r="J112" s="80" t="str">
        <f t="shared" si="10"/>
        <v xml:space="preserve"> </v>
      </c>
      <c r="K112" s="846"/>
      <c r="L112" s="645" t="str">
        <f t="shared" si="11"/>
        <v xml:space="preserve"> </v>
      </c>
    </row>
    <row r="113" spans="1:12" ht="15.75">
      <c r="A113" s="68"/>
      <c r="B113" s="291">
        <v>3</v>
      </c>
      <c r="C113" s="1717"/>
      <c r="D113" s="1718"/>
      <c r="E113" s="1119">
        <f>'Budget-Unrestricted MYP'!F113</f>
        <v>0</v>
      </c>
      <c r="F113" s="844"/>
      <c r="G113" s="737"/>
      <c r="H113" s="334" t="str">
        <f t="shared" si="9"/>
        <v xml:space="preserve"> </v>
      </c>
      <c r="I113" s="755"/>
      <c r="J113" s="334" t="str">
        <f t="shared" si="10"/>
        <v xml:space="preserve"> </v>
      </c>
      <c r="K113" s="847"/>
      <c r="L113" s="646" t="str">
        <f t="shared" si="11"/>
        <v xml:space="preserve"> </v>
      </c>
    </row>
    <row r="114" spans="1:12" ht="15.75">
      <c r="A114" s="68"/>
      <c r="B114" s="291">
        <v>4</v>
      </c>
      <c r="C114" s="1717"/>
      <c r="D114" s="1718"/>
      <c r="E114" s="1119">
        <f>'Budget-Unrestricted MYP'!F114</f>
        <v>0</v>
      </c>
      <c r="F114" s="747"/>
      <c r="G114" s="734"/>
      <c r="H114" s="1111" t="str">
        <f t="shared" si="9"/>
        <v xml:space="preserve"> </v>
      </c>
      <c r="I114" s="754"/>
      <c r="J114" s="31" t="str">
        <f t="shared" si="10"/>
        <v xml:space="preserve"> </v>
      </c>
      <c r="K114" s="848"/>
      <c r="L114" s="647" t="str">
        <f t="shared" si="11"/>
        <v xml:space="preserve"> </v>
      </c>
    </row>
    <row r="115" spans="1:12" ht="15.75">
      <c r="A115" s="68"/>
      <c r="B115" s="291">
        <v>5</v>
      </c>
      <c r="C115" s="1717"/>
      <c r="D115" s="1718"/>
      <c r="E115" s="1119">
        <f>'Budget-Unrestricted MYP'!F115</f>
        <v>0</v>
      </c>
      <c r="F115" s="747"/>
      <c r="G115" s="734"/>
      <c r="H115" s="1111" t="str">
        <f t="shared" si="9"/>
        <v xml:space="preserve"> </v>
      </c>
      <c r="I115" s="754"/>
      <c r="J115" s="31" t="str">
        <f t="shared" si="10"/>
        <v xml:space="preserve"> </v>
      </c>
      <c r="K115" s="848"/>
      <c r="L115" s="647" t="str">
        <f t="shared" si="11"/>
        <v xml:space="preserve"> </v>
      </c>
    </row>
    <row r="116" spans="1:12" ht="16.5" thickBot="1">
      <c r="A116" s="68"/>
      <c r="B116" s="938">
        <v>6</v>
      </c>
      <c r="C116" s="1758"/>
      <c r="D116" s="1759"/>
      <c r="E116" s="1119">
        <f>'Budget-Unrestricted MYP'!F116</f>
        <v>0</v>
      </c>
      <c r="F116" s="1200"/>
      <c r="G116" s="737"/>
      <c r="H116" s="1112" t="str">
        <f t="shared" si="9"/>
        <v xml:space="preserve"> </v>
      </c>
      <c r="I116" s="755"/>
      <c r="J116" s="96" t="str">
        <f t="shared" si="10"/>
        <v xml:space="preserve"> </v>
      </c>
      <c r="K116" s="847"/>
      <c r="L116" s="646" t="str">
        <f t="shared" si="11"/>
        <v xml:space="preserve"> </v>
      </c>
    </row>
    <row r="117" spans="1:12" ht="17.25" thickTop="1" thickBot="1">
      <c r="A117" s="240"/>
      <c r="B117" s="929"/>
      <c r="C117" s="1707" t="s">
        <v>319</v>
      </c>
      <c r="D117" s="1708"/>
      <c r="E117" s="900">
        <f>'Budget-Unrestricted MYP'!F117</f>
        <v>0</v>
      </c>
      <c r="F117" s="900">
        <f>SUM(F111:F116)</f>
        <v>0</v>
      </c>
      <c r="G117" s="900">
        <f>SUM(G111:G116)</f>
        <v>0</v>
      </c>
      <c r="H117" s="1113" t="str">
        <f t="shared" si="9"/>
        <v xml:space="preserve"> </v>
      </c>
      <c r="I117" s="900">
        <f>SUM(I111:I116)</f>
        <v>0</v>
      </c>
      <c r="J117" s="901" t="str">
        <f t="shared" si="10"/>
        <v xml:space="preserve"> </v>
      </c>
      <c r="K117" s="900">
        <f>SUM(K111:K116)</f>
        <v>0</v>
      </c>
      <c r="L117" s="591" t="str">
        <f t="shared" si="11"/>
        <v xml:space="preserve"> </v>
      </c>
    </row>
    <row r="118" spans="1:12" ht="15.75">
      <c r="A118" s="2"/>
      <c r="B118" s="3"/>
      <c r="C118" s="3"/>
      <c r="D118" s="46"/>
      <c r="F118" s="47"/>
      <c r="G118" s="47"/>
      <c r="H118" s="4"/>
      <c r="I118" s="47"/>
      <c r="J118" s="4"/>
      <c r="K118" s="47"/>
      <c r="L118" s="4"/>
    </row>
    <row r="119" spans="1:12" ht="15.75">
      <c r="A119" s="2"/>
      <c r="B119" s="2"/>
      <c r="C119" s="2"/>
      <c r="D119" s="2"/>
      <c r="E119" s="2"/>
      <c r="F119" s="32"/>
      <c r="G119" s="32"/>
      <c r="H119" s="2"/>
      <c r="I119" s="32"/>
      <c r="J119" s="2"/>
      <c r="K119" s="32"/>
      <c r="L119" s="2"/>
    </row>
    <row r="120" spans="1:12" ht="15.75">
      <c r="A120" s="2"/>
      <c r="B120" s="2"/>
      <c r="C120" s="2"/>
      <c r="D120" s="2"/>
      <c r="E120" s="2"/>
      <c r="F120" s="32"/>
      <c r="G120" s="32"/>
      <c r="H120" s="2"/>
      <c r="I120" s="32"/>
      <c r="J120" s="2"/>
      <c r="K120" s="32"/>
      <c r="L120" s="2"/>
    </row>
    <row r="121" spans="1:12" ht="15.75">
      <c r="A121" s="2"/>
      <c r="B121" s="2"/>
      <c r="C121" s="2"/>
      <c r="D121" s="2"/>
      <c r="E121" s="2"/>
      <c r="F121" s="32"/>
      <c r="G121" s="32"/>
      <c r="H121" s="2"/>
      <c r="I121" s="32"/>
      <c r="J121" s="2"/>
      <c r="K121" s="32"/>
      <c r="L121" s="2"/>
    </row>
    <row r="122" spans="1:12" ht="15.75">
      <c r="A122" s="2"/>
      <c r="B122" s="2"/>
      <c r="C122" s="2"/>
      <c r="D122" s="2"/>
      <c r="E122" s="2"/>
      <c r="F122" s="32"/>
      <c r="G122" s="32"/>
      <c r="H122" s="2"/>
      <c r="I122" s="32"/>
      <c r="J122" s="2"/>
      <c r="K122" s="32"/>
      <c r="L122" s="2"/>
    </row>
    <row r="123" spans="1:12" ht="15.75">
      <c r="A123" s="2"/>
      <c r="B123" s="2"/>
      <c r="C123" s="2"/>
      <c r="D123" s="2"/>
      <c r="E123" s="2"/>
      <c r="F123" s="32"/>
      <c r="G123" s="32"/>
      <c r="H123" s="2"/>
      <c r="I123" s="32"/>
      <c r="J123" s="2"/>
      <c r="K123" s="32"/>
      <c r="L123" s="2"/>
    </row>
    <row r="124" spans="1:12" ht="15.75">
      <c r="A124" s="2"/>
      <c r="B124" s="2"/>
      <c r="C124" s="2"/>
      <c r="D124" s="2"/>
      <c r="E124" s="2"/>
      <c r="F124" s="32"/>
      <c r="G124" s="32"/>
      <c r="H124" s="2"/>
      <c r="I124" s="32"/>
      <c r="J124" s="2"/>
      <c r="K124" s="32"/>
      <c r="L124" s="2"/>
    </row>
    <row r="125" spans="1:12" ht="15.75">
      <c r="A125" s="2"/>
      <c r="B125" s="2"/>
      <c r="C125" s="2"/>
      <c r="D125" s="2"/>
      <c r="E125" s="2"/>
      <c r="F125" s="32"/>
      <c r="G125" s="32"/>
      <c r="H125" s="2"/>
      <c r="I125" s="32"/>
      <c r="J125" s="2"/>
      <c r="K125" s="32"/>
      <c r="L125" s="2"/>
    </row>
    <row r="126" spans="1:12" ht="15.75">
      <c r="A126" s="2"/>
      <c r="B126" s="2"/>
      <c r="C126" s="2"/>
      <c r="D126" s="2"/>
      <c r="E126" s="2"/>
      <c r="F126" s="32"/>
      <c r="G126" s="32"/>
      <c r="H126" s="2"/>
      <c r="I126" s="32"/>
      <c r="J126" s="2"/>
      <c r="K126" s="32"/>
      <c r="L126" s="2"/>
    </row>
    <row r="127" spans="1:12" ht="15.75">
      <c r="A127" s="2"/>
      <c r="B127" s="2"/>
      <c r="C127" s="2"/>
      <c r="D127" s="2"/>
      <c r="E127" s="2"/>
      <c r="F127" s="32"/>
      <c r="G127" s="32"/>
      <c r="H127" s="2"/>
      <c r="I127" s="32"/>
      <c r="J127" s="2"/>
      <c r="K127" s="32"/>
      <c r="L127" s="2"/>
    </row>
    <row r="128" spans="1:12" ht="15.75">
      <c r="A128" s="2"/>
      <c r="B128" s="2"/>
      <c r="C128" s="2"/>
      <c r="D128" s="2"/>
      <c r="E128" s="2"/>
      <c r="F128" s="32"/>
      <c r="G128" s="32"/>
      <c r="H128" s="2"/>
      <c r="I128" s="32"/>
      <c r="J128" s="2"/>
      <c r="K128" s="32"/>
      <c r="L128" s="2"/>
    </row>
    <row r="129" spans="1:12" ht="15.75">
      <c r="A129" s="2"/>
      <c r="B129" s="2"/>
      <c r="C129" s="2"/>
      <c r="D129" s="2"/>
      <c r="E129" s="2"/>
      <c r="F129" s="32"/>
      <c r="G129" s="32"/>
      <c r="H129" s="2"/>
      <c r="I129" s="32"/>
      <c r="J129" s="2"/>
      <c r="K129" s="32"/>
      <c r="L129" s="2"/>
    </row>
    <row r="130" spans="1:12" ht="15.75">
      <c r="A130" s="2"/>
      <c r="B130" s="2"/>
      <c r="C130" s="2"/>
      <c r="D130" s="2"/>
      <c r="E130" s="2"/>
      <c r="F130" s="32"/>
      <c r="G130" s="32"/>
      <c r="H130" s="2"/>
      <c r="I130" s="32"/>
      <c r="J130" s="2"/>
      <c r="K130" s="32"/>
      <c r="L130" s="2"/>
    </row>
    <row r="131" spans="1:12" ht="15.75">
      <c r="A131" s="2"/>
      <c r="B131" s="2"/>
      <c r="C131" s="2"/>
      <c r="D131" s="2"/>
      <c r="E131" s="2"/>
      <c r="F131" s="32"/>
      <c r="G131" s="32"/>
      <c r="H131" s="2"/>
      <c r="I131" s="32"/>
      <c r="J131" s="2"/>
      <c r="K131" s="32"/>
      <c r="L131" s="2"/>
    </row>
    <row r="132" spans="1:12" ht="15.75">
      <c r="A132" s="2"/>
      <c r="B132" s="2"/>
      <c r="C132" s="2"/>
      <c r="D132" s="2"/>
      <c r="E132" s="2"/>
      <c r="F132" s="32"/>
      <c r="G132" s="32"/>
      <c r="H132" s="2"/>
      <c r="I132" s="32"/>
      <c r="J132" s="2"/>
      <c r="K132" s="32"/>
      <c r="L132" s="2"/>
    </row>
    <row r="133" spans="1:12" ht="15.75">
      <c r="A133" s="2"/>
      <c r="B133" s="2"/>
      <c r="C133" s="2"/>
      <c r="D133" s="2"/>
      <c r="E133" s="2"/>
      <c r="F133" s="32"/>
      <c r="G133" s="32"/>
      <c r="H133" s="2"/>
      <c r="I133" s="32"/>
      <c r="J133" s="2"/>
      <c r="K133" s="32"/>
      <c r="L133" s="2"/>
    </row>
    <row r="134" spans="1:12" ht="15.75">
      <c r="A134" s="2"/>
      <c r="B134" s="2"/>
      <c r="C134" s="2"/>
      <c r="D134" s="2"/>
      <c r="E134" s="2"/>
      <c r="F134" s="32"/>
      <c r="G134" s="32"/>
      <c r="H134" s="2"/>
      <c r="I134" s="32"/>
      <c r="J134" s="2"/>
      <c r="K134" s="32"/>
      <c r="L134" s="2"/>
    </row>
    <row r="135" spans="1:12" ht="15.75">
      <c r="A135" s="2"/>
      <c r="B135" s="2"/>
      <c r="C135" s="2"/>
      <c r="D135" s="2"/>
      <c r="E135" s="2"/>
      <c r="F135" s="32"/>
      <c r="G135" s="32"/>
      <c r="H135" s="2"/>
      <c r="I135" s="32"/>
      <c r="J135" s="2"/>
      <c r="K135" s="32"/>
      <c r="L135" s="2"/>
    </row>
    <row r="136" spans="1:12" ht="15.75">
      <c r="A136" s="2"/>
      <c r="B136" s="2"/>
      <c r="C136" s="2"/>
      <c r="D136" s="2"/>
      <c r="E136" s="2"/>
      <c r="F136" s="32"/>
      <c r="G136" s="32"/>
      <c r="H136" s="2"/>
      <c r="I136" s="32"/>
      <c r="J136" s="2"/>
      <c r="K136" s="32"/>
      <c r="L136" s="2"/>
    </row>
    <row r="137" spans="1:12" ht="15.75">
      <c r="A137" s="2"/>
      <c r="B137" s="2"/>
      <c r="C137" s="2"/>
      <c r="D137" s="2"/>
      <c r="E137" s="2"/>
      <c r="F137" s="32"/>
      <c r="G137" s="32"/>
      <c r="H137" s="2"/>
      <c r="I137" s="32"/>
      <c r="J137" s="2"/>
      <c r="K137" s="32"/>
      <c r="L137" s="2"/>
    </row>
    <row r="138" spans="1:12" ht="15.75">
      <c r="A138" s="2"/>
      <c r="B138" s="2"/>
      <c r="C138" s="2"/>
      <c r="D138" s="2"/>
      <c r="E138" s="2"/>
      <c r="F138" s="32"/>
      <c r="G138" s="32"/>
      <c r="H138" s="2"/>
      <c r="I138" s="32"/>
      <c r="J138" s="2"/>
      <c r="K138" s="32"/>
      <c r="L138" s="2"/>
    </row>
    <row r="139" spans="1:12" ht="15.75">
      <c r="A139" s="2"/>
      <c r="B139" s="2"/>
      <c r="C139" s="2"/>
      <c r="D139" s="2"/>
      <c r="E139" s="2"/>
      <c r="F139" s="32"/>
      <c r="G139" s="32"/>
      <c r="H139" s="2"/>
      <c r="I139" s="32"/>
      <c r="J139" s="2"/>
      <c r="K139" s="32"/>
      <c r="L139" s="2"/>
    </row>
    <row r="140" spans="1:12" ht="15.75">
      <c r="A140" s="2"/>
      <c r="B140" s="2"/>
      <c r="C140" s="2"/>
      <c r="D140" s="2"/>
      <c r="E140" s="2"/>
      <c r="F140" s="32"/>
      <c r="G140" s="32"/>
      <c r="H140" s="2"/>
      <c r="I140" s="32"/>
      <c r="J140" s="2"/>
      <c r="K140" s="32"/>
      <c r="L140" s="2"/>
    </row>
    <row r="141" spans="1:12" ht="15.75">
      <c r="A141" s="2"/>
      <c r="B141" s="2"/>
      <c r="C141" s="2"/>
      <c r="D141" s="2"/>
      <c r="E141" s="2"/>
      <c r="F141" s="32"/>
      <c r="G141" s="32"/>
      <c r="H141" s="2"/>
      <c r="I141" s="32"/>
      <c r="J141" s="2"/>
      <c r="K141" s="32"/>
      <c r="L141" s="2"/>
    </row>
    <row r="142" spans="1:12" ht="15.75">
      <c r="A142" s="2"/>
      <c r="B142" s="2"/>
      <c r="C142" s="2"/>
      <c r="D142" s="2"/>
      <c r="E142" s="2"/>
      <c r="F142" s="32"/>
      <c r="G142" s="32"/>
      <c r="H142" s="2"/>
      <c r="I142" s="32"/>
      <c r="J142" s="2"/>
      <c r="K142" s="32"/>
      <c r="L142" s="2"/>
    </row>
    <row r="143" spans="1:12" ht="15.75">
      <c r="A143" s="2"/>
      <c r="B143" s="2"/>
      <c r="C143" s="2"/>
      <c r="D143" s="2"/>
      <c r="E143" s="2"/>
      <c r="F143" s="32"/>
      <c r="G143" s="32"/>
      <c r="H143" s="2"/>
      <c r="I143" s="32"/>
      <c r="J143" s="2"/>
      <c r="K143" s="32"/>
      <c r="L143" s="2"/>
    </row>
    <row r="144" spans="1:12" ht="15.75">
      <c r="A144" s="2"/>
      <c r="B144" s="2"/>
      <c r="C144" s="2"/>
      <c r="D144" s="2"/>
      <c r="E144" s="2"/>
      <c r="F144" s="32"/>
      <c r="G144" s="32"/>
      <c r="H144" s="2"/>
      <c r="I144" s="32"/>
      <c r="J144" s="2"/>
      <c r="K144" s="32"/>
      <c r="L144" s="2"/>
    </row>
    <row r="145" spans="1:12" ht="15.75">
      <c r="A145" s="2"/>
      <c r="B145" s="2"/>
      <c r="C145" s="2"/>
      <c r="D145" s="2"/>
      <c r="E145" s="2"/>
      <c r="F145" s="32"/>
      <c r="G145" s="32"/>
      <c r="H145" s="2"/>
      <c r="I145" s="32"/>
      <c r="J145" s="2"/>
      <c r="K145" s="32"/>
      <c r="L145" s="2"/>
    </row>
    <row r="146" spans="1:12" ht="15.75">
      <c r="A146" s="2"/>
      <c r="B146" s="2"/>
      <c r="C146" s="2"/>
      <c r="D146" s="2"/>
      <c r="E146" s="2"/>
      <c r="F146" s="32"/>
      <c r="G146" s="32"/>
      <c r="H146" s="2"/>
      <c r="I146" s="32"/>
      <c r="J146" s="2"/>
      <c r="K146" s="32"/>
      <c r="L146" s="2"/>
    </row>
    <row r="147" spans="1:12" ht="15.75">
      <c r="A147" s="2"/>
      <c r="B147" s="2"/>
      <c r="C147" s="2"/>
      <c r="D147" s="2"/>
      <c r="E147" s="2"/>
      <c r="F147" s="32"/>
      <c r="G147" s="32"/>
      <c r="H147" s="2"/>
      <c r="I147" s="32"/>
      <c r="J147" s="2"/>
      <c r="K147" s="32"/>
      <c r="L147" s="2"/>
    </row>
    <row r="148" spans="1:12" ht="15.75">
      <c r="A148" s="2"/>
      <c r="B148" s="2"/>
      <c r="C148" s="2"/>
      <c r="D148" s="2"/>
      <c r="E148" s="2"/>
      <c r="F148" s="32"/>
      <c r="G148" s="32"/>
      <c r="H148" s="2"/>
      <c r="I148" s="32"/>
      <c r="J148" s="2"/>
      <c r="K148" s="32"/>
      <c r="L148" s="2"/>
    </row>
    <row r="149" spans="1:12" ht="15.75">
      <c r="A149" s="2"/>
      <c r="B149" s="2"/>
      <c r="C149" s="2"/>
      <c r="D149" s="2"/>
      <c r="E149" s="2"/>
      <c r="F149" s="32"/>
      <c r="G149" s="32"/>
      <c r="H149" s="2"/>
      <c r="I149" s="32"/>
      <c r="J149" s="2"/>
      <c r="K149" s="32"/>
      <c r="L149" s="2"/>
    </row>
    <row r="150" spans="1:12" ht="15.75">
      <c r="A150" s="2"/>
      <c r="B150" s="2"/>
      <c r="C150" s="2"/>
      <c r="D150" s="2"/>
      <c r="E150" s="2"/>
      <c r="F150" s="32"/>
      <c r="G150" s="32"/>
      <c r="H150" s="2"/>
      <c r="I150" s="32"/>
      <c r="J150" s="2"/>
      <c r="K150" s="32"/>
      <c r="L150" s="2"/>
    </row>
    <row r="151" spans="1:12" ht="15.75">
      <c r="A151" s="2"/>
      <c r="B151" s="2"/>
      <c r="C151" s="2"/>
      <c r="D151" s="2"/>
      <c r="E151" s="2"/>
      <c r="F151" s="32"/>
      <c r="G151" s="32"/>
      <c r="H151" s="2"/>
      <c r="I151" s="32"/>
      <c r="J151" s="2"/>
      <c r="K151" s="32"/>
      <c r="L151" s="2"/>
    </row>
    <row r="152" spans="1:12" ht="15.75">
      <c r="A152" s="2"/>
      <c r="B152" s="2"/>
      <c r="C152" s="2"/>
      <c r="D152" s="2"/>
      <c r="E152" s="2"/>
      <c r="F152" s="32"/>
      <c r="G152" s="32"/>
      <c r="H152" s="2"/>
      <c r="I152" s="32"/>
      <c r="J152" s="2"/>
      <c r="K152" s="32"/>
      <c r="L152" s="2"/>
    </row>
    <row r="153" spans="1:12" ht="15.75">
      <c r="A153" s="2"/>
      <c r="B153" s="2"/>
      <c r="C153" s="2"/>
      <c r="D153" s="2"/>
      <c r="E153" s="2"/>
      <c r="F153" s="32"/>
      <c r="G153" s="32"/>
      <c r="H153" s="2"/>
      <c r="I153" s="32"/>
      <c r="J153" s="2"/>
      <c r="K153" s="32"/>
      <c r="L153" s="2"/>
    </row>
    <row r="154" spans="1:12" ht="15.75">
      <c r="A154" s="2"/>
      <c r="B154" s="2"/>
      <c r="C154" s="2"/>
      <c r="D154" s="2"/>
      <c r="E154" s="2"/>
      <c r="F154" s="32"/>
      <c r="G154" s="32"/>
      <c r="H154" s="2"/>
      <c r="I154" s="32"/>
      <c r="J154" s="2"/>
      <c r="K154" s="32"/>
      <c r="L154" s="2"/>
    </row>
    <row r="155" spans="1:12" ht="15.75">
      <c r="A155" s="2"/>
      <c r="B155" s="2"/>
      <c r="C155" s="2"/>
      <c r="D155" s="2"/>
      <c r="E155" s="2"/>
      <c r="F155" s="32"/>
      <c r="G155" s="32"/>
      <c r="H155" s="2"/>
      <c r="I155" s="32"/>
      <c r="J155" s="2"/>
      <c r="K155" s="32"/>
      <c r="L155" s="2"/>
    </row>
    <row r="156" spans="1:12" ht="15.75">
      <c r="A156" s="2"/>
      <c r="B156" s="2"/>
      <c r="C156" s="2"/>
      <c r="D156" s="2"/>
      <c r="E156" s="2"/>
      <c r="F156" s="32"/>
      <c r="G156" s="32"/>
      <c r="H156" s="2"/>
      <c r="I156" s="32"/>
      <c r="J156" s="2"/>
      <c r="K156" s="32"/>
      <c r="L156" s="2"/>
    </row>
    <row r="157" spans="1:12" ht="15.75">
      <c r="A157" s="2"/>
      <c r="B157" s="2"/>
      <c r="C157" s="2"/>
      <c r="D157" s="2"/>
      <c r="E157" s="2"/>
      <c r="F157" s="32"/>
      <c r="G157" s="32"/>
      <c r="H157" s="2"/>
      <c r="I157" s="32"/>
      <c r="J157" s="2"/>
      <c r="K157" s="32"/>
      <c r="L157" s="2"/>
    </row>
    <row r="158" spans="1:12" ht="15.75">
      <c r="A158" s="2"/>
      <c r="B158" s="2"/>
      <c r="C158" s="2"/>
      <c r="D158" s="2"/>
      <c r="E158" s="2"/>
      <c r="F158" s="32"/>
      <c r="G158" s="32"/>
      <c r="H158" s="2"/>
      <c r="I158" s="32"/>
      <c r="J158" s="2"/>
      <c r="K158" s="32"/>
      <c r="L158" s="2"/>
    </row>
    <row r="159" spans="1:12" ht="15.75">
      <c r="A159" s="2"/>
      <c r="B159" s="2"/>
      <c r="C159" s="2"/>
      <c r="D159" s="2"/>
      <c r="E159" s="2"/>
      <c r="F159" s="32"/>
      <c r="G159" s="32"/>
      <c r="H159" s="2"/>
      <c r="I159" s="32"/>
      <c r="J159" s="2"/>
      <c r="K159" s="32"/>
      <c r="L159" s="2"/>
    </row>
    <row r="160" spans="1:12" ht="15.75">
      <c r="A160" s="2"/>
      <c r="B160" s="2"/>
      <c r="C160" s="2"/>
      <c r="D160" s="2"/>
      <c r="E160" s="2"/>
      <c r="F160" s="32"/>
      <c r="G160" s="32"/>
      <c r="H160" s="2"/>
      <c r="I160" s="32"/>
      <c r="J160" s="2"/>
      <c r="K160" s="32"/>
      <c r="L160" s="2"/>
    </row>
    <row r="161" spans="1:12" ht="15.75">
      <c r="A161" s="2"/>
      <c r="B161" s="2"/>
      <c r="C161" s="2"/>
      <c r="D161" s="2"/>
      <c r="E161" s="2"/>
      <c r="F161" s="32"/>
      <c r="G161" s="32"/>
      <c r="H161" s="2"/>
      <c r="I161" s="32"/>
      <c r="J161" s="2"/>
      <c r="K161" s="32"/>
      <c r="L161" s="2"/>
    </row>
    <row r="162" spans="1:12" ht="15.75">
      <c r="A162" s="2"/>
      <c r="B162" s="2"/>
      <c r="C162" s="2"/>
      <c r="D162" s="2"/>
      <c r="E162" s="2"/>
      <c r="F162" s="32"/>
      <c r="G162" s="32"/>
      <c r="H162" s="2"/>
      <c r="I162" s="32"/>
      <c r="J162" s="2"/>
      <c r="K162" s="32"/>
      <c r="L162" s="2"/>
    </row>
    <row r="163" spans="1:12" ht="15.75">
      <c r="A163" s="2"/>
      <c r="B163" s="2"/>
      <c r="C163" s="2"/>
      <c r="D163" s="2"/>
      <c r="E163" s="2"/>
      <c r="F163" s="32"/>
      <c r="G163" s="32"/>
      <c r="H163" s="2"/>
      <c r="I163" s="32"/>
      <c r="J163" s="2"/>
      <c r="K163" s="32"/>
      <c r="L163" s="2"/>
    </row>
    <row r="164" spans="1:12" ht="15.75">
      <c r="A164" s="2"/>
      <c r="B164" s="2"/>
      <c r="C164" s="2"/>
      <c r="D164" s="2"/>
      <c r="E164" s="2"/>
      <c r="F164" s="32"/>
      <c r="G164" s="32"/>
      <c r="H164" s="2"/>
      <c r="I164" s="32"/>
      <c r="J164" s="2"/>
      <c r="K164" s="32"/>
      <c r="L164" s="2"/>
    </row>
    <row r="165" spans="1:12" ht="15.75">
      <c r="A165" s="2"/>
      <c r="B165" s="2"/>
      <c r="C165" s="2"/>
      <c r="D165" s="2"/>
      <c r="E165" s="2"/>
      <c r="F165" s="32"/>
      <c r="G165" s="32"/>
      <c r="H165" s="2"/>
      <c r="I165" s="32"/>
      <c r="J165" s="2"/>
      <c r="K165" s="32"/>
      <c r="L165" s="2"/>
    </row>
    <row r="166" spans="1:12" ht="15.75">
      <c r="A166" s="2"/>
      <c r="B166" s="2"/>
      <c r="C166" s="2"/>
      <c r="D166" s="2"/>
      <c r="E166" s="2"/>
      <c r="F166" s="32"/>
      <c r="G166" s="32"/>
      <c r="H166" s="2"/>
      <c r="I166" s="32"/>
      <c r="J166" s="2"/>
      <c r="K166" s="32"/>
      <c r="L166" s="2"/>
    </row>
    <row r="167" spans="1:12" ht="15.75">
      <c r="A167" s="2"/>
      <c r="B167" s="2"/>
      <c r="C167" s="2"/>
      <c r="D167" s="2"/>
      <c r="E167" s="2"/>
      <c r="F167" s="32"/>
      <c r="G167" s="32"/>
      <c r="H167" s="2"/>
      <c r="I167" s="32"/>
      <c r="J167" s="2"/>
      <c r="K167" s="32"/>
      <c r="L167" s="2"/>
    </row>
    <row r="168" spans="1:12" ht="15.75">
      <c r="A168" s="2"/>
      <c r="B168" s="2"/>
      <c r="C168" s="2"/>
      <c r="D168" s="2"/>
      <c r="E168" s="2"/>
      <c r="F168" s="32"/>
      <c r="G168" s="32"/>
      <c r="H168" s="2"/>
      <c r="I168" s="32"/>
      <c r="J168" s="2"/>
      <c r="K168" s="32"/>
      <c r="L168" s="2"/>
    </row>
    <row r="169" spans="1:12" ht="15.75">
      <c r="A169" s="2"/>
      <c r="B169" s="2"/>
      <c r="C169" s="2"/>
      <c r="D169" s="2"/>
      <c r="E169" s="2"/>
      <c r="F169" s="32"/>
      <c r="G169" s="32"/>
      <c r="H169" s="2"/>
      <c r="I169" s="32"/>
      <c r="J169" s="2"/>
      <c r="K169" s="32"/>
      <c r="L169" s="2"/>
    </row>
    <row r="170" spans="1:12" ht="15.75">
      <c r="A170" s="2"/>
      <c r="B170" s="2"/>
      <c r="C170" s="2"/>
      <c r="D170" s="2"/>
      <c r="E170" s="2"/>
      <c r="F170" s="32"/>
      <c r="G170" s="32"/>
      <c r="H170" s="2"/>
      <c r="I170" s="32"/>
      <c r="J170" s="2"/>
      <c r="K170" s="32"/>
      <c r="L170" s="2"/>
    </row>
    <row r="171" spans="1:12" ht="15.75">
      <c r="A171" s="2"/>
      <c r="B171" s="2"/>
      <c r="C171" s="2"/>
      <c r="D171" s="2"/>
      <c r="E171" s="2"/>
      <c r="F171" s="32"/>
      <c r="G171" s="32"/>
      <c r="H171" s="2"/>
      <c r="I171" s="32"/>
      <c r="J171" s="2"/>
      <c r="K171" s="32"/>
      <c r="L171" s="2"/>
    </row>
    <row r="172" spans="1:12" ht="15.75">
      <c r="A172" s="2"/>
      <c r="B172" s="2"/>
      <c r="C172" s="2"/>
      <c r="D172" s="2"/>
      <c r="E172" s="2"/>
      <c r="F172" s="32"/>
      <c r="G172" s="32"/>
      <c r="H172" s="2"/>
      <c r="I172" s="32"/>
      <c r="J172" s="2"/>
      <c r="K172" s="32"/>
      <c r="L172" s="2"/>
    </row>
    <row r="173" spans="1:12" ht="15.75">
      <c r="A173" s="2"/>
      <c r="B173" s="2"/>
      <c r="C173" s="2"/>
      <c r="D173" s="2"/>
      <c r="E173" s="2"/>
      <c r="F173" s="32"/>
      <c r="G173" s="32"/>
      <c r="H173" s="2"/>
      <c r="I173" s="32"/>
      <c r="J173" s="2"/>
      <c r="K173" s="32"/>
      <c r="L173" s="2"/>
    </row>
    <row r="174" spans="1:12" ht="15.75">
      <c r="A174" s="2"/>
      <c r="B174" s="2"/>
      <c r="C174" s="2"/>
      <c r="D174" s="2"/>
      <c r="E174" s="2"/>
      <c r="F174" s="32"/>
      <c r="G174" s="32"/>
      <c r="H174" s="2"/>
      <c r="I174" s="32"/>
      <c r="J174" s="2"/>
      <c r="K174" s="32"/>
      <c r="L174" s="2"/>
    </row>
    <row r="175" spans="1:12" ht="15.75">
      <c r="A175" s="2"/>
      <c r="B175" s="2"/>
      <c r="C175" s="2"/>
      <c r="D175" s="2"/>
      <c r="E175" s="2"/>
      <c r="F175" s="32"/>
      <c r="G175" s="32"/>
      <c r="H175" s="2"/>
      <c r="I175" s="32"/>
      <c r="J175" s="2"/>
      <c r="K175" s="32"/>
      <c r="L175" s="2"/>
    </row>
    <row r="176" spans="1:12" ht="15.75">
      <c r="A176" s="2"/>
      <c r="B176" s="2"/>
      <c r="C176" s="2"/>
      <c r="D176" s="2"/>
      <c r="E176" s="2"/>
      <c r="F176" s="32"/>
      <c r="G176" s="32"/>
      <c r="H176" s="2"/>
      <c r="I176" s="32"/>
      <c r="J176" s="2"/>
      <c r="K176" s="32"/>
      <c r="L176" s="2"/>
    </row>
    <row r="177" spans="1:12" ht="15.75">
      <c r="A177" s="2"/>
      <c r="B177" s="2"/>
      <c r="C177" s="2"/>
      <c r="D177" s="2"/>
      <c r="E177" s="2"/>
      <c r="F177" s="32"/>
      <c r="G177" s="32"/>
      <c r="H177" s="2"/>
      <c r="I177" s="32"/>
      <c r="J177" s="2"/>
      <c r="K177" s="32"/>
      <c r="L177" s="2"/>
    </row>
    <row r="178" spans="1:12" ht="15.75">
      <c r="A178" s="2"/>
      <c r="B178" s="2"/>
      <c r="C178" s="2"/>
      <c r="D178" s="2"/>
      <c r="E178" s="2"/>
      <c r="F178" s="32"/>
      <c r="G178" s="32"/>
      <c r="H178" s="2"/>
      <c r="I178" s="32"/>
      <c r="J178" s="2"/>
      <c r="K178" s="32"/>
      <c r="L178" s="2"/>
    </row>
    <row r="179" spans="1:12" ht="15.75">
      <c r="A179" s="2"/>
      <c r="B179" s="2"/>
      <c r="C179" s="2"/>
      <c r="D179" s="2"/>
      <c r="E179" s="2"/>
      <c r="F179" s="32"/>
      <c r="G179" s="32"/>
      <c r="H179" s="2"/>
      <c r="I179" s="32"/>
      <c r="J179" s="2"/>
      <c r="K179" s="32"/>
      <c r="L179" s="2"/>
    </row>
    <row r="180" spans="1:12" ht="15.75">
      <c r="A180" s="2"/>
      <c r="B180" s="2"/>
      <c r="C180" s="2"/>
      <c r="D180" s="2"/>
      <c r="E180" s="2"/>
      <c r="F180" s="32"/>
      <c r="G180" s="32"/>
      <c r="H180" s="2"/>
      <c r="I180" s="32"/>
      <c r="J180" s="2"/>
      <c r="K180" s="32"/>
      <c r="L180" s="2"/>
    </row>
    <row r="181" spans="1:12" ht="15.75">
      <c r="A181" s="2"/>
      <c r="B181" s="2"/>
      <c r="C181" s="2"/>
      <c r="D181" s="2"/>
      <c r="E181" s="2"/>
      <c r="F181" s="32"/>
      <c r="G181" s="32"/>
      <c r="H181" s="2"/>
      <c r="I181" s="32"/>
      <c r="J181" s="2"/>
      <c r="K181" s="32"/>
      <c r="L181" s="2"/>
    </row>
    <row r="182" spans="1:12" ht="15.75">
      <c r="A182" s="2"/>
      <c r="B182" s="2"/>
      <c r="C182" s="2"/>
      <c r="D182" s="2"/>
      <c r="E182" s="2"/>
      <c r="F182" s="32"/>
      <c r="G182" s="32"/>
      <c r="H182" s="2"/>
      <c r="I182" s="32"/>
      <c r="J182" s="2"/>
      <c r="K182" s="32"/>
      <c r="L182" s="2"/>
    </row>
    <row r="183" spans="1:12" ht="15.75">
      <c r="A183" s="2"/>
      <c r="B183" s="2"/>
      <c r="C183" s="2"/>
      <c r="D183" s="2"/>
      <c r="E183" s="2"/>
      <c r="F183" s="32"/>
      <c r="G183" s="32"/>
      <c r="H183" s="2"/>
      <c r="I183" s="32"/>
      <c r="J183" s="2"/>
      <c r="K183" s="32"/>
      <c r="L183" s="2"/>
    </row>
    <row r="184" spans="1:12" ht="15.75">
      <c r="A184" s="2"/>
      <c r="B184" s="2"/>
      <c r="C184" s="2"/>
      <c r="D184" s="2"/>
      <c r="E184" s="2"/>
      <c r="F184" s="32"/>
      <c r="G184" s="32"/>
      <c r="H184" s="2"/>
      <c r="I184" s="32"/>
      <c r="J184" s="2"/>
      <c r="K184" s="32"/>
      <c r="L184" s="2"/>
    </row>
    <row r="185" spans="1:12" ht="15.75">
      <c r="A185" s="2"/>
      <c r="B185" s="2"/>
      <c r="C185" s="2"/>
      <c r="D185" s="2"/>
      <c r="E185" s="2"/>
      <c r="F185" s="32"/>
      <c r="G185" s="32"/>
      <c r="H185" s="2"/>
      <c r="I185" s="32"/>
      <c r="J185" s="2"/>
      <c r="K185" s="32"/>
      <c r="L185" s="2"/>
    </row>
    <row r="186" spans="1:12" ht="15.75">
      <c r="A186" s="2"/>
      <c r="B186" s="2"/>
      <c r="C186" s="2"/>
      <c r="D186" s="2"/>
      <c r="E186" s="2"/>
      <c r="F186" s="32"/>
      <c r="G186" s="32"/>
      <c r="H186" s="2"/>
      <c r="I186" s="32"/>
      <c r="J186" s="2"/>
      <c r="K186" s="32"/>
      <c r="L186" s="2"/>
    </row>
    <row r="187" spans="1:12" ht="15.75">
      <c r="A187" s="2"/>
      <c r="B187" s="2"/>
      <c r="C187" s="2"/>
      <c r="D187" s="2"/>
      <c r="E187" s="2"/>
      <c r="F187" s="32"/>
      <c r="G187" s="32"/>
      <c r="H187" s="2"/>
      <c r="I187" s="32"/>
      <c r="J187" s="2"/>
      <c r="K187" s="32"/>
      <c r="L187" s="2"/>
    </row>
    <row r="188" spans="1:12" ht="15.75">
      <c r="A188" s="2"/>
      <c r="B188" s="2"/>
      <c r="C188" s="2"/>
      <c r="D188" s="2"/>
      <c r="E188" s="2"/>
      <c r="F188" s="32"/>
      <c r="G188" s="32"/>
      <c r="H188" s="2"/>
      <c r="I188" s="32"/>
      <c r="J188" s="2"/>
      <c r="K188" s="32"/>
      <c r="L188" s="2"/>
    </row>
    <row r="189" spans="1:12" ht="15.75">
      <c r="A189" s="2"/>
      <c r="B189" s="2"/>
      <c r="C189" s="2"/>
      <c r="D189" s="2"/>
      <c r="E189" s="2"/>
      <c r="F189" s="32"/>
      <c r="G189" s="32"/>
      <c r="H189" s="2"/>
      <c r="I189" s="32"/>
      <c r="J189" s="2"/>
      <c r="K189" s="32"/>
      <c r="L189" s="2"/>
    </row>
    <row r="190" spans="1:12" ht="15.75">
      <c r="A190" s="2"/>
      <c r="B190" s="2"/>
      <c r="C190" s="2"/>
      <c r="D190" s="2"/>
      <c r="E190" s="2"/>
      <c r="F190" s="32"/>
      <c r="G190" s="32"/>
      <c r="H190" s="2"/>
      <c r="I190" s="32"/>
      <c r="J190" s="2"/>
      <c r="K190" s="32"/>
      <c r="L190" s="2"/>
    </row>
    <row r="191" spans="1:12" ht="15.75">
      <c r="A191" s="2"/>
      <c r="B191" s="2"/>
      <c r="C191" s="2"/>
      <c r="D191" s="2"/>
      <c r="E191" s="2"/>
      <c r="F191" s="32"/>
      <c r="G191" s="32"/>
      <c r="H191" s="2"/>
      <c r="I191" s="32"/>
      <c r="J191" s="2"/>
      <c r="K191" s="32"/>
      <c r="L191" s="2"/>
    </row>
    <row r="192" spans="1:12" ht="15.75">
      <c r="A192" s="2"/>
      <c r="B192" s="2"/>
      <c r="C192" s="2"/>
      <c r="D192" s="2"/>
      <c r="E192" s="2"/>
      <c r="F192" s="32"/>
      <c r="G192" s="32"/>
      <c r="H192" s="2"/>
      <c r="I192" s="32"/>
      <c r="J192" s="2"/>
      <c r="K192" s="32"/>
      <c r="L192" s="2"/>
    </row>
    <row r="193" spans="1:12" ht="15.75">
      <c r="A193" s="2"/>
      <c r="B193" s="2"/>
      <c r="C193" s="2"/>
      <c r="D193" s="2"/>
      <c r="E193" s="2"/>
      <c r="F193" s="32"/>
      <c r="G193" s="32"/>
      <c r="H193" s="2"/>
      <c r="I193" s="32"/>
      <c r="J193" s="2"/>
      <c r="K193" s="32"/>
      <c r="L193" s="2"/>
    </row>
    <row r="194" spans="1:12" ht="15.75">
      <c r="A194" s="2"/>
      <c r="B194" s="2"/>
      <c r="C194" s="2"/>
      <c r="D194" s="2"/>
      <c r="E194" s="2"/>
      <c r="F194" s="32"/>
      <c r="G194" s="32"/>
      <c r="H194" s="2"/>
      <c r="I194" s="32"/>
      <c r="J194" s="2"/>
      <c r="K194" s="32"/>
      <c r="L194" s="2"/>
    </row>
    <row r="195" spans="1:12" ht="15.75">
      <c r="A195" s="2"/>
      <c r="B195" s="2"/>
      <c r="C195" s="2"/>
      <c r="D195" s="2"/>
      <c r="E195" s="2"/>
      <c r="F195" s="32"/>
      <c r="G195" s="32"/>
      <c r="H195" s="2"/>
      <c r="I195" s="32"/>
      <c r="J195" s="2"/>
      <c r="K195" s="32"/>
      <c r="L195" s="2"/>
    </row>
    <row r="196" spans="1:12" ht="15.75">
      <c r="A196" s="2"/>
      <c r="B196" s="2"/>
      <c r="C196" s="2"/>
      <c r="D196" s="2"/>
      <c r="E196" s="2"/>
      <c r="F196" s="32"/>
      <c r="G196" s="32"/>
      <c r="H196" s="2"/>
      <c r="I196" s="32"/>
      <c r="J196" s="2"/>
      <c r="K196" s="32"/>
      <c r="L196" s="2"/>
    </row>
    <row r="197" spans="1:12" ht="15.75">
      <c r="A197" s="2"/>
      <c r="B197" s="2"/>
      <c r="C197" s="2"/>
      <c r="D197" s="2"/>
      <c r="E197" s="2"/>
      <c r="F197" s="32"/>
      <c r="G197" s="32"/>
      <c r="H197" s="2"/>
      <c r="I197" s="32"/>
      <c r="J197" s="2"/>
      <c r="K197" s="32"/>
      <c r="L197" s="2"/>
    </row>
    <row r="198" spans="1:12" ht="15.75">
      <c r="A198" s="2"/>
      <c r="B198" s="2"/>
      <c r="C198" s="2"/>
      <c r="D198" s="2"/>
      <c r="E198" s="2"/>
      <c r="F198" s="32"/>
      <c r="G198" s="32"/>
      <c r="H198" s="2"/>
      <c r="I198" s="32"/>
      <c r="J198" s="2"/>
      <c r="K198" s="32"/>
      <c r="L198" s="2"/>
    </row>
    <row r="199" spans="1:12" ht="15.75">
      <c r="A199" s="2"/>
      <c r="B199" s="2"/>
      <c r="C199" s="2"/>
      <c r="D199" s="2"/>
      <c r="E199" s="2"/>
      <c r="F199" s="32"/>
      <c r="G199" s="32"/>
      <c r="H199" s="2"/>
      <c r="I199" s="32"/>
      <c r="J199" s="2"/>
      <c r="K199" s="32"/>
      <c r="L199" s="2"/>
    </row>
    <row r="200" spans="1:12" ht="15.75">
      <c r="A200" s="2"/>
      <c r="B200" s="2"/>
      <c r="C200" s="2"/>
      <c r="D200" s="2"/>
      <c r="E200" s="2"/>
      <c r="F200" s="32"/>
      <c r="G200" s="32"/>
      <c r="H200" s="2"/>
      <c r="I200" s="32"/>
      <c r="J200" s="2"/>
      <c r="K200" s="32"/>
      <c r="L200" s="2"/>
    </row>
    <row r="201" spans="1:12" ht="15.75">
      <c r="A201" s="2"/>
      <c r="B201" s="2"/>
      <c r="C201" s="2"/>
      <c r="D201" s="2"/>
      <c r="E201" s="2"/>
      <c r="F201" s="32"/>
      <c r="G201" s="32"/>
      <c r="H201" s="2"/>
      <c r="I201" s="32"/>
      <c r="J201" s="2"/>
      <c r="K201" s="32"/>
      <c r="L201" s="2"/>
    </row>
    <row r="202" spans="1:12" ht="15.75">
      <c r="A202" s="2"/>
      <c r="B202" s="2"/>
      <c r="C202" s="2"/>
      <c r="D202" s="2"/>
      <c r="E202" s="2"/>
      <c r="F202" s="32"/>
      <c r="G202" s="32"/>
      <c r="H202" s="2"/>
      <c r="I202" s="32"/>
      <c r="J202" s="2"/>
      <c r="K202" s="32"/>
      <c r="L202" s="2"/>
    </row>
    <row r="203" spans="1:12" ht="15.75">
      <c r="A203" s="2"/>
      <c r="B203" s="2"/>
      <c r="C203" s="2"/>
      <c r="D203" s="2"/>
      <c r="E203" s="2"/>
      <c r="F203" s="32"/>
      <c r="G203" s="32"/>
      <c r="H203" s="2"/>
      <c r="I203" s="32"/>
      <c r="J203" s="2"/>
      <c r="K203" s="32"/>
      <c r="L203" s="2"/>
    </row>
    <row r="204" spans="1:12" ht="15.75">
      <c r="A204" s="2"/>
      <c r="B204" s="2"/>
      <c r="C204" s="2"/>
      <c r="D204" s="2"/>
      <c r="E204" s="2"/>
      <c r="F204" s="32"/>
      <c r="G204" s="32"/>
      <c r="H204" s="2"/>
      <c r="I204" s="32"/>
      <c r="J204" s="2"/>
      <c r="K204" s="32"/>
      <c r="L204" s="2"/>
    </row>
    <row r="205" spans="1:12" ht="15.75">
      <c r="A205" s="2"/>
      <c r="B205" s="2"/>
      <c r="C205" s="2"/>
      <c r="D205" s="2"/>
      <c r="E205" s="2"/>
      <c r="F205" s="32"/>
      <c r="G205" s="32"/>
      <c r="H205" s="2"/>
      <c r="I205" s="32"/>
      <c r="J205" s="2"/>
      <c r="K205" s="32"/>
      <c r="L205" s="2"/>
    </row>
    <row r="206" spans="1:12" ht="15.75">
      <c r="A206" s="2"/>
      <c r="B206" s="2"/>
      <c r="C206" s="2"/>
      <c r="D206" s="2"/>
      <c r="E206" s="2"/>
      <c r="F206" s="32"/>
      <c r="G206" s="32"/>
      <c r="H206" s="2"/>
      <c r="I206" s="32"/>
      <c r="J206" s="2"/>
      <c r="K206" s="32"/>
      <c r="L206" s="2"/>
    </row>
    <row r="207" spans="1:12" ht="15.75">
      <c r="A207" s="2"/>
      <c r="B207" s="2"/>
      <c r="C207" s="2"/>
      <c r="D207" s="2"/>
      <c r="E207" s="2"/>
      <c r="F207" s="32"/>
      <c r="G207" s="32"/>
      <c r="H207" s="2"/>
      <c r="I207" s="32"/>
      <c r="J207" s="2"/>
      <c r="K207" s="32"/>
      <c r="L207" s="2"/>
    </row>
    <row r="208" spans="1:12" ht="15.75">
      <c r="A208" s="2"/>
      <c r="B208" s="2"/>
      <c r="C208" s="2"/>
      <c r="D208" s="2"/>
      <c r="E208" s="2"/>
      <c r="F208" s="32"/>
      <c r="G208" s="32"/>
      <c r="H208" s="2"/>
      <c r="I208" s="32"/>
      <c r="J208" s="2"/>
      <c r="K208" s="32"/>
      <c r="L208" s="2"/>
    </row>
    <row r="209" spans="1:12" ht="15.75">
      <c r="A209" s="2"/>
      <c r="B209" s="2"/>
      <c r="C209" s="2"/>
      <c r="D209" s="2"/>
      <c r="E209" s="2"/>
      <c r="F209" s="32"/>
      <c r="G209" s="32"/>
      <c r="H209" s="2"/>
      <c r="I209" s="32"/>
      <c r="J209" s="2"/>
      <c r="K209" s="32"/>
      <c r="L209" s="2"/>
    </row>
    <row r="210" spans="1:12" ht="15.75">
      <c r="A210" s="2"/>
      <c r="B210" s="2"/>
      <c r="C210" s="2"/>
      <c r="D210" s="2"/>
      <c r="E210" s="2"/>
      <c r="F210" s="32"/>
      <c r="G210" s="32"/>
      <c r="H210" s="2"/>
      <c r="I210" s="32"/>
      <c r="J210" s="2"/>
      <c r="K210" s="32"/>
      <c r="L210" s="2"/>
    </row>
    <row r="211" spans="1:12" ht="15.75">
      <c r="A211" s="2"/>
      <c r="B211" s="2"/>
      <c r="C211" s="2"/>
      <c r="D211" s="2"/>
      <c r="E211" s="2"/>
      <c r="F211" s="32"/>
      <c r="G211" s="32"/>
      <c r="H211" s="2"/>
      <c r="I211" s="32"/>
      <c r="J211" s="2"/>
      <c r="K211" s="32"/>
      <c r="L211" s="2"/>
    </row>
    <row r="212" spans="1:12" ht="15.75">
      <c r="A212" s="2"/>
      <c r="B212" s="2"/>
      <c r="C212" s="2"/>
      <c r="D212" s="2"/>
      <c r="E212" s="2"/>
      <c r="F212" s="32"/>
      <c r="G212" s="32"/>
    </row>
    <row r="213" spans="1:12" ht="15.75">
      <c r="A213" s="2"/>
      <c r="B213" s="2"/>
      <c r="C213" s="2"/>
      <c r="D213" s="2"/>
      <c r="E213" s="2"/>
      <c r="F213" s="32"/>
      <c r="G213" s="32"/>
    </row>
    <row r="214" spans="1:12" ht="15.75">
      <c r="A214" s="2"/>
      <c r="B214" s="2"/>
      <c r="C214" s="2"/>
      <c r="D214" s="2"/>
      <c r="E214" s="2"/>
      <c r="F214" s="32"/>
      <c r="G214" s="32"/>
    </row>
    <row r="215" spans="1:12" ht="15.75">
      <c r="A215" s="2"/>
      <c r="B215" s="2"/>
      <c r="C215" s="2"/>
      <c r="D215" s="2"/>
      <c r="E215" s="2"/>
      <c r="F215" s="32"/>
      <c r="G215" s="32"/>
    </row>
    <row r="216" spans="1:12" ht="15.75">
      <c r="A216" s="2"/>
      <c r="B216" s="2"/>
      <c r="C216" s="2"/>
      <c r="D216" s="2"/>
      <c r="E216" s="2"/>
      <c r="F216" s="32"/>
      <c r="G216" s="32"/>
    </row>
    <row r="217" spans="1:12" ht="15.75">
      <c r="A217" s="2"/>
      <c r="B217" s="2"/>
      <c r="C217" s="2"/>
      <c r="D217" s="2"/>
      <c r="E217" s="2"/>
      <c r="F217" s="32"/>
      <c r="G217" s="32"/>
    </row>
    <row r="218" spans="1:12" ht="15.75">
      <c r="A218" s="2"/>
      <c r="B218" s="2"/>
      <c r="C218" s="2"/>
      <c r="D218" s="2"/>
      <c r="E218" s="2"/>
      <c r="F218" s="32"/>
      <c r="G218" s="32"/>
    </row>
    <row r="219" spans="1:12" ht="15.75">
      <c r="A219" s="2"/>
      <c r="B219" s="2"/>
      <c r="C219" s="2"/>
      <c r="D219" s="2"/>
      <c r="E219" s="2"/>
      <c r="F219" s="32"/>
      <c r="G219" s="32"/>
    </row>
    <row r="220" spans="1:12" ht="15.75">
      <c r="A220" s="2"/>
      <c r="B220" s="2"/>
      <c r="C220" s="2"/>
      <c r="D220" s="2"/>
      <c r="E220" s="2"/>
      <c r="F220" s="32"/>
      <c r="G220" s="32"/>
    </row>
    <row r="221" spans="1:12" ht="15.75">
      <c r="A221" s="2"/>
      <c r="B221" s="2"/>
      <c r="C221" s="2"/>
      <c r="D221" s="2"/>
      <c r="E221" s="2"/>
      <c r="F221" s="32"/>
      <c r="G221" s="32"/>
    </row>
    <row r="222" spans="1:12" ht="15.75">
      <c r="A222" s="2"/>
      <c r="B222" s="2"/>
      <c r="C222" s="2"/>
      <c r="D222" s="2"/>
      <c r="E222" s="2"/>
      <c r="F222" s="32"/>
      <c r="G222" s="32"/>
    </row>
    <row r="223" spans="1:12" ht="15.75">
      <c r="A223" s="2"/>
      <c r="B223" s="2"/>
      <c r="C223" s="2"/>
      <c r="D223" s="2"/>
      <c r="E223" s="2"/>
      <c r="F223" s="32"/>
      <c r="G223" s="32"/>
    </row>
    <row r="224" spans="1:12" ht="15.75">
      <c r="A224" s="2"/>
      <c r="B224" s="2"/>
      <c r="C224" s="2"/>
      <c r="D224" s="2"/>
      <c r="E224" s="2"/>
      <c r="F224" s="32"/>
      <c r="G224" s="32"/>
    </row>
    <row r="225" spans="1:7" ht="15.75">
      <c r="A225" s="2"/>
      <c r="B225" s="2"/>
      <c r="C225" s="2"/>
      <c r="D225" s="2"/>
      <c r="E225" s="2"/>
      <c r="F225" s="32"/>
      <c r="G225" s="32"/>
    </row>
    <row r="226" spans="1:7" ht="15.75">
      <c r="A226" s="2"/>
      <c r="B226" s="2"/>
      <c r="C226" s="2"/>
      <c r="D226" s="2"/>
      <c r="E226" s="2"/>
      <c r="F226" s="32"/>
      <c r="G226" s="32"/>
    </row>
    <row r="227" spans="1:7" ht="15.75">
      <c r="A227" s="2"/>
      <c r="B227" s="2"/>
      <c r="C227" s="2"/>
      <c r="D227" s="2"/>
      <c r="E227" s="2"/>
      <c r="F227" s="32"/>
      <c r="G227" s="32"/>
    </row>
    <row r="228" spans="1:7" ht="15.75">
      <c r="A228" s="2"/>
      <c r="B228" s="2"/>
      <c r="C228" s="2"/>
      <c r="D228" s="2"/>
      <c r="E228" s="2"/>
      <c r="F228" s="32"/>
      <c r="G228" s="32"/>
    </row>
    <row r="229" spans="1:7" ht="15.75">
      <c r="A229" s="2"/>
      <c r="B229" s="2"/>
      <c r="C229" s="2"/>
      <c r="D229" s="2"/>
      <c r="E229" s="2"/>
      <c r="F229" s="32"/>
      <c r="G229" s="32"/>
    </row>
    <row r="230" spans="1:7" ht="15.75">
      <c r="A230" s="2"/>
      <c r="B230" s="2"/>
      <c r="C230" s="2"/>
      <c r="D230" s="2"/>
      <c r="E230" s="2"/>
      <c r="F230" s="32"/>
      <c r="G230" s="32"/>
    </row>
    <row r="231" spans="1:7" ht="15.75">
      <c r="A231" s="2"/>
      <c r="B231" s="2"/>
      <c r="C231" s="2"/>
      <c r="D231" s="2"/>
      <c r="E231" s="2"/>
      <c r="F231" s="32"/>
      <c r="G231" s="32"/>
    </row>
    <row r="232" spans="1:7" ht="15.75">
      <c r="A232" s="2"/>
      <c r="B232" s="2"/>
      <c r="C232" s="2"/>
      <c r="D232" s="2"/>
      <c r="E232" s="2"/>
      <c r="F232" s="32"/>
      <c r="G232" s="32"/>
    </row>
    <row r="233" spans="1:7" ht="15.75">
      <c r="A233" s="2"/>
      <c r="B233" s="2"/>
      <c r="C233" s="2"/>
      <c r="D233" s="2"/>
      <c r="E233" s="2"/>
      <c r="F233" s="32"/>
      <c r="G233" s="32"/>
    </row>
    <row r="234" spans="1:7" ht="15.75">
      <c r="A234" s="2"/>
      <c r="B234" s="2"/>
      <c r="C234" s="2"/>
      <c r="D234" s="2"/>
      <c r="E234" s="2"/>
      <c r="F234" s="32"/>
      <c r="G234" s="32"/>
    </row>
    <row r="235" spans="1:7" ht="15.75">
      <c r="A235" s="2"/>
      <c r="B235" s="2"/>
      <c r="C235" s="2"/>
      <c r="D235" s="2"/>
      <c r="E235" s="2"/>
      <c r="F235" s="32"/>
      <c r="G235" s="32"/>
    </row>
    <row r="236" spans="1:7" ht="15.75">
      <c r="A236" s="2"/>
      <c r="B236" s="2"/>
      <c r="C236" s="2"/>
      <c r="D236" s="2"/>
      <c r="E236" s="2"/>
      <c r="F236" s="32"/>
      <c r="G236" s="32"/>
    </row>
    <row r="237" spans="1:7" ht="15.75">
      <c r="A237" s="2"/>
      <c r="B237" s="2"/>
      <c r="C237" s="2"/>
      <c r="D237" s="2"/>
      <c r="E237" s="2"/>
      <c r="F237" s="32"/>
      <c r="G237" s="32"/>
    </row>
    <row r="238" spans="1:7" ht="15.75">
      <c r="A238" s="2"/>
      <c r="B238" s="2"/>
      <c r="C238" s="2"/>
      <c r="D238" s="2"/>
      <c r="E238" s="2"/>
      <c r="F238" s="32"/>
      <c r="G238" s="32"/>
    </row>
    <row r="239" spans="1:7" ht="15.75">
      <c r="A239" s="2"/>
      <c r="B239" s="2"/>
      <c r="C239" s="2"/>
      <c r="D239" s="2"/>
      <c r="E239" s="2"/>
      <c r="F239" s="32"/>
      <c r="G239" s="32"/>
    </row>
  </sheetData>
  <sheetProtection password="D94D" sheet="1"/>
  <mergeCells count="60">
    <mergeCell ref="F47:I47"/>
    <mergeCell ref="C74:J74"/>
    <mergeCell ref="C75:D75"/>
    <mergeCell ref="F38:I38"/>
    <mergeCell ref="F40:I40"/>
    <mergeCell ref="F41:I41"/>
    <mergeCell ref="A39:D39"/>
    <mergeCell ref="B44:D44"/>
    <mergeCell ref="A1:C1"/>
    <mergeCell ref="A3:C3"/>
    <mergeCell ref="C90:D90"/>
    <mergeCell ref="C91:D91"/>
    <mergeCell ref="C80:D80"/>
    <mergeCell ref="C83:D83"/>
    <mergeCell ref="C84:D84"/>
    <mergeCell ref="A46:D46"/>
    <mergeCell ref="A2:C2"/>
    <mergeCell ref="B51:D51"/>
    <mergeCell ref="F110:J110"/>
    <mergeCell ref="C105:D105"/>
    <mergeCell ref="C106:D106"/>
    <mergeCell ref="C93:D93"/>
    <mergeCell ref="C94:D94"/>
    <mergeCell ref="C101:D101"/>
    <mergeCell ref="C102:D102"/>
    <mergeCell ref="C103:D103"/>
    <mergeCell ref="C104:D104"/>
    <mergeCell ref="C96:D96"/>
    <mergeCell ref="C92:D92"/>
    <mergeCell ref="C95:D95"/>
    <mergeCell ref="C112:D112"/>
    <mergeCell ref="C116:D116"/>
    <mergeCell ref="C97:D97"/>
    <mergeCell ref="C100:D100"/>
    <mergeCell ref="C99:D99"/>
    <mergeCell ref="C111:D111"/>
    <mergeCell ref="C98:D98"/>
    <mergeCell ref="C114:D114"/>
    <mergeCell ref="C117:D117"/>
    <mergeCell ref="C107:D107"/>
    <mergeCell ref="C108:D108"/>
    <mergeCell ref="C109:D109"/>
    <mergeCell ref="C113:D113"/>
    <mergeCell ref="C115:D115"/>
    <mergeCell ref="F89:J89"/>
    <mergeCell ref="C81:D81"/>
    <mergeCell ref="C78:D78"/>
    <mergeCell ref="C79:D79"/>
    <mergeCell ref="A8:C8"/>
    <mergeCell ref="A28:C28"/>
    <mergeCell ref="F28:I28"/>
    <mergeCell ref="F48:I48"/>
    <mergeCell ref="F58:I58"/>
    <mergeCell ref="C82:D82"/>
    <mergeCell ref="F11:I11"/>
    <mergeCell ref="F12:I12"/>
    <mergeCell ref="F27:I27"/>
    <mergeCell ref="C77:D77"/>
    <mergeCell ref="C76:D76"/>
    <mergeCell ref="F73:J73"/>
  </mergeCells>
  <phoneticPr fontId="5" type="noConversion"/>
  <conditionalFormatting sqref="A1:A3 D2:D3">
    <cfRule type="containsText" dxfId="197" priority="1" stopIfTrue="1" operator="containsText" text="Enter">
      <formula>NOT(ISERROR(SEARCH("Enter",A1)))</formula>
    </cfRule>
  </conditionalFormatting>
  <printOptions horizontalCentered="1"/>
  <pageMargins left="0.25" right="0.25" top="0.5" bottom="0.5" header="0.5" footer="0.5"/>
  <pageSetup scale="65" fitToHeight="0" orientation="landscape" horizontalDpi="200" verticalDpi="200" r:id="rId1"/>
  <headerFooter alignWithMargins="0">
    <oddHeader>&amp;RPage &amp;P of &amp;N</oddHeader>
  </headerFooter>
  <rowBreaks count="2" manualBreakCount="2">
    <brk id="46" max="16383" man="1"/>
    <brk id="72" max="16383" man="1"/>
  </rowBreak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4"/>
  </sheetPr>
  <dimension ref="A1:M268"/>
  <sheetViews>
    <sheetView showGridLines="0" zoomScaleNormal="100" zoomScaleSheetLayoutView="100" workbookViewId="0">
      <pane xSplit="4" ySplit="10" topLeftCell="E65" activePane="bottomRight" state="frozen"/>
      <selection activeCell="J13" sqref="J13"/>
      <selection pane="topRight" activeCell="J13" sqref="J13"/>
      <selection pane="bottomLeft" activeCell="J13" sqref="J13"/>
      <selection pane="bottomRight" activeCell="G24" sqref="G24"/>
    </sheetView>
  </sheetViews>
  <sheetFormatPr defaultColWidth="9.28515625" defaultRowHeight="12.75"/>
  <cols>
    <col min="1" max="1" width="5.42578125" customWidth="1"/>
    <col min="2" max="2" width="3.7109375" customWidth="1"/>
    <col min="3" max="3" width="85.28515625" customWidth="1"/>
    <col min="4" max="4" width="11" customWidth="1"/>
    <col min="5" max="7" width="14.5703125" customWidth="1"/>
    <col min="8" max="8" width="10.5703125" customWidth="1"/>
    <col min="9" max="9" width="14.5703125" customWidth="1"/>
    <col min="10" max="10" width="10.5703125" customWidth="1"/>
    <col min="11" max="11" width="14.5703125" customWidth="1"/>
    <col min="12" max="12" width="10.5703125" customWidth="1"/>
    <col min="13" max="13" width="63.7109375" style="1203" customWidth="1"/>
    <col min="14" max="32" width="9.28515625" customWidth="1"/>
  </cols>
  <sheetData>
    <row r="1" spans="1:12" ht="15.75">
      <c r="A1" s="1645" t="str">
        <f>IF('INTERIM-CERTIFICATION'!$M$1="","CHARTER NAME: Enter Charter Name on INTERIM-CERTIFICATION Worksheet",(CONCATENATE("CHARTER NAME: ",'INTERIM-CERTIFICATION'!$M$1)))</f>
        <v>CHARTER NAME: Elite Academic Academy - Virtual Prep Lucerne</v>
      </c>
      <c r="B1" s="1645"/>
      <c r="C1" s="1645"/>
      <c r="D1" s="209"/>
      <c r="E1" s="12"/>
      <c r="F1" s="158"/>
      <c r="G1" s="157"/>
      <c r="H1" s="1"/>
      <c r="I1" s="159"/>
      <c r="J1" s="1"/>
      <c r="K1" s="159"/>
      <c r="L1" s="1"/>
    </row>
    <row r="2" spans="1:12" ht="15.75">
      <c r="A2" s="1645" t="str">
        <f>IF('INTERIM-CERTIFICATION'!$M$2="","CDS #: Enter Charter CDS # on INTERIM-CERTIFICATION Worksheet",(_xlfn.CONCAT("CDS #: ",'INTERIM-CERTIFICATION'!$M$2)))</f>
        <v>CDS #: 36-75051-0138107</v>
      </c>
      <c r="B2" s="1645"/>
      <c r="C2" s="1645"/>
      <c r="D2" s="209"/>
      <c r="E2" s="12"/>
      <c r="F2" s="158"/>
      <c r="G2" s="158"/>
      <c r="H2" s="1"/>
      <c r="I2" s="159"/>
      <c r="J2" s="1"/>
      <c r="K2" s="159"/>
      <c r="L2" s="1"/>
    </row>
    <row r="3" spans="1:12" ht="15.75">
      <c r="A3" s="1645" t="str">
        <f>IF('INTERIM-CERTIFICATION'!$M$5="","CHARTER #: Enter Charter # on INTERIM-CERTIFICATION Worksheet",(_xlfn.CONCAT("CHARTER #: ",'INTERIM-CERTIFICATION'!$M$5)))</f>
        <v>CHARTER #: 1975</v>
      </c>
      <c r="B3" s="1645"/>
      <c r="C3" s="1645"/>
      <c r="D3" s="209"/>
      <c r="E3" s="12"/>
      <c r="F3" s="157"/>
      <c r="G3" s="157"/>
      <c r="H3" s="1"/>
      <c r="I3" s="159"/>
      <c r="J3" s="1"/>
      <c r="K3" s="159"/>
      <c r="L3" s="1"/>
    </row>
    <row r="4" spans="1:12" ht="15.75">
      <c r="A4" s="2"/>
      <c r="B4" s="53"/>
      <c r="C4" s="53"/>
      <c r="D4" s="160" t="str">
        <f>'1st Interim-ADA'!J4</f>
        <v>Fiscal Year 2022-23 First Interim Report</v>
      </c>
      <c r="E4" s="53"/>
      <c r="F4" s="53"/>
      <c r="G4" s="53"/>
      <c r="H4" s="53"/>
      <c r="I4" s="53"/>
      <c r="J4" s="53"/>
      <c r="K4" s="53"/>
      <c r="L4" s="53"/>
    </row>
    <row r="5" spans="1:12" ht="15.75">
      <c r="A5" s="12"/>
      <c r="B5" s="12"/>
      <c r="C5" s="53"/>
      <c r="D5" s="160" t="s">
        <v>209</v>
      </c>
      <c r="E5" s="53"/>
      <c r="F5" s="161"/>
      <c r="G5" s="161"/>
      <c r="H5" s="1"/>
      <c r="I5" s="162"/>
      <c r="J5" s="1"/>
      <c r="K5" s="162"/>
      <c r="L5" s="1"/>
    </row>
    <row r="6" spans="1:12" ht="16.5" thickBot="1">
      <c r="A6" s="1590" t="str">
        <f>Instructions!H1</f>
        <v>Form Orignated 5/16/2022</v>
      </c>
      <c r="B6" s="12"/>
      <c r="C6" s="12"/>
      <c r="D6" s="12"/>
      <c r="E6" s="12"/>
      <c r="F6" s="157"/>
      <c r="G6" s="157"/>
      <c r="H6" s="1"/>
      <c r="I6" s="159"/>
      <c r="J6" s="1"/>
      <c r="K6" s="159"/>
      <c r="L6" s="1"/>
    </row>
    <row r="7" spans="1:12" ht="15.75">
      <c r="A7" s="242"/>
      <c r="B7" s="237"/>
      <c r="C7" s="237"/>
      <c r="D7" s="299"/>
      <c r="E7" s="300"/>
      <c r="F7" s="301" t="s">
        <v>168</v>
      </c>
      <c r="G7" s="301" t="str">
        <f>$F$7</f>
        <v>First Interim</v>
      </c>
      <c r="H7" s="300"/>
      <c r="I7" s="302" t="str">
        <f>$F$7</f>
        <v>First Interim</v>
      </c>
      <c r="J7" s="300"/>
      <c r="K7" s="302" t="str">
        <f>$F$7</f>
        <v>First Interim</v>
      </c>
      <c r="L7" s="462"/>
    </row>
    <row r="8" spans="1:12" ht="15.75">
      <c r="A8" s="1703" t="s">
        <v>21</v>
      </c>
      <c r="B8" s="1704"/>
      <c r="C8" s="1704"/>
      <c r="D8" s="54"/>
      <c r="E8" s="14" t="s">
        <v>17</v>
      </c>
      <c r="F8" s="455" t="s">
        <v>61</v>
      </c>
      <c r="G8" s="163" t="s">
        <v>19</v>
      </c>
      <c r="H8" s="14" t="s">
        <v>18</v>
      </c>
      <c r="I8" s="303" t="s">
        <v>19</v>
      </c>
      <c r="J8" s="14" t="s">
        <v>18</v>
      </c>
      <c r="K8" s="303" t="s">
        <v>19</v>
      </c>
      <c r="L8" s="463" t="s">
        <v>18</v>
      </c>
    </row>
    <row r="9" spans="1:12" ht="15.75">
      <c r="A9" s="68"/>
      <c r="B9" s="1"/>
      <c r="C9" s="1"/>
      <c r="D9" s="54"/>
      <c r="E9" s="14" t="s">
        <v>16</v>
      </c>
      <c r="F9" s="163" t="s">
        <v>135</v>
      </c>
      <c r="G9" s="163" t="s">
        <v>16</v>
      </c>
      <c r="H9" s="14" t="s">
        <v>22</v>
      </c>
      <c r="I9" s="303" t="s">
        <v>16</v>
      </c>
      <c r="J9" s="14" t="s">
        <v>22</v>
      </c>
      <c r="K9" s="303" t="s">
        <v>16</v>
      </c>
      <c r="L9" s="463" t="s">
        <v>22</v>
      </c>
    </row>
    <row r="10" spans="1:12" ht="16.5" thickBot="1">
      <c r="A10" s="304"/>
      <c r="B10" s="164"/>
      <c r="C10" s="164"/>
      <c r="D10" s="55"/>
      <c r="E10" s="15" t="str">
        <f>'1st Interim-Unrestricted MYP'!E10</f>
        <v>2022-23</v>
      </c>
      <c r="F10" s="165" t="str">
        <f>'1st Interim-Unrestricted MYP'!F10</f>
        <v>2022</v>
      </c>
      <c r="G10" s="208" t="str">
        <f>E10</f>
        <v>2022-23</v>
      </c>
      <c r="H10" s="15"/>
      <c r="I10" s="305" t="str">
        <f>'1st Interim-Unrestricted MYP'!I10</f>
        <v>2023-24</v>
      </c>
      <c r="J10" s="15"/>
      <c r="K10" s="305" t="str">
        <f>'1st Interim-Unrestricted MYP'!K10</f>
        <v>2024-25</v>
      </c>
      <c r="L10" s="464"/>
    </row>
    <row r="11" spans="1:12" ht="16.5" thickTop="1">
      <c r="A11" s="306" t="s">
        <v>1</v>
      </c>
      <c r="B11" s="1"/>
      <c r="C11" s="1"/>
      <c r="D11" s="337"/>
      <c r="E11" s="13"/>
      <c r="F11" s="1840"/>
      <c r="G11" s="1840"/>
      <c r="H11" s="1840"/>
      <c r="I11" s="1840"/>
      <c r="J11" s="456"/>
      <c r="K11" s="456"/>
      <c r="L11" s="465"/>
    </row>
    <row r="12" spans="1:12" ht="15.75">
      <c r="A12" s="306"/>
      <c r="B12" s="278" t="s">
        <v>306</v>
      </c>
      <c r="C12" s="147"/>
      <c r="D12" s="141"/>
      <c r="E12" s="338"/>
      <c r="F12" s="1838"/>
      <c r="G12" s="1838"/>
      <c r="H12" s="1838"/>
      <c r="I12" s="1838"/>
      <c r="J12" s="152"/>
      <c r="K12" s="152"/>
      <c r="L12" s="466"/>
    </row>
    <row r="13" spans="1:12" ht="15.75">
      <c r="A13" s="306"/>
      <c r="B13" s="467"/>
      <c r="C13" s="468" t="s">
        <v>155</v>
      </c>
      <c r="D13" s="469">
        <v>8011</v>
      </c>
      <c r="E13" s="609"/>
      <c r="F13" s="583"/>
      <c r="G13" s="583"/>
      <c r="H13" s="486"/>
      <c r="I13" s="586"/>
      <c r="J13" s="486"/>
      <c r="K13" s="583"/>
      <c r="L13" s="471"/>
    </row>
    <row r="14" spans="1:12" ht="15.75">
      <c r="A14" s="306"/>
      <c r="B14" s="467"/>
      <c r="C14" s="468" t="s">
        <v>156</v>
      </c>
      <c r="D14" s="469">
        <v>8012</v>
      </c>
      <c r="E14" s="609"/>
      <c r="F14" s="583"/>
      <c r="G14" s="583"/>
      <c r="H14" s="610"/>
      <c r="I14" s="586"/>
      <c r="J14" s="613"/>
      <c r="K14" s="583"/>
      <c r="L14" s="497"/>
    </row>
    <row r="15" spans="1:12" ht="15.75">
      <c r="A15" s="68"/>
      <c r="B15" s="467"/>
      <c r="C15" s="468" t="s">
        <v>304</v>
      </c>
      <c r="D15" s="469">
        <v>8019</v>
      </c>
      <c r="E15" s="609"/>
      <c r="F15" s="583"/>
      <c r="G15" s="583"/>
      <c r="H15" s="611"/>
      <c r="I15" s="586"/>
      <c r="J15" s="486"/>
      <c r="K15" s="583"/>
      <c r="L15" s="471"/>
    </row>
    <row r="16" spans="1:12" ht="15.75">
      <c r="A16" s="68"/>
      <c r="B16" s="467"/>
      <c r="C16" s="468" t="s">
        <v>305</v>
      </c>
      <c r="D16" s="469">
        <v>8096</v>
      </c>
      <c r="E16" s="609"/>
      <c r="F16" s="583"/>
      <c r="G16" s="582"/>
      <c r="H16" s="612"/>
      <c r="I16" s="587"/>
      <c r="J16" s="613"/>
      <c r="K16" s="582"/>
      <c r="L16" s="497"/>
    </row>
    <row r="17" spans="1:12" ht="15.75">
      <c r="A17" s="68"/>
      <c r="B17" s="278" t="s">
        <v>307</v>
      </c>
      <c r="C17" s="278"/>
      <c r="D17" s="346" t="s">
        <v>99</v>
      </c>
      <c r="E17" s="696">
        <f>'Budget-Restricted MYP'!F17</f>
        <v>534875</v>
      </c>
      <c r="F17" s="756">
        <f>F113</f>
        <v>0</v>
      </c>
      <c r="G17" s="756">
        <f>G113</f>
        <v>534875</v>
      </c>
      <c r="H17" s="272">
        <f>IF(E17&lt;1," ",IF(G17&lt;1," ",(G17-E17)/E17))</f>
        <v>0</v>
      </c>
      <c r="I17" s="291">
        <f>I113</f>
        <v>0</v>
      </c>
      <c r="J17" s="270" t="str">
        <f>IF(G17&lt;1," ",IF(I17&lt;1," ",(I17-G17)/G17))</f>
        <v xml:space="preserve"> </v>
      </c>
      <c r="K17" s="756">
        <f>K113</f>
        <v>0</v>
      </c>
      <c r="L17" s="307" t="str">
        <f>IF(I17&lt;1," ",IF(K17&lt;1," ",(K17-I17)/I17))</f>
        <v xml:space="preserve"> </v>
      </c>
    </row>
    <row r="18" spans="1:12" ht="15.75">
      <c r="A18" s="68"/>
      <c r="B18" s="147" t="s">
        <v>308</v>
      </c>
      <c r="C18" s="141"/>
      <c r="D18" s="141"/>
      <c r="E18" s="579"/>
      <c r="F18" s="581"/>
      <c r="G18" s="581"/>
      <c r="H18" s="585"/>
      <c r="I18" s="581"/>
      <c r="J18" s="585"/>
      <c r="K18" s="581"/>
      <c r="L18" s="494"/>
    </row>
    <row r="19" spans="1:12" ht="15.75">
      <c r="A19" s="68"/>
      <c r="B19" s="467"/>
      <c r="C19" s="468" t="s">
        <v>309</v>
      </c>
      <c r="D19" s="469">
        <v>8560</v>
      </c>
      <c r="E19" s="582"/>
      <c r="F19" s="582"/>
      <c r="G19" s="582"/>
      <c r="H19" s="486"/>
      <c r="I19" s="587"/>
      <c r="J19" s="486"/>
      <c r="K19" s="582"/>
      <c r="L19" s="471"/>
    </row>
    <row r="20" spans="1:12" ht="15.75">
      <c r="A20" s="68"/>
      <c r="B20" s="147"/>
      <c r="C20" s="280" t="s">
        <v>310</v>
      </c>
      <c r="D20" s="346">
        <v>8560</v>
      </c>
      <c r="E20" s="696">
        <f>'Budget-Restricted MYP'!F20</f>
        <v>0</v>
      </c>
      <c r="F20" s="788"/>
      <c r="G20" s="756">
        <f>G116</f>
        <v>0</v>
      </c>
      <c r="H20" s="272" t="str">
        <f>IF(E20&lt;1," ",IF(G20&lt;1," ",(G20-E20)/E20))</f>
        <v xml:space="preserve"> </v>
      </c>
      <c r="I20" s="291">
        <f>I116</f>
        <v>0</v>
      </c>
      <c r="J20" s="270" t="str">
        <f>IF(G20&lt;1," ",IF(I20&lt;1," ",(I20-G20)/G20))</f>
        <v xml:space="preserve"> </v>
      </c>
      <c r="K20" s="756">
        <f>K116</f>
        <v>0</v>
      </c>
      <c r="L20" s="307" t="str">
        <f>IF(I20&lt;1," ",IF(K20&lt;1," ",(K20-I20)/I20))</f>
        <v xml:space="preserve"> </v>
      </c>
    </row>
    <row r="21" spans="1:12" ht="15.75">
      <c r="A21" s="68"/>
      <c r="B21" s="147"/>
      <c r="C21" s="280" t="s">
        <v>311</v>
      </c>
      <c r="D21" s="346" t="s">
        <v>100</v>
      </c>
      <c r="E21" s="696">
        <f>'Budget-Restricted MYP'!F21</f>
        <v>0</v>
      </c>
      <c r="F21" s="756">
        <f>F137</f>
        <v>0</v>
      </c>
      <c r="G21" s="756">
        <f>G137</f>
        <v>0</v>
      </c>
      <c r="H21" s="272" t="str">
        <f>IF(E21&lt;1," ",IF(G21&lt;1," ",(G21-E21)/E21))</f>
        <v xml:space="preserve"> </v>
      </c>
      <c r="I21" s="291">
        <f>I137</f>
        <v>0</v>
      </c>
      <c r="J21" s="270" t="str">
        <f>IF(G21&lt;1," ",IF(I21&lt;1," ",(I21-G21)/G21))</f>
        <v xml:space="preserve"> </v>
      </c>
      <c r="K21" s="756">
        <f>K137</f>
        <v>0</v>
      </c>
      <c r="L21" s="307" t="str">
        <f>IF(I21&lt;1," ",IF(K21&lt;1," ",(K21-I21)/I21))</f>
        <v xml:space="preserve"> </v>
      </c>
    </row>
    <row r="22" spans="1:12" ht="15.75">
      <c r="A22" s="68"/>
      <c r="B22" s="147" t="s">
        <v>312</v>
      </c>
      <c r="C22" s="141"/>
      <c r="D22" s="141"/>
      <c r="E22" s="579"/>
      <c r="F22" s="581"/>
      <c r="G22" s="581"/>
      <c r="H22" s="585"/>
      <c r="I22" s="581"/>
      <c r="J22" s="585"/>
      <c r="K22" s="581"/>
      <c r="L22" s="494"/>
    </row>
    <row r="23" spans="1:12" ht="15.75">
      <c r="A23" s="68"/>
      <c r="B23" s="147"/>
      <c r="C23" s="280" t="s">
        <v>239</v>
      </c>
      <c r="D23" s="346">
        <v>8660</v>
      </c>
      <c r="E23" s="696">
        <f>'Budget-Restricted MYP'!F23</f>
        <v>0</v>
      </c>
      <c r="F23" s="788"/>
      <c r="G23" s="788"/>
      <c r="H23" s="270" t="str">
        <f>IF(E23&lt;1," ",IF(G23&lt;1," ",(G23-E23)/E23))</f>
        <v xml:space="preserve"> </v>
      </c>
      <c r="I23" s="791"/>
      <c r="J23" s="270" t="str">
        <f>IF(G23&lt;1," ",IF(I23&lt;1," ",(I23-G23)/G23))</f>
        <v xml:space="preserve"> </v>
      </c>
      <c r="K23" s="788"/>
      <c r="L23" s="307" t="str">
        <f>IF(I23&lt;1," ",IF(K23&lt;1," ",(K23-I23)/I23))</f>
        <v xml:space="preserve"> </v>
      </c>
    </row>
    <row r="24" spans="1:12" ht="15.75">
      <c r="A24" s="68"/>
      <c r="B24" s="147"/>
      <c r="C24" s="280" t="s">
        <v>313</v>
      </c>
      <c r="D24" s="346">
        <v>8792</v>
      </c>
      <c r="E24" s="696">
        <f>'Budget-Restricted MYP'!F24</f>
        <v>645340</v>
      </c>
      <c r="F24" s="788">
        <v>148996.03367495324</v>
      </c>
      <c r="G24" s="788">
        <f>820*'1st Interim-ADA'!O76</f>
        <v>418200.00000000006</v>
      </c>
      <c r="H24" s="270">
        <f>IF(E24&lt;1," ",IF(G24&lt;1," ",(G24-E24)/E24))</f>
        <v>-0.35196950444726799</v>
      </c>
      <c r="I24" s="791">
        <f>+'Budget-Restricted MYP'!H24</f>
        <v>645340</v>
      </c>
      <c r="J24" s="270">
        <f>IF(G24&lt;1," ",IF(I24&lt;1," ",(I24-G24)/G24))</f>
        <v>0.54313725490196052</v>
      </c>
      <c r="K24" s="788">
        <f>+'Budget-Restricted MYP'!J24</f>
        <v>645340</v>
      </c>
      <c r="L24" s="307">
        <f>IF(I24&lt;1," ",IF(K24&lt;1," ",(K24-I24)/I24))</f>
        <v>0</v>
      </c>
    </row>
    <row r="25" spans="1:12" ht="16.5" thickBot="1">
      <c r="A25" s="68"/>
      <c r="B25" s="899"/>
      <c r="C25" s="932" t="s">
        <v>314</v>
      </c>
      <c r="D25" s="933" t="s">
        <v>101</v>
      </c>
      <c r="E25" s="703">
        <f>'Budget-Restricted MYP'!F25</f>
        <v>0</v>
      </c>
      <c r="F25" s="802">
        <f>F146</f>
        <v>0</v>
      </c>
      <c r="G25" s="802">
        <f>G146</f>
        <v>0</v>
      </c>
      <c r="H25" s="297" t="str">
        <f>IF(E25&lt;1," ",IF(G25&lt;1," ",(G25-E25)/E25))</f>
        <v xml:space="preserve"> </v>
      </c>
      <c r="I25" s="951">
        <f>I146</f>
        <v>0</v>
      </c>
      <c r="J25" s="297" t="str">
        <f>IF(G25&lt;1," ",IF(I25&lt;1," ",(I25-G25)/G25))</f>
        <v xml:space="preserve"> </v>
      </c>
      <c r="K25" s="802">
        <f>K146</f>
        <v>0</v>
      </c>
      <c r="L25" s="590" t="str">
        <f>IF(I25&lt;1," ",IF(K25&lt;1," ",(K25-I25)/I25))</f>
        <v xml:space="preserve"> </v>
      </c>
    </row>
    <row r="26" spans="1:12" ht="17.25" thickTop="1" thickBot="1">
      <c r="A26" s="68"/>
      <c r="B26" s="912" t="s">
        <v>315</v>
      </c>
      <c r="C26" s="957"/>
      <c r="D26" s="931"/>
      <c r="E26" s="900">
        <f>'Budget-Restricted MYP'!F26</f>
        <v>1180215</v>
      </c>
      <c r="F26" s="810">
        <f>SUM(F13:F25)</f>
        <v>148996.03367495324</v>
      </c>
      <c r="G26" s="810">
        <f>SUM(G13:G25)</f>
        <v>953075</v>
      </c>
      <c r="H26" s="588">
        <f>IF(E26&lt;1," ",IF(G26&lt;1," ",(G26-E26)/E26))</f>
        <v>-0.192456459204467</v>
      </c>
      <c r="I26" s="810">
        <f>SUM(I13:I25)</f>
        <v>645340</v>
      </c>
      <c r="J26" s="588">
        <f>IF(G26&lt;1," ",IF(I26&lt;1," ",(I26-G26)/G26))</f>
        <v>-0.32288644650211157</v>
      </c>
      <c r="K26" s="810">
        <f>SUM(K13:K25)</f>
        <v>645340</v>
      </c>
      <c r="L26" s="591">
        <f>IF(I26&lt;1," ",IF(K26&lt;1," ",(K26-I26)/I26))</f>
        <v>0</v>
      </c>
    </row>
    <row r="27" spans="1:12" ht="16.5" thickTop="1">
      <c r="A27" s="68"/>
      <c r="B27" s="1"/>
      <c r="C27" s="1"/>
      <c r="D27" s="1"/>
      <c r="E27" s="269"/>
      <c r="F27" s="1730"/>
      <c r="G27" s="1730"/>
      <c r="H27" s="1730"/>
      <c r="I27" s="1730"/>
      <c r="L27" s="472"/>
    </row>
    <row r="28" spans="1:12" ht="15.75">
      <c r="A28" s="1746" t="s">
        <v>3</v>
      </c>
      <c r="B28" s="1747"/>
      <c r="C28" s="1747"/>
      <c r="D28" s="155"/>
      <c r="E28" s="269"/>
      <c r="F28" s="1838"/>
      <c r="G28" s="1838"/>
      <c r="H28" s="1838"/>
      <c r="I28" s="1838"/>
      <c r="J28" s="152"/>
      <c r="K28" s="152"/>
      <c r="L28" s="466"/>
    </row>
    <row r="29" spans="1:12" ht="15.75">
      <c r="A29" s="68"/>
      <c r="B29" s="278" t="s">
        <v>4</v>
      </c>
      <c r="C29" s="278"/>
      <c r="D29" s="279" t="s">
        <v>102</v>
      </c>
      <c r="E29" s="696">
        <f>'Budget-Restricted MYP'!F29</f>
        <v>664259</v>
      </c>
      <c r="F29" s="789">
        <v>147938.22</v>
      </c>
      <c r="G29" s="789">
        <v>528442.22</v>
      </c>
      <c r="H29" s="270">
        <f t="shared" ref="H29:H37" si="0">IF(E29&lt;1," ",IF(G29&lt;1," ",(G29-E29)/E29))</f>
        <v>-0.20446359025621036</v>
      </c>
      <c r="I29" s="793">
        <f>+'Budget-Restricted MYP'!H29</f>
        <v>686248.06499999994</v>
      </c>
      <c r="J29" s="270">
        <f t="shared" ref="J29:J37" si="1">IF(G29&lt;1," ",IF(I29&lt;1," ",(I29-G29)/G29))</f>
        <v>0.29862459702784533</v>
      </c>
      <c r="K29" s="789">
        <f>+'Budget-Restricted MYP'!J29</f>
        <v>709006.74727499986</v>
      </c>
      <c r="L29" s="307">
        <f t="shared" ref="L29:L37" si="2">IF(I29&lt;1," ",IF(K29&lt;1," ",(K29-I29)/I29))</f>
        <v>3.3163929249111858E-2</v>
      </c>
    </row>
    <row r="30" spans="1:12" ht="15.75">
      <c r="A30" s="68"/>
      <c r="B30" s="278" t="s">
        <v>23</v>
      </c>
      <c r="C30" s="278"/>
      <c r="D30" s="279" t="s">
        <v>103</v>
      </c>
      <c r="E30" s="696">
        <f>'Budget-Restricted MYP'!F30</f>
        <v>0</v>
      </c>
      <c r="F30" s="789"/>
      <c r="G30" s="789"/>
      <c r="H30" s="270" t="str">
        <f t="shared" si="0"/>
        <v xml:space="preserve"> </v>
      </c>
      <c r="I30" s="793">
        <f>+'Budget-Restricted MYP'!H30</f>
        <v>0</v>
      </c>
      <c r="J30" s="270" t="str">
        <f t="shared" si="1"/>
        <v xml:space="preserve"> </v>
      </c>
      <c r="K30" s="789">
        <f>+'Budget-Restricted MYP'!J30</f>
        <v>0</v>
      </c>
      <c r="L30" s="307" t="str">
        <f t="shared" si="2"/>
        <v xml:space="preserve"> </v>
      </c>
    </row>
    <row r="31" spans="1:12" ht="15.75">
      <c r="A31" s="68"/>
      <c r="B31" s="278" t="s">
        <v>24</v>
      </c>
      <c r="C31" s="278"/>
      <c r="D31" s="279" t="s">
        <v>104</v>
      </c>
      <c r="E31" s="696">
        <f>'Budget-Restricted MYP'!F31</f>
        <v>195932.03099999999</v>
      </c>
      <c r="F31" s="789">
        <v>44926.520000000004</v>
      </c>
      <c r="G31" s="789">
        <v>189885.8601524551</v>
      </c>
      <c r="H31" s="270">
        <f t="shared" si="0"/>
        <v>-3.0858511580196316E-2</v>
      </c>
      <c r="I31" s="793">
        <f>+'Budget-Restricted MYP'!H31</f>
        <v>202726.65208499998</v>
      </c>
      <c r="J31" s="270">
        <f t="shared" si="1"/>
        <v>6.7623739451875414E-2</v>
      </c>
      <c r="K31" s="789">
        <f>+'Budget-Restricted MYP'!J31</f>
        <v>209759.08490797496</v>
      </c>
      <c r="L31" s="307">
        <f t="shared" si="2"/>
        <v>3.4689236716770704E-2</v>
      </c>
    </row>
    <row r="32" spans="1:12" ht="15.75">
      <c r="A32" s="68"/>
      <c r="B32" s="278" t="s">
        <v>25</v>
      </c>
      <c r="C32" s="278"/>
      <c r="D32" s="279" t="s">
        <v>105</v>
      </c>
      <c r="E32" s="696">
        <f>'Budget-Restricted MYP'!F32</f>
        <v>0</v>
      </c>
      <c r="F32" s="789"/>
      <c r="G32" s="789"/>
      <c r="H32" s="270" t="str">
        <f t="shared" si="0"/>
        <v xml:space="preserve"> </v>
      </c>
      <c r="I32" s="793">
        <f>+'Budget-Restricted MYP'!H32</f>
        <v>0</v>
      </c>
      <c r="J32" s="270" t="str">
        <f t="shared" si="1"/>
        <v xml:space="preserve"> </v>
      </c>
      <c r="K32" s="789">
        <f>+'Budget-Restricted MYP'!J32</f>
        <v>0</v>
      </c>
      <c r="L32" s="307" t="str">
        <f t="shared" si="2"/>
        <v xml:space="preserve"> </v>
      </c>
    </row>
    <row r="33" spans="1:12" ht="15.75">
      <c r="A33" s="68"/>
      <c r="B33" s="278" t="s">
        <v>26</v>
      </c>
      <c r="C33" s="278"/>
      <c r="D33" s="279" t="s">
        <v>106</v>
      </c>
      <c r="E33" s="696">
        <f>'Budget-Restricted MYP'!F33</f>
        <v>241872</v>
      </c>
      <c r="F33" s="789"/>
      <c r="G33" s="789">
        <f>160047.0845+308512</f>
        <v>468559.0845</v>
      </c>
      <c r="H33" s="270">
        <f t="shared" si="0"/>
        <v>0.93721920892042065</v>
      </c>
      <c r="I33" s="793">
        <f>+'Budget-Restricted MYP'!H33</f>
        <v>241872</v>
      </c>
      <c r="J33" s="270">
        <f t="shared" si="1"/>
        <v>-0.48379615719519786</v>
      </c>
      <c r="K33" s="789">
        <f>+'Budget-Restricted MYP'!J33</f>
        <v>241872</v>
      </c>
      <c r="L33" s="307">
        <f t="shared" si="2"/>
        <v>0</v>
      </c>
    </row>
    <row r="34" spans="1:12" ht="15.75">
      <c r="A34" s="68"/>
      <c r="B34" s="278" t="s">
        <v>5</v>
      </c>
      <c r="C34" s="278"/>
      <c r="D34" s="279" t="s">
        <v>107</v>
      </c>
      <c r="E34" s="696">
        <f>'Budget-Restricted MYP'!F34</f>
        <v>0</v>
      </c>
      <c r="F34" s="789"/>
      <c r="G34" s="789"/>
      <c r="H34" s="270" t="str">
        <f t="shared" si="0"/>
        <v xml:space="preserve"> </v>
      </c>
      <c r="I34" s="793">
        <f>+'Budget-Restricted MYP'!H34</f>
        <v>0</v>
      </c>
      <c r="J34" s="270" t="str">
        <f t="shared" si="1"/>
        <v xml:space="preserve"> </v>
      </c>
      <c r="K34" s="789">
        <f>+'Budget-Restricted MYP'!J34</f>
        <v>0</v>
      </c>
      <c r="L34" s="307" t="str">
        <f t="shared" si="2"/>
        <v xml:space="preserve"> </v>
      </c>
    </row>
    <row r="35" spans="1:12" ht="15.75">
      <c r="A35" s="68"/>
      <c r="B35" s="278" t="s">
        <v>27</v>
      </c>
      <c r="C35" s="278"/>
      <c r="D35" s="279" t="s">
        <v>108</v>
      </c>
      <c r="E35" s="696">
        <f>'Budget-Restricted MYP'!F35</f>
        <v>0</v>
      </c>
      <c r="F35" s="789"/>
      <c r="G35" s="789"/>
      <c r="H35" s="270" t="str">
        <f t="shared" si="0"/>
        <v xml:space="preserve"> </v>
      </c>
      <c r="I35" s="793">
        <f>+'Budget-Restricted MYP'!H35</f>
        <v>0</v>
      </c>
      <c r="J35" s="270" t="str">
        <f t="shared" si="1"/>
        <v xml:space="preserve"> </v>
      </c>
      <c r="K35" s="789">
        <f>+'Budget-Restricted MYP'!J35</f>
        <v>0</v>
      </c>
      <c r="L35" s="307" t="str">
        <f t="shared" si="2"/>
        <v xml:space="preserve"> </v>
      </c>
    </row>
    <row r="36" spans="1:12" ht="16.5" thickBot="1">
      <c r="A36" s="68"/>
      <c r="B36" s="922" t="s">
        <v>149</v>
      </c>
      <c r="C36" s="922"/>
      <c r="D36" s="629" t="s">
        <v>114</v>
      </c>
      <c r="E36" s="703">
        <f>'Budget-Restricted MYP'!F36</f>
        <v>0</v>
      </c>
      <c r="F36" s="952"/>
      <c r="G36" s="952"/>
      <c r="H36" s="297" t="str">
        <f t="shared" si="0"/>
        <v xml:space="preserve"> </v>
      </c>
      <c r="I36" s="953">
        <f>+'Budget-Restricted MYP'!H36</f>
        <v>0</v>
      </c>
      <c r="J36" s="297" t="str">
        <f t="shared" si="1"/>
        <v xml:space="preserve"> </v>
      </c>
      <c r="K36" s="952">
        <f>+'Budget-Restricted MYP'!J36</f>
        <v>0</v>
      </c>
      <c r="L36" s="590" t="str">
        <f t="shared" si="2"/>
        <v xml:space="preserve"> </v>
      </c>
    </row>
    <row r="37" spans="1:12" ht="17.25" thickTop="1" thickBot="1">
      <c r="A37" s="68"/>
      <c r="B37" s="912" t="s">
        <v>28</v>
      </c>
      <c r="C37" s="957"/>
      <c r="D37" s="958"/>
      <c r="E37" s="900">
        <f>'Budget-Restricted MYP'!F37</f>
        <v>1102063.031</v>
      </c>
      <c r="F37" s="810">
        <f>SUM(F29:F36)</f>
        <v>192864.74</v>
      </c>
      <c r="G37" s="810">
        <f>SUM(G29:G36)</f>
        <v>1186887.1646524551</v>
      </c>
      <c r="H37" s="588">
        <f t="shared" si="0"/>
        <v>7.6968495690747096E-2</v>
      </c>
      <c r="I37" s="810">
        <f>SUM(I29:I36)</f>
        <v>1130846.7170849999</v>
      </c>
      <c r="J37" s="588">
        <f t="shared" si="1"/>
        <v>-4.7216322862388548E-2</v>
      </c>
      <c r="K37" s="810">
        <f>SUM(K29:K36)</f>
        <v>1160637.8321829748</v>
      </c>
      <c r="L37" s="591">
        <f t="shared" si="2"/>
        <v>2.6344078863993068E-2</v>
      </c>
    </row>
    <row r="38" spans="1:12" ht="17.25" thickTop="1" thickBot="1">
      <c r="A38" s="68"/>
      <c r="B38" s="1"/>
      <c r="C38" s="1"/>
      <c r="D38" s="168"/>
      <c r="E38" s="20"/>
      <c r="F38" s="1845"/>
      <c r="G38" s="1845"/>
      <c r="H38" s="1845"/>
      <c r="I38" s="1845"/>
      <c r="L38" s="472"/>
    </row>
    <row r="39" spans="1:12" ht="17.25" thickTop="1" thickBot="1">
      <c r="A39" s="945" t="s">
        <v>208</v>
      </c>
      <c r="B39" s="959"/>
      <c r="C39" s="961"/>
      <c r="D39" s="962"/>
      <c r="E39" s="954">
        <f>'Budget-Restricted MYP'!F39</f>
        <v>78151.969000000041</v>
      </c>
      <c r="F39" s="960">
        <f>SUM(F26-F37)</f>
        <v>-43868.706325046747</v>
      </c>
      <c r="G39" s="960">
        <f>SUM(G26-G37)</f>
        <v>-233812.16465245513</v>
      </c>
      <c r="H39" s="946" t="str">
        <f>IF(E39&lt;1," ",IF(G39&lt;1," ",(G39-E39)/E39))</f>
        <v xml:space="preserve"> </v>
      </c>
      <c r="I39" s="960">
        <f>SUM(I26-I37)</f>
        <v>-485506.71708499989</v>
      </c>
      <c r="J39" s="946" t="str">
        <f>IF(G39&lt;1," ",IF(I39&lt;1," ",(I39-G39)/G39))</f>
        <v xml:space="preserve"> </v>
      </c>
      <c r="K39" s="960">
        <f>SUM(K26-K37)</f>
        <v>-515297.83218297479</v>
      </c>
      <c r="L39" s="947" t="str">
        <f>IF(I39&lt;1," ",IF(K39&lt;1," ",(K39-I39)/I39))</f>
        <v xml:space="preserve"> </v>
      </c>
    </row>
    <row r="40" spans="1:12" ht="16.5" thickTop="1">
      <c r="A40" s="68"/>
      <c r="B40" s="1"/>
      <c r="C40" s="343"/>
      <c r="D40" s="344"/>
      <c r="E40" s="84"/>
      <c r="F40" s="1726"/>
      <c r="G40" s="1726"/>
      <c r="H40" s="1726"/>
      <c r="I40" s="1726"/>
      <c r="J40" s="492"/>
      <c r="K40" s="492"/>
      <c r="L40" s="493"/>
    </row>
    <row r="41" spans="1:12" ht="15.75">
      <c r="A41" s="306" t="s">
        <v>29</v>
      </c>
      <c r="B41" s="1"/>
      <c r="C41" s="155"/>
      <c r="D41" s="345"/>
      <c r="E41" s="83"/>
      <c r="F41" s="1728"/>
      <c r="G41" s="1728"/>
      <c r="H41" s="1728"/>
      <c r="I41" s="1728"/>
      <c r="J41" s="458"/>
      <c r="K41" s="458"/>
      <c r="L41" s="476"/>
    </row>
    <row r="42" spans="1:12" ht="15.75">
      <c r="A42" s="68"/>
      <c r="B42" s="147" t="s">
        <v>127</v>
      </c>
      <c r="C42" s="141"/>
      <c r="D42" s="310">
        <v>8900</v>
      </c>
      <c r="E42" s="765">
        <f>'Budget-Restricted MYP'!F42</f>
        <v>0</v>
      </c>
      <c r="F42" s="804"/>
      <c r="G42" s="804"/>
      <c r="H42" s="50" t="str">
        <f>IF(E42&lt;1," ",IF(G42&lt;1," ",(G42-E42)/E42))</f>
        <v xml:space="preserve"> </v>
      </c>
      <c r="I42" s="806">
        <f>-'1st Interim-Unrestricted MYP'!I42</f>
        <v>407355</v>
      </c>
      <c r="J42" s="634" t="str">
        <f>IF(G42&lt;1," ",IF(I42&lt;1," ",(I42-G42)/G42))</f>
        <v xml:space="preserve"> </v>
      </c>
      <c r="K42" s="808">
        <f>-'1st Interim-Unrestricted MYP'!K42</f>
        <v>515298</v>
      </c>
      <c r="L42" s="633">
        <f>IF(I42&lt;1," ",IF(K42&lt;1," ",(K42-I42)/I42))</f>
        <v>0.26498508671797327</v>
      </c>
    </row>
    <row r="43" spans="1:12" ht="16.5" thickBot="1">
      <c r="A43" s="68"/>
      <c r="B43" s="899" t="s">
        <v>30</v>
      </c>
      <c r="C43" s="153"/>
      <c r="D43" s="928">
        <v>7600</v>
      </c>
      <c r="E43" s="815">
        <f>'Budget-Restricted MYP'!F43</f>
        <v>0</v>
      </c>
      <c r="F43" s="805"/>
      <c r="G43" s="805"/>
      <c r="H43" s="596" t="str">
        <f>IF(E43&lt;1," ",IF(G43&lt;1," ",(G43-E43)/E43))</f>
        <v xml:space="preserve"> </v>
      </c>
      <c r="I43" s="807"/>
      <c r="J43" s="641" t="str">
        <f>IF(G43&lt;1," ",IF(I43&lt;1," ",(I43-G43)/G43))</f>
        <v xml:space="preserve"> </v>
      </c>
      <c r="K43" s="809"/>
      <c r="L43" s="642" t="str">
        <f>IF(I43&lt;1," ",IF(K43&lt;1," ",(K43-I43)/I43))</f>
        <v xml:space="preserve"> </v>
      </c>
    </row>
    <row r="44" spans="1:12" ht="17.25" thickTop="1" thickBot="1">
      <c r="A44" s="68"/>
      <c r="B44" s="912" t="s">
        <v>31</v>
      </c>
      <c r="C44" s="957"/>
      <c r="D44" s="958"/>
      <c r="E44" s="900">
        <f>'Budget-Restricted MYP'!F44</f>
        <v>0</v>
      </c>
      <c r="F44" s="810">
        <f>F42-F43</f>
        <v>0</v>
      </c>
      <c r="G44" s="810">
        <f>G42-G43</f>
        <v>0</v>
      </c>
      <c r="H44" s="588" t="str">
        <f>IF(E44&lt;1," ",IF(G44&lt;1," ",(G44-E44)/E44))</f>
        <v xml:space="preserve"> </v>
      </c>
      <c r="I44" s="810">
        <f>I42-I43</f>
        <v>407355</v>
      </c>
      <c r="J44" s="588" t="str">
        <f>IF(G44&lt;1," ",IF(I44&lt;1," ",(I44-G44)/G44))</f>
        <v xml:space="preserve"> </v>
      </c>
      <c r="K44" s="810">
        <f>K42-K43</f>
        <v>515298</v>
      </c>
      <c r="L44" s="591">
        <f>IF(I44&lt;1," ",IF(K44&lt;1," ",(K44-I44)/I44))</f>
        <v>0.26498508671797327</v>
      </c>
    </row>
    <row r="45" spans="1:12" ht="17.25" thickTop="1" thickBot="1">
      <c r="A45" s="68"/>
      <c r="B45" s="1"/>
      <c r="C45" s="1"/>
      <c r="D45" s="168"/>
      <c r="E45" s="269"/>
      <c r="F45" s="52"/>
      <c r="G45" s="52"/>
      <c r="H45" s="269"/>
      <c r="I45" s="52"/>
      <c r="J45" s="269"/>
      <c r="K45" s="52"/>
      <c r="L45" s="881"/>
    </row>
    <row r="46" spans="1:12" ht="17.25" thickTop="1" thickBot="1">
      <c r="A46" s="948" t="s">
        <v>32</v>
      </c>
      <c r="B46" s="913"/>
      <c r="C46" s="957"/>
      <c r="D46" s="958"/>
      <c r="E46" s="900">
        <f>'Budget-Restricted MYP'!F46</f>
        <v>78151.969000000041</v>
      </c>
      <c r="F46" s="810">
        <f>F39+F44</f>
        <v>-43868.706325046747</v>
      </c>
      <c r="G46" s="810">
        <f>G39+G44</f>
        <v>-233812.16465245513</v>
      </c>
      <c r="H46" s="588" t="str">
        <f>IF(E46&lt;1," ",IF(G46&lt;1," ",(G46-E46)/E46))</f>
        <v xml:space="preserve"> </v>
      </c>
      <c r="I46" s="810">
        <f>I39+I44</f>
        <v>-78151.717084999895</v>
      </c>
      <c r="J46" s="588" t="str">
        <f>IF(G46&lt;1," ",IF(I46&lt;1," ",(I46-G46)/G46))</f>
        <v xml:space="preserve"> </v>
      </c>
      <c r="K46" s="810">
        <f>K39+K44</f>
        <v>0.16781702521257102</v>
      </c>
      <c r="L46" s="591" t="str">
        <f>IF(I46&lt;1," ",IF(K46&lt;1," ",(K46-I46)/I46))</f>
        <v xml:space="preserve"> </v>
      </c>
    </row>
    <row r="47" spans="1:12" ht="16.5" thickTop="1">
      <c r="A47" s="306"/>
      <c r="B47" s="1"/>
      <c r="C47" s="1"/>
      <c r="D47" s="168"/>
      <c r="E47" s="269"/>
      <c r="F47" s="1730"/>
      <c r="G47" s="1730"/>
      <c r="H47" s="1730"/>
      <c r="I47" s="1730"/>
      <c r="L47" s="472"/>
    </row>
    <row r="48" spans="1:12" ht="15.75">
      <c r="A48" s="306" t="s">
        <v>6</v>
      </c>
      <c r="B48" s="1"/>
      <c r="C48" s="1"/>
      <c r="D48" s="168"/>
      <c r="E48" s="269"/>
      <c r="F48" s="1730"/>
      <c r="G48" s="1730"/>
      <c r="H48" s="1730"/>
      <c r="I48" s="1730"/>
      <c r="L48" s="472"/>
    </row>
    <row r="49" spans="1:12" ht="15.75">
      <c r="A49" s="68"/>
      <c r="B49" s="293" t="s">
        <v>162</v>
      </c>
      <c r="C49" s="294"/>
      <c r="D49" s="295">
        <v>9791</v>
      </c>
      <c r="E49" s="812">
        <f>'Budget-Restricted MYP'!F49</f>
        <v>0</v>
      </c>
      <c r="F49" s="894">
        <f>E49</f>
        <v>0</v>
      </c>
      <c r="G49" s="812">
        <f>E49</f>
        <v>0</v>
      </c>
      <c r="H49" s="1087"/>
      <c r="I49" s="1085"/>
      <c r="J49" s="1088"/>
      <c r="K49" s="1086"/>
      <c r="L49" s="1089"/>
    </row>
    <row r="50" spans="1:12" ht="15.75">
      <c r="A50" s="68"/>
      <c r="B50" s="315" t="s">
        <v>136</v>
      </c>
      <c r="C50" s="316"/>
      <c r="D50" s="317">
        <v>9792</v>
      </c>
      <c r="E50" s="987"/>
      <c r="F50" s="813">
        <f>G50</f>
        <v>0</v>
      </c>
      <c r="G50" s="694"/>
      <c r="H50" s="624"/>
      <c r="I50" s="800"/>
      <c r="J50" s="597"/>
      <c r="K50" s="798"/>
      <c r="L50" s="599"/>
    </row>
    <row r="51" spans="1:12" ht="15.75">
      <c r="A51" s="68"/>
      <c r="B51" s="315" t="s">
        <v>236</v>
      </c>
      <c r="C51" s="316"/>
      <c r="D51" s="965"/>
      <c r="E51" s="987"/>
      <c r="F51" s="813">
        <f>SUM(F49:F50)</f>
        <v>0</v>
      </c>
      <c r="G51" s="813">
        <f>SUM(G49:G50)</f>
        <v>0</v>
      </c>
      <c r="H51" s="624"/>
      <c r="I51" s="800"/>
      <c r="J51" s="597"/>
      <c r="K51" s="798"/>
      <c r="L51" s="599"/>
    </row>
    <row r="52" spans="1:12" ht="15.75">
      <c r="A52" s="68"/>
      <c r="B52" s="315" t="s">
        <v>302</v>
      </c>
      <c r="C52" s="316"/>
      <c r="D52" s="317">
        <v>9793</v>
      </c>
      <c r="E52" s="987"/>
      <c r="F52" s="694"/>
      <c r="G52" s="694"/>
      <c r="H52" s="624"/>
      <c r="I52" s="1008"/>
      <c r="J52" s="597"/>
      <c r="K52" s="798"/>
      <c r="L52" s="599"/>
    </row>
    <row r="53" spans="1:12" ht="15.75">
      <c r="A53" s="68"/>
      <c r="B53" s="315" t="s">
        <v>301</v>
      </c>
      <c r="C53" s="316"/>
      <c r="D53" s="317">
        <v>9795</v>
      </c>
      <c r="E53" s="812">
        <f>'Budget-Restricted MYP'!F53</f>
        <v>0</v>
      </c>
      <c r="F53" s="891"/>
      <c r="G53" s="891"/>
      <c r="H53" s="624"/>
      <c r="I53" s="801"/>
      <c r="J53" s="598"/>
      <c r="K53" s="799"/>
      <c r="L53" s="600"/>
    </row>
    <row r="54" spans="1:12" ht="16.5" thickBot="1">
      <c r="A54" s="68"/>
      <c r="B54" s="910" t="s">
        <v>284</v>
      </c>
      <c r="C54" s="504"/>
      <c r="D54" s="911"/>
      <c r="E54" s="893"/>
      <c r="F54" s="814">
        <f>SUM(F51:F53)</f>
        <v>0</v>
      </c>
      <c r="G54" s="814">
        <f>SUM(G51:G53)</f>
        <v>0</v>
      </c>
      <c r="H54" s="615"/>
      <c r="I54" s="1108">
        <f>G55</f>
        <v>-233812</v>
      </c>
      <c r="J54" s="598"/>
      <c r="K54" s="1109">
        <f>I55</f>
        <v>-311964</v>
      </c>
      <c r="L54" s="600"/>
    </row>
    <row r="55" spans="1:12" ht="17.25" thickTop="1" thickBot="1">
      <c r="A55" s="68"/>
      <c r="B55" s="912" t="s">
        <v>33</v>
      </c>
      <c r="C55" s="957"/>
      <c r="D55" s="958"/>
      <c r="E55" s="900">
        <f>ROUND('Budget-Restricted MYP'!F55,0)</f>
        <v>78152</v>
      </c>
      <c r="F55" s="810">
        <f>ROUND(F54+F46,0)</f>
        <v>-43869</v>
      </c>
      <c r="G55" s="810">
        <f>ROUND(G54+G46,0)</f>
        <v>-233812</v>
      </c>
      <c r="H55" s="588" t="str">
        <f>IF(E55&lt;1," ",IF(G55&lt;1," ",(G55-E55)/E55))</f>
        <v xml:space="preserve"> </v>
      </c>
      <c r="I55" s="810">
        <f>ROUND(I54+I46,0)</f>
        <v>-311964</v>
      </c>
      <c r="J55" s="588" t="str">
        <f>IF(G55&lt;1," ",IF(I55&lt;1," ",(I55-G55)/G55))</f>
        <v xml:space="preserve"> </v>
      </c>
      <c r="K55" s="810">
        <f>ROUND(K54+K46,0)</f>
        <v>-311964</v>
      </c>
      <c r="L55" s="591" t="str">
        <f>IF(I55&lt;1," ",IF(K55&lt;1," ",(K55-I55)/I55))</f>
        <v xml:space="preserve"> </v>
      </c>
    </row>
    <row r="56" spans="1:12" ht="16.5" thickTop="1">
      <c r="A56" s="68"/>
      <c r="B56" s="1"/>
      <c r="C56" s="1"/>
      <c r="D56" s="168"/>
      <c r="E56" s="169"/>
      <c r="F56" s="52"/>
      <c r="G56" s="52"/>
      <c r="H56" s="169"/>
      <c r="I56" s="52"/>
      <c r="J56" s="169"/>
      <c r="K56" s="52"/>
      <c r="L56" s="475"/>
    </row>
    <row r="57" spans="1:12" ht="15.75">
      <c r="A57" s="324" t="s">
        <v>142</v>
      </c>
      <c r="B57" s="152"/>
      <c r="C57" s="480"/>
      <c r="D57" s="481" t="s">
        <v>2</v>
      </c>
      <c r="E57" s="482"/>
      <c r="F57" s="484"/>
      <c r="G57" s="484"/>
      <c r="H57" s="482"/>
      <c r="I57" s="484"/>
      <c r="J57" s="482"/>
      <c r="K57" s="484"/>
      <c r="L57" s="485"/>
    </row>
    <row r="58" spans="1:12" ht="15.75">
      <c r="A58" s="68"/>
      <c r="B58" s="348" t="s">
        <v>7</v>
      </c>
      <c r="C58" s="354" t="s">
        <v>143</v>
      </c>
      <c r="D58" s="355"/>
      <c r="E58" s="356"/>
      <c r="F58" s="1765"/>
      <c r="G58" s="1765"/>
      <c r="H58" s="1765"/>
      <c r="I58" s="1765"/>
      <c r="J58" s="622"/>
      <c r="K58" s="622"/>
      <c r="L58" s="623"/>
    </row>
    <row r="59" spans="1:12" ht="15.75">
      <c r="A59" s="68"/>
      <c r="B59" s="502"/>
      <c r="C59" s="503" t="s">
        <v>34</v>
      </c>
      <c r="D59" s="479">
        <v>9711</v>
      </c>
      <c r="E59" s="583"/>
      <c r="F59" s="583"/>
      <c r="G59" s="583"/>
      <c r="H59" s="486"/>
      <c r="I59" s="583"/>
      <c r="J59" s="648"/>
      <c r="K59" s="649"/>
      <c r="L59" s="650"/>
    </row>
    <row r="60" spans="1:12" ht="15.75">
      <c r="A60" s="68"/>
      <c r="B60" s="477"/>
      <c r="C60" s="503" t="s">
        <v>10</v>
      </c>
      <c r="D60" s="479">
        <v>9712</v>
      </c>
      <c r="E60" s="651"/>
      <c r="F60" s="616"/>
      <c r="G60" s="616"/>
      <c r="H60" s="652"/>
      <c r="I60" s="619"/>
      <c r="J60" s="597"/>
      <c r="K60" s="621"/>
      <c r="L60" s="599"/>
    </row>
    <row r="61" spans="1:12" ht="15.75">
      <c r="A61" s="68"/>
      <c r="B61" s="477"/>
      <c r="C61" s="503" t="s">
        <v>11</v>
      </c>
      <c r="D61" s="479">
        <v>9713</v>
      </c>
      <c r="E61" s="617"/>
      <c r="F61" s="603"/>
      <c r="G61" s="603"/>
      <c r="H61" s="624"/>
      <c r="I61" s="620"/>
      <c r="J61" s="597"/>
      <c r="K61" s="621"/>
      <c r="L61" s="599"/>
    </row>
    <row r="62" spans="1:12" ht="15.75">
      <c r="A62" s="68"/>
      <c r="B62" s="477"/>
      <c r="C62" s="503" t="s">
        <v>144</v>
      </c>
      <c r="D62" s="479">
        <v>9719</v>
      </c>
      <c r="E62" s="617"/>
      <c r="F62" s="603"/>
      <c r="G62" s="603"/>
      <c r="H62" s="624"/>
      <c r="I62" s="620"/>
      <c r="J62" s="597"/>
      <c r="K62" s="621"/>
      <c r="L62" s="599"/>
    </row>
    <row r="63" spans="1:12" ht="15.75">
      <c r="A63" s="68"/>
      <c r="B63" s="348" t="s">
        <v>8</v>
      </c>
      <c r="C63" s="350" t="s">
        <v>145</v>
      </c>
      <c r="D63" s="289">
        <v>9740</v>
      </c>
      <c r="E63" s="764">
        <f>ROUND(IF(E55&lt;0,0,E55),0)</f>
        <v>78152</v>
      </c>
      <c r="F63" s="764">
        <f>ROUND(IF(F55&lt;0,0,F55),0)</f>
        <v>0</v>
      </c>
      <c r="G63" s="764">
        <f>ROUND(IF(G55&lt;0,0,G55),0)</f>
        <v>0</v>
      </c>
      <c r="H63" s="50" t="str">
        <f>IF(E63&lt;1," ",IF(G63&lt;1," ",(G63-E63)/E63))</f>
        <v xml:space="preserve"> </v>
      </c>
      <c r="I63" s="764">
        <f>ROUND(IF(I55&lt;0,0,I55),0)</f>
        <v>0</v>
      </c>
      <c r="J63" s="634" t="str">
        <f>IF(G63&lt;1," ",IF(I63&lt;1," ",(I63-G63)/G63))</f>
        <v xml:space="preserve"> </v>
      </c>
      <c r="K63" s="764">
        <f>ROUND(IF(K55&lt;0,0,K55),0)</f>
        <v>0</v>
      </c>
      <c r="L63" s="633" t="str">
        <f>IF(I63&lt;1," ",IF(K63&lt;1," ",(K63-I63)/I63))</f>
        <v xml:space="preserve"> </v>
      </c>
    </row>
    <row r="64" spans="1:12" ht="15.75">
      <c r="A64" s="68"/>
      <c r="B64" s="477" t="s">
        <v>9</v>
      </c>
      <c r="C64" s="966" t="s">
        <v>349</v>
      </c>
      <c r="D64" s="990"/>
      <c r="E64" s="617"/>
      <c r="F64" s="603"/>
      <c r="G64" s="603"/>
      <c r="H64" s="624"/>
      <c r="I64" s="620"/>
      <c r="J64" s="597"/>
      <c r="K64" s="621"/>
      <c r="L64" s="599"/>
    </row>
    <row r="65" spans="1:12" ht="15.75">
      <c r="A65" s="68"/>
      <c r="B65" s="477"/>
      <c r="C65" s="503" t="s">
        <v>146</v>
      </c>
      <c r="D65" s="506">
        <v>9750</v>
      </c>
      <c r="E65" s="617"/>
      <c r="F65" s="603"/>
      <c r="G65" s="603"/>
      <c r="H65" s="624"/>
      <c r="I65" s="620"/>
      <c r="J65" s="597"/>
      <c r="K65" s="621"/>
      <c r="L65" s="599"/>
    </row>
    <row r="66" spans="1:12" ht="15.75">
      <c r="A66" s="68"/>
      <c r="B66" s="477"/>
      <c r="C66" s="503" t="s">
        <v>147</v>
      </c>
      <c r="D66" s="506">
        <v>9760</v>
      </c>
      <c r="E66" s="617"/>
      <c r="F66" s="603"/>
      <c r="G66" s="603"/>
      <c r="H66" s="624"/>
      <c r="I66" s="620"/>
      <c r="J66" s="597"/>
      <c r="K66" s="621"/>
      <c r="L66" s="599"/>
    </row>
    <row r="67" spans="1:12" ht="15.75">
      <c r="A67" s="68"/>
      <c r="B67" s="477" t="s">
        <v>38</v>
      </c>
      <c r="C67" s="478" t="s">
        <v>148</v>
      </c>
      <c r="D67" s="479">
        <v>9780</v>
      </c>
      <c r="E67" s="617"/>
      <c r="F67" s="603"/>
      <c r="G67" s="603"/>
      <c r="H67" s="624"/>
      <c r="I67" s="620"/>
      <c r="J67" s="597"/>
      <c r="K67" s="621"/>
      <c r="L67" s="599"/>
    </row>
    <row r="68" spans="1:12" ht="15.75">
      <c r="A68" s="68"/>
      <c r="B68" s="477" t="s">
        <v>40</v>
      </c>
      <c r="C68" s="966" t="s">
        <v>352</v>
      </c>
      <c r="D68" s="967"/>
      <c r="E68" s="617"/>
      <c r="F68" s="603"/>
      <c r="G68" s="603"/>
      <c r="H68" s="624"/>
      <c r="I68" s="620"/>
      <c r="J68" s="597"/>
      <c r="K68" s="621"/>
      <c r="L68" s="599"/>
    </row>
    <row r="69" spans="1:12" ht="15.75">
      <c r="A69" s="68"/>
      <c r="B69" s="477"/>
      <c r="C69" s="503" t="s">
        <v>350</v>
      </c>
      <c r="D69" s="506">
        <v>9789</v>
      </c>
      <c r="E69" s="617"/>
      <c r="F69" s="618"/>
      <c r="G69" s="618"/>
      <c r="H69" s="624"/>
      <c r="I69" s="595"/>
      <c r="J69" s="597"/>
      <c r="K69" s="594"/>
      <c r="L69" s="599"/>
    </row>
    <row r="70" spans="1:12" ht="16.5" thickBot="1">
      <c r="A70" s="68"/>
      <c r="B70" s="1095"/>
      <c r="C70" s="1096" t="s">
        <v>351</v>
      </c>
      <c r="D70" s="1097">
        <v>9790</v>
      </c>
      <c r="E70" s="831"/>
      <c r="F70" s="831"/>
      <c r="G70" s="831"/>
      <c r="H70" s="624"/>
      <c r="I70" s="831"/>
      <c r="J70" s="597"/>
      <c r="K70" s="831"/>
      <c r="L70" s="599"/>
    </row>
    <row r="71" spans="1:12" ht="17.25" thickTop="1" thickBot="1">
      <c r="A71" s="68"/>
      <c r="B71" s="1102"/>
      <c r="C71" s="1103"/>
      <c r="D71" s="1104"/>
      <c r="E71" s="1105"/>
      <c r="F71" s="1105"/>
      <c r="G71" s="1105"/>
      <c r="H71" s="1106"/>
      <c r="I71" s="1105"/>
      <c r="J71" s="1106"/>
      <c r="K71" s="1105"/>
      <c r="L71" s="1261"/>
    </row>
    <row r="72" spans="1:12" ht="16.5" thickTop="1">
      <c r="A72" s="68"/>
      <c r="B72" s="1378"/>
      <c r="C72" s="1378"/>
      <c r="D72" s="887"/>
      <c r="E72" s="1379"/>
      <c r="F72" s="1380"/>
      <c r="G72" s="1379"/>
      <c r="H72" s="1380"/>
      <c r="I72" s="1379"/>
      <c r="J72" s="1379"/>
      <c r="K72" s="1384"/>
      <c r="L72" s="1385"/>
    </row>
    <row r="73" spans="1:12" ht="15.75">
      <c r="A73" s="68"/>
      <c r="B73" s="1378" t="s">
        <v>471</v>
      </c>
      <c r="C73" s="1378"/>
      <c r="D73" s="887"/>
      <c r="E73" s="1379"/>
      <c r="F73" s="1380"/>
      <c r="G73" s="1379"/>
      <c r="H73" s="1380"/>
      <c r="I73" s="1379"/>
      <c r="J73" s="1379"/>
      <c r="K73" s="1379"/>
      <c r="L73" s="1262"/>
    </row>
    <row r="74" spans="1:12" ht="15.75">
      <c r="A74" s="68"/>
      <c r="B74" s="291">
        <v>1</v>
      </c>
      <c r="C74" s="1719" t="s">
        <v>472</v>
      </c>
      <c r="D74" s="1768"/>
      <c r="E74" s="1197">
        <f>'Budget-Restricted MYP'!F74</f>
        <v>0</v>
      </c>
      <c r="F74" s="758"/>
      <c r="G74" s="758"/>
      <c r="H74" s="1164"/>
      <c r="I74" s="758"/>
      <c r="J74" s="1164"/>
      <c r="K74" s="758"/>
      <c r="L74" s="1262"/>
    </row>
    <row r="75" spans="1:12" ht="15.75">
      <c r="A75" s="68"/>
      <c r="B75" s="291">
        <v>2</v>
      </c>
      <c r="C75" s="1719"/>
      <c r="D75" s="1768"/>
      <c r="E75" s="1197">
        <f>'Budget-Restricted MYP'!F75</f>
        <v>0</v>
      </c>
      <c r="F75" s="758"/>
      <c r="G75" s="758"/>
      <c r="H75" s="1164"/>
      <c r="I75" s="758"/>
      <c r="J75" s="1164"/>
      <c r="K75" s="758"/>
      <c r="L75" s="1262"/>
    </row>
    <row r="76" spans="1:12" ht="15.75">
      <c r="A76" s="68"/>
      <c r="B76" s="291">
        <v>3</v>
      </c>
      <c r="C76" s="1719"/>
      <c r="D76" s="1768"/>
      <c r="E76" s="1197">
        <f>'Budget-Restricted MYP'!F76</f>
        <v>0</v>
      </c>
      <c r="F76" s="758"/>
      <c r="G76" s="758"/>
      <c r="H76" s="1164"/>
      <c r="I76" s="758"/>
      <c r="J76" s="1164"/>
      <c r="K76" s="758"/>
      <c r="L76" s="1262"/>
    </row>
    <row r="77" spans="1:12" ht="15.75">
      <c r="A77" s="68"/>
      <c r="B77" s="291">
        <v>4</v>
      </c>
      <c r="C77" s="1719"/>
      <c r="D77" s="1768"/>
      <c r="E77" s="1197">
        <f>'Budget-Restricted MYP'!F77</f>
        <v>0</v>
      </c>
      <c r="F77" s="758"/>
      <c r="G77" s="758"/>
      <c r="H77" s="1164"/>
      <c r="I77" s="758"/>
      <c r="J77" s="1164"/>
      <c r="K77" s="758"/>
      <c r="L77" s="1262"/>
    </row>
    <row r="78" spans="1:12" ht="15.75">
      <c r="A78" s="68"/>
      <c r="B78" s="291">
        <v>5</v>
      </c>
      <c r="C78" s="1596"/>
      <c r="D78" s="1598"/>
      <c r="E78" s="1197"/>
      <c r="F78" s="758"/>
      <c r="G78" s="758"/>
      <c r="H78" s="1164"/>
      <c r="I78" s="758"/>
      <c r="J78" s="1164"/>
      <c r="K78" s="758"/>
      <c r="L78" s="1262"/>
    </row>
    <row r="79" spans="1:12" ht="15.75">
      <c r="A79" s="68"/>
      <c r="B79" s="291">
        <v>6</v>
      </c>
      <c r="C79" s="1596"/>
      <c r="D79" s="1598"/>
      <c r="E79" s="1197"/>
      <c r="F79" s="758"/>
      <c r="G79" s="758"/>
      <c r="H79" s="1164"/>
      <c r="I79" s="758"/>
      <c r="J79" s="1164"/>
      <c r="K79" s="758"/>
      <c r="L79" s="1262"/>
    </row>
    <row r="80" spans="1:12" ht="15.75">
      <c r="A80" s="68"/>
      <c r="B80" s="291">
        <v>7</v>
      </c>
      <c r="C80" s="1596"/>
      <c r="D80" s="1598"/>
      <c r="E80" s="1197"/>
      <c r="F80" s="758"/>
      <c r="G80" s="758"/>
      <c r="H80" s="1164"/>
      <c r="I80" s="758"/>
      <c r="J80" s="1164"/>
      <c r="K80" s="758"/>
      <c r="L80" s="1262"/>
    </row>
    <row r="81" spans="1:12" ht="15.75">
      <c r="A81" s="68"/>
      <c r="B81" s="291">
        <v>8</v>
      </c>
      <c r="C81" s="1596"/>
      <c r="D81" s="1598"/>
      <c r="E81" s="1197"/>
      <c r="F81" s="758"/>
      <c r="G81" s="758"/>
      <c r="H81" s="1164"/>
      <c r="I81" s="758"/>
      <c r="J81" s="1164"/>
      <c r="K81" s="758"/>
      <c r="L81" s="1262"/>
    </row>
    <row r="82" spans="1:12" ht="15.75">
      <c r="A82" s="68"/>
      <c r="B82" s="291">
        <v>9</v>
      </c>
      <c r="C82" s="1596"/>
      <c r="D82" s="1598"/>
      <c r="E82" s="1197"/>
      <c r="F82" s="758"/>
      <c r="G82" s="758"/>
      <c r="H82" s="1164"/>
      <c r="I82" s="758"/>
      <c r="J82" s="1164"/>
      <c r="K82" s="758"/>
      <c r="L82" s="1262"/>
    </row>
    <row r="83" spans="1:12" ht="15.75">
      <c r="A83" s="68"/>
      <c r="B83" s="1627">
        <v>10</v>
      </c>
      <c r="C83" s="1717"/>
      <c r="D83" s="1767"/>
      <c r="E83" s="1197">
        <f>'Budget-Restricted MYP'!F78</f>
        <v>0</v>
      </c>
      <c r="F83" s="758"/>
      <c r="G83" s="758"/>
      <c r="H83" s="1164"/>
      <c r="I83" s="758"/>
      <c r="J83" s="1164"/>
      <c r="K83" s="758"/>
      <c r="L83" s="1262"/>
    </row>
    <row r="84" spans="1:12" ht="15.75">
      <c r="A84" s="68"/>
      <c r="B84" s="1627">
        <v>11</v>
      </c>
      <c r="C84" s="1717"/>
      <c r="D84" s="1767"/>
      <c r="E84" s="1197">
        <f>'Budget-Restricted MYP'!F84</f>
        <v>0</v>
      </c>
      <c r="F84" s="758"/>
      <c r="G84" s="758"/>
      <c r="H84" s="1164"/>
      <c r="I84" s="758"/>
      <c r="J84" s="1164"/>
      <c r="K84" s="758"/>
      <c r="L84" s="1262"/>
    </row>
    <row r="85" spans="1:12" ht="15.75">
      <c r="A85" s="68"/>
      <c r="B85" s="1627">
        <v>12</v>
      </c>
      <c r="C85" s="1717"/>
      <c r="D85" s="1767"/>
      <c r="E85" s="1197">
        <f>'Budget-Restricted MYP'!F85</f>
        <v>0</v>
      </c>
      <c r="F85" s="758"/>
      <c r="G85" s="758"/>
      <c r="H85" s="1164"/>
      <c r="I85" s="758"/>
      <c r="J85" s="1164"/>
      <c r="K85" s="758"/>
      <c r="L85" s="1262"/>
    </row>
    <row r="86" spans="1:12" ht="15.75">
      <c r="A86" s="68"/>
      <c r="B86" s="1627">
        <v>13</v>
      </c>
      <c r="C86" s="1717"/>
      <c r="D86" s="1767"/>
      <c r="E86" s="1197">
        <f>'Budget-Restricted MYP'!F86</f>
        <v>0</v>
      </c>
      <c r="F86" s="758"/>
      <c r="G86" s="758"/>
      <c r="H86" s="1164"/>
      <c r="I86" s="758"/>
      <c r="J86" s="1164"/>
      <c r="K86" s="758"/>
      <c r="L86" s="1262"/>
    </row>
    <row r="87" spans="1:12" ht="15.75">
      <c r="A87" s="68"/>
      <c r="B87" s="1627">
        <v>14</v>
      </c>
      <c r="C87" s="1717"/>
      <c r="D87" s="1767"/>
      <c r="E87" s="1197">
        <f>'Budget-Restricted MYP'!F87</f>
        <v>0</v>
      </c>
      <c r="F87" s="758"/>
      <c r="G87" s="758"/>
      <c r="H87" s="1164"/>
      <c r="I87" s="758"/>
      <c r="J87" s="1164"/>
      <c r="K87" s="758"/>
      <c r="L87" s="1262"/>
    </row>
    <row r="88" spans="1:12" ht="15.75">
      <c r="A88" s="68"/>
      <c r="B88" s="1627">
        <v>15</v>
      </c>
      <c r="C88" s="1720"/>
      <c r="D88" s="1780"/>
      <c r="E88" s="1197">
        <f>'Budget-Restricted MYP'!F88</f>
        <v>0</v>
      </c>
      <c r="F88" s="759"/>
      <c r="G88" s="759"/>
      <c r="H88" s="1165"/>
      <c r="I88" s="759"/>
      <c r="J88" s="1165"/>
      <c r="K88" s="759"/>
      <c r="L88" s="1314"/>
    </row>
    <row r="89" spans="1:12" ht="51" customHeight="1" thickBot="1">
      <c r="A89" s="68"/>
      <c r="B89" t="s">
        <v>485</v>
      </c>
      <c r="E89" s="1315" t="str">
        <f>IF(SUM(E74:E88)=E63,SUM(E74:E88),"Total must equal amount in Cell E63 above")</f>
        <v>Total must equal amount in Cell E63 above</v>
      </c>
      <c r="F89" s="1315">
        <f>IF(SUM(F74:F88)=F63,SUM(F74:F88),"Total must equal amount in Cell E63 above")</f>
        <v>0</v>
      </c>
      <c r="G89" s="1315">
        <f>IF(SUM(G74:G88)=G63,SUM(G74:G88),"Total must equal amount in Cell E63 above")</f>
        <v>0</v>
      </c>
      <c r="H89" s="1381"/>
      <c r="I89" s="1315">
        <f>IF(SUM(I74:I88)=I63,SUM(I74:I88),"Total must equal amount in Cell E63 above")</f>
        <v>0</v>
      </c>
      <c r="J89" s="1381"/>
      <c r="K89" s="1315">
        <f>IF(SUM(K74:K88)=K63,SUM(K74:K88),"Total must equal amount in Cell E63 above")</f>
        <v>0</v>
      </c>
      <c r="L89" s="1314"/>
    </row>
    <row r="90" spans="1:12" ht="16.5" thickTop="1">
      <c r="A90" s="332"/>
      <c r="B90" s="225"/>
      <c r="C90" s="225"/>
      <c r="D90" s="225"/>
      <c r="E90" s="1100"/>
      <c r="F90" s="1100"/>
      <c r="G90" s="226"/>
      <c r="H90" s="226"/>
      <c r="I90" s="1100"/>
      <c r="J90" s="226"/>
      <c r="K90" s="1101"/>
      <c r="L90" s="1262"/>
    </row>
    <row r="91" spans="1:12" ht="15.75">
      <c r="A91" s="332" t="s">
        <v>367</v>
      </c>
      <c r="B91" s="225"/>
      <c r="C91" s="225"/>
      <c r="D91" s="225"/>
      <c r="E91" s="225"/>
      <c r="F91" s="226"/>
      <c r="G91" s="226"/>
      <c r="H91" s="226"/>
      <c r="I91" s="226"/>
      <c r="J91" s="226"/>
      <c r="L91" s="1262"/>
    </row>
    <row r="92" spans="1:12" ht="16.5">
      <c r="A92" s="1286"/>
      <c r="B92" s="1382"/>
      <c r="C92" s="1383" t="s">
        <v>323</v>
      </c>
      <c r="D92" s="1383"/>
      <c r="E92" s="1383"/>
      <c r="F92" s="1383"/>
      <c r="G92" s="1383"/>
      <c r="H92" s="1383"/>
      <c r="I92" s="1383"/>
      <c r="J92" s="1383"/>
      <c r="L92" s="1262"/>
    </row>
    <row r="93" spans="1:12" ht="15.75">
      <c r="A93" s="332"/>
      <c r="B93" s="291">
        <v>1</v>
      </c>
      <c r="C93" s="1719" t="s">
        <v>246</v>
      </c>
      <c r="D93" s="1768"/>
      <c r="E93" s="1197">
        <f>'Budget-Restricted MYP'!F93</f>
        <v>0</v>
      </c>
      <c r="F93" s="720"/>
      <c r="G93" s="720"/>
      <c r="H93" s="50" t="str">
        <f>IF(E93&lt;1," ",IF(G93&lt;1," ",(G93-E93)/E93))</f>
        <v xml:space="preserve"> </v>
      </c>
      <c r="I93" s="726"/>
      <c r="J93" s="489" t="str">
        <f t="shared" ref="J93:J113" si="3">IF(G93&lt;1," ",IF(I93&lt;1," ",(I93-G93)/G93))</f>
        <v xml:space="preserve"> </v>
      </c>
      <c r="K93" s="710"/>
      <c r="L93" s="1263" t="str">
        <f t="shared" ref="L93:L113" si="4">IF(I93&lt;1," ",IF(K93&lt;1," ",(K93-I93)/I93))</f>
        <v xml:space="preserve"> </v>
      </c>
    </row>
    <row r="94" spans="1:12" ht="15.75">
      <c r="A94" s="284"/>
      <c r="B94" s="291">
        <v>2</v>
      </c>
      <c r="C94" s="1717" t="s">
        <v>531</v>
      </c>
      <c r="D94" s="1767"/>
      <c r="E94" s="1197">
        <f>'Budget-Restricted MYP'!F94</f>
        <v>534875</v>
      </c>
      <c r="F94" s="720">
        <v>0</v>
      </c>
      <c r="G94" s="720">
        <f>+E94</f>
        <v>534875</v>
      </c>
      <c r="H94" s="50">
        <f>IF(E94&lt;1," ",IF(G94&lt;1," ",(G94-E94)/E94))</f>
        <v>0</v>
      </c>
      <c r="I94" s="726"/>
      <c r="J94" s="489" t="str">
        <f t="shared" si="3"/>
        <v xml:space="preserve"> </v>
      </c>
      <c r="K94" s="710"/>
      <c r="L94" s="1263" t="str">
        <f t="shared" si="4"/>
        <v xml:space="preserve"> </v>
      </c>
    </row>
    <row r="95" spans="1:12" ht="15.75">
      <c r="A95" s="284"/>
      <c r="B95" s="291">
        <v>3</v>
      </c>
      <c r="C95" s="1717"/>
      <c r="D95" s="1767"/>
      <c r="E95" s="1197">
        <f>'Budget-Restricted MYP'!F95</f>
        <v>0</v>
      </c>
      <c r="F95" s="720"/>
      <c r="G95" s="720"/>
      <c r="H95" s="50"/>
      <c r="I95" s="726"/>
      <c r="J95" s="489"/>
      <c r="K95" s="710"/>
      <c r="L95" s="1263"/>
    </row>
    <row r="96" spans="1:12" ht="15.75">
      <c r="A96" s="284"/>
      <c r="B96" s="291">
        <v>4</v>
      </c>
      <c r="C96" s="1717"/>
      <c r="D96" s="1767"/>
      <c r="E96" s="1197">
        <f>'Budget-Restricted MYP'!F96</f>
        <v>0</v>
      </c>
      <c r="F96" s="720"/>
      <c r="G96" s="720"/>
      <c r="H96" s="50"/>
      <c r="I96" s="726"/>
      <c r="J96" s="489"/>
      <c r="K96" s="710"/>
      <c r="L96" s="1263"/>
    </row>
    <row r="97" spans="1:12" ht="15.75">
      <c r="A97" s="284"/>
      <c r="B97" s="291">
        <v>5</v>
      </c>
      <c r="C97" s="1717"/>
      <c r="D97" s="1767"/>
      <c r="E97" s="1197">
        <f>'Budget-Restricted MYP'!F97</f>
        <v>0</v>
      </c>
      <c r="F97" s="720"/>
      <c r="G97" s="720"/>
      <c r="H97" s="50"/>
      <c r="I97" s="726"/>
      <c r="J97" s="489"/>
      <c r="K97" s="710"/>
      <c r="L97" s="1263"/>
    </row>
    <row r="98" spans="1:12" ht="15.75">
      <c r="A98" s="284"/>
      <c r="B98" s="291">
        <v>6</v>
      </c>
      <c r="C98" s="1717"/>
      <c r="D98" s="1767"/>
      <c r="E98" s="1197">
        <f>'Budget-Restricted MYP'!F98</f>
        <v>0</v>
      </c>
      <c r="F98" s="720"/>
      <c r="G98" s="720"/>
      <c r="H98" s="50"/>
      <c r="I98" s="726"/>
      <c r="J98" s="489"/>
      <c r="K98" s="710"/>
      <c r="L98" s="1263"/>
    </row>
    <row r="99" spans="1:12" ht="15.75">
      <c r="A99" s="284"/>
      <c r="B99" s="291">
        <v>7</v>
      </c>
      <c r="C99" s="1717"/>
      <c r="D99" s="1767"/>
      <c r="E99" s="1197">
        <f>'Budget-Restricted MYP'!F99</f>
        <v>0</v>
      </c>
      <c r="F99" s="720"/>
      <c r="G99" s="720"/>
      <c r="H99" s="50"/>
      <c r="I99" s="726"/>
      <c r="J99" s="489"/>
      <c r="K99" s="710"/>
      <c r="L99" s="1263"/>
    </row>
    <row r="100" spans="1:12" ht="15.75">
      <c r="A100" s="284"/>
      <c r="B100" s="291">
        <v>8</v>
      </c>
      <c r="C100" s="1717"/>
      <c r="D100" s="1767"/>
      <c r="E100" s="1197">
        <f>'Budget-Restricted MYP'!F100</f>
        <v>0</v>
      </c>
      <c r="F100" s="720"/>
      <c r="G100" s="720"/>
      <c r="H100" s="50"/>
      <c r="I100" s="726"/>
      <c r="J100" s="489"/>
      <c r="K100" s="710"/>
      <c r="L100" s="1263"/>
    </row>
    <row r="101" spans="1:12" ht="15.75">
      <c r="A101" s="284"/>
      <c r="B101" s="291">
        <v>9</v>
      </c>
      <c r="C101" s="1717"/>
      <c r="D101" s="1767"/>
      <c r="E101" s="1197">
        <f>'Budget-Restricted MYP'!F101</f>
        <v>0</v>
      </c>
      <c r="F101" s="720"/>
      <c r="G101" s="720"/>
      <c r="H101" s="50"/>
      <c r="I101" s="726"/>
      <c r="J101" s="489"/>
      <c r="K101" s="710"/>
      <c r="L101" s="1263"/>
    </row>
    <row r="102" spans="1:12" ht="15.75">
      <c r="A102" s="284"/>
      <c r="B102" s="1627">
        <v>10</v>
      </c>
      <c r="C102" s="1717"/>
      <c r="D102" s="1767"/>
      <c r="E102" s="1197">
        <f>'Budget-Restricted MYP'!F102</f>
        <v>0</v>
      </c>
      <c r="F102" s="720"/>
      <c r="G102" s="720"/>
      <c r="H102" s="50"/>
      <c r="I102" s="726"/>
      <c r="J102" s="489"/>
      <c r="K102" s="710"/>
      <c r="L102" s="1263"/>
    </row>
    <row r="103" spans="1:12" ht="15.75">
      <c r="A103" s="284"/>
      <c r="B103" s="1627">
        <v>11</v>
      </c>
      <c r="C103" s="1717"/>
      <c r="D103" s="1767"/>
      <c r="E103" s="1197">
        <f>'Budget-Restricted MYP'!F103</f>
        <v>0</v>
      </c>
      <c r="F103" s="720"/>
      <c r="G103" s="720"/>
      <c r="H103" s="50"/>
      <c r="I103" s="726"/>
      <c r="J103" s="489"/>
      <c r="K103" s="710"/>
      <c r="L103" s="1263"/>
    </row>
    <row r="104" spans="1:12" ht="15.75">
      <c r="A104" s="284"/>
      <c r="B104" s="1627">
        <v>12</v>
      </c>
      <c r="C104" s="1717"/>
      <c r="D104" s="1767"/>
      <c r="E104" s="1197">
        <f>'Budget-Restricted MYP'!F104</f>
        <v>0</v>
      </c>
      <c r="F104" s="720"/>
      <c r="G104" s="720"/>
      <c r="H104" s="50"/>
      <c r="I104" s="726"/>
      <c r="J104" s="489"/>
      <c r="K104" s="710"/>
      <c r="L104" s="1263"/>
    </row>
    <row r="105" spans="1:12" ht="15.75">
      <c r="A105" s="284"/>
      <c r="B105" s="1627">
        <v>13</v>
      </c>
      <c r="C105" s="1717"/>
      <c r="D105" s="1767"/>
      <c r="E105" s="1197">
        <f>'Budget-Restricted MYP'!F105</f>
        <v>0</v>
      </c>
      <c r="F105" s="720"/>
      <c r="G105" s="720"/>
      <c r="H105" s="50"/>
      <c r="I105" s="726"/>
      <c r="J105" s="489"/>
      <c r="K105" s="710"/>
      <c r="L105" s="1263"/>
    </row>
    <row r="106" spans="1:12" ht="15.75">
      <c r="A106" s="284"/>
      <c r="B106" s="1627">
        <v>14</v>
      </c>
      <c r="C106" s="1717"/>
      <c r="D106" s="1767"/>
      <c r="E106" s="1197">
        <f>'Budget-Restricted MYP'!F106</f>
        <v>0</v>
      </c>
      <c r="F106" s="720"/>
      <c r="G106" s="720"/>
      <c r="H106" s="50" t="str">
        <f t="shared" ref="H106:H113" si="5">IF(E106&lt;1," ",IF(G106&lt;1," ",(G106-E106)/E106))</f>
        <v xml:space="preserve"> </v>
      </c>
      <c r="I106" s="726"/>
      <c r="J106" s="489" t="str">
        <f t="shared" si="3"/>
        <v xml:space="preserve"> </v>
      </c>
      <c r="K106" s="710"/>
      <c r="L106" s="1263" t="str">
        <f t="shared" si="4"/>
        <v xml:space="preserve"> </v>
      </c>
    </row>
    <row r="107" spans="1:12" ht="15.75">
      <c r="A107" s="284"/>
      <c r="B107" s="1627">
        <v>15</v>
      </c>
      <c r="C107" s="1717"/>
      <c r="D107" s="1767"/>
      <c r="E107" s="1197">
        <f>'Budget-Restricted MYP'!F107</f>
        <v>0</v>
      </c>
      <c r="F107" s="720"/>
      <c r="G107" s="720"/>
      <c r="H107" s="50" t="str">
        <f t="shared" si="5"/>
        <v xml:space="preserve"> </v>
      </c>
      <c r="I107" s="726"/>
      <c r="J107" s="489" t="str">
        <f t="shared" si="3"/>
        <v xml:space="preserve"> </v>
      </c>
      <c r="K107" s="710"/>
      <c r="L107" s="1263" t="str">
        <f t="shared" si="4"/>
        <v xml:space="preserve"> </v>
      </c>
    </row>
    <row r="108" spans="1:12" ht="15.75">
      <c r="A108" s="284"/>
      <c r="B108" s="1627">
        <v>16</v>
      </c>
      <c r="C108" s="1717"/>
      <c r="D108" s="1767"/>
      <c r="E108" s="1197">
        <f>'Budget-Restricted MYP'!F108</f>
        <v>0</v>
      </c>
      <c r="F108" s="720"/>
      <c r="G108" s="720"/>
      <c r="H108" s="50" t="str">
        <f t="shared" si="5"/>
        <v xml:space="preserve"> </v>
      </c>
      <c r="I108" s="726"/>
      <c r="J108" s="489" t="str">
        <f t="shared" si="3"/>
        <v xml:space="preserve"> </v>
      </c>
      <c r="K108" s="710"/>
      <c r="L108" s="1263" t="str">
        <f t="shared" si="4"/>
        <v xml:space="preserve"> </v>
      </c>
    </row>
    <row r="109" spans="1:12" ht="15.75">
      <c r="A109" s="284"/>
      <c r="B109" s="1627">
        <v>17</v>
      </c>
      <c r="C109" s="1720"/>
      <c r="D109" s="1780"/>
      <c r="E109" s="1197">
        <f>'Budget-Restricted MYP'!F109</f>
        <v>0</v>
      </c>
      <c r="F109" s="720"/>
      <c r="G109" s="720"/>
      <c r="H109" s="50" t="str">
        <f t="shared" si="5"/>
        <v xml:space="preserve"> </v>
      </c>
      <c r="I109" s="726"/>
      <c r="J109" s="489" t="str">
        <f t="shared" si="3"/>
        <v xml:space="preserve"> </v>
      </c>
      <c r="K109" s="710"/>
      <c r="L109" s="1263" t="str">
        <f t="shared" si="4"/>
        <v xml:space="preserve"> </v>
      </c>
    </row>
    <row r="110" spans="1:12" ht="15.75">
      <c r="A110" s="284"/>
      <c r="B110" s="1627">
        <v>18</v>
      </c>
      <c r="C110" s="1720"/>
      <c r="D110" s="1780"/>
      <c r="E110" s="1197">
        <f>'Budget-Restricted MYP'!F110</f>
        <v>0</v>
      </c>
      <c r="F110" s="720"/>
      <c r="G110" s="720"/>
      <c r="H110" s="50" t="str">
        <f t="shared" si="5"/>
        <v xml:space="preserve"> </v>
      </c>
      <c r="I110" s="726"/>
      <c r="J110" s="489" t="str">
        <f t="shared" si="3"/>
        <v xml:space="preserve"> </v>
      </c>
      <c r="K110" s="710"/>
      <c r="L110" s="1263" t="str">
        <f t="shared" si="4"/>
        <v xml:space="preserve"> </v>
      </c>
    </row>
    <row r="111" spans="1:12" ht="15.75">
      <c r="A111" s="68"/>
      <c r="B111" s="1627">
        <v>19</v>
      </c>
      <c r="C111" s="1720"/>
      <c r="D111" s="1780"/>
      <c r="E111" s="1197">
        <f>'Budget-Restricted MYP'!F111</f>
        <v>0</v>
      </c>
      <c r="F111" s="721"/>
      <c r="G111" s="721"/>
      <c r="H111" s="50" t="str">
        <f t="shared" si="5"/>
        <v xml:space="preserve"> </v>
      </c>
      <c r="I111" s="728"/>
      <c r="J111" s="489" t="str">
        <f t="shared" si="3"/>
        <v xml:space="preserve"> </v>
      </c>
      <c r="K111" s="717"/>
      <c r="L111" s="1263" t="str">
        <f t="shared" si="4"/>
        <v xml:space="preserve"> </v>
      </c>
    </row>
    <row r="112" spans="1:12" ht="16.5" thickBot="1">
      <c r="A112" s="68"/>
      <c r="B112" s="1627">
        <v>20</v>
      </c>
      <c r="C112" s="1781"/>
      <c r="D112" s="1854"/>
      <c r="E112" s="1197">
        <f>'Budget-Restricted MYP'!F112</f>
        <v>0</v>
      </c>
      <c r="F112" s="722"/>
      <c r="G112" s="722"/>
      <c r="H112" s="50" t="str">
        <f t="shared" si="5"/>
        <v xml:space="preserve"> </v>
      </c>
      <c r="I112" s="834"/>
      <c r="J112" s="490" t="str">
        <f t="shared" si="3"/>
        <v xml:space="preserve"> </v>
      </c>
      <c r="K112" s="711"/>
      <c r="L112" s="1264" t="str">
        <f t="shared" si="4"/>
        <v xml:space="preserve"> </v>
      </c>
    </row>
    <row r="113" spans="1:12" ht="17.25" thickTop="1" thickBot="1">
      <c r="A113" s="68"/>
      <c r="B113" s="939" t="s">
        <v>2</v>
      </c>
      <c r="C113" s="1707" t="s">
        <v>321</v>
      </c>
      <c r="D113" s="1708"/>
      <c r="E113" s="900">
        <f>SUM(E93:E112)</f>
        <v>534875</v>
      </c>
      <c r="F113" s="1196">
        <f>SUM(F93:F112)</f>
        <v>0</v>
      </c>
      <c r="G113" s="900">
        <f>SUM(G93:G112)</f>
        <v>534875</v>
      </c>
      <c r="H113" s="1110">
        <f t="shared" si="5"/>
        <v>0</v>
      </c>
      <c r="I113" s="900">
        <f>SUM(I93:I112)</f>
        <v>0</v>
      </c>
      <c r="J113" s="901" t="str">
        <f t="shared" si="3"/>
        <v xml:space="preserve"> </v>
      </c>
      <c r="K113" s="900">
        <f>SUM(K93:K112)</f>
        <v>0</v>
      </c>
      <c r="L113" s="1265" t="str">
        <f t="shared" si="4"/>
        <v xml:space="preserve"> </v>
      </c>
    </row>
    <row r="114" spans="1:12" ht="16.5" thickTop="1">
      <c r="A114" s="68"/>
      <c r="B114" s="949"/>
      <c r="C114" s="950"/>
      <c r="D114" s="968"/>
      <c r="E114" s="169"/>
      <c r="F114" s="52"/>
      <c r="G114" s="169"/>
      <c r="H114" s="52"/>
      <c r="I114" s="169"/>
      <c r="J114" s="52"/>
      <c r="K114" s="52"/>
      <c r="L114" s="1266"/>
    </row>
    <row r="115" spans="1:12" ht="15.75">
      <c r="A115" s="68"/>
      <c r="B115" s="1851" t="s">
        <v>210</v>
      </c>
      <c r="C115" s="1852"/>
      <c r="D115" s="1853"/>
      <c r="E115" s="975">
        <f>'Budget-Restricted MYP'!F115</f>
        <v>0</v>
      </c>
      <c r="F115" s="974"/>
      <c r="G115" s="975">
        <f>'1st Interim-Assumptions'!G17</f>
        <v>0</v>
      </c>
      <c r="H115" s="470"/>
      <c r="I115" s="975">
        <f>'1st Interim-Assumptions'!H17</f>
        <v>0</v>
      </c>
      <c r="J115" s="470"/>
      <c r="K115" s="975">
        <f>'1st Interim-Assumptions'!J17</f>
        <v>0</v>
      </c>
      <c r="L115" s="1267"/>
    </row>
    <row r="116" spans="1:12" ht="15.75">
      <c r="A116" s="284"/>
      <c r="B116" s="1851" t="s">
        <v>211</v>
      </c>
      <c r="C116" s="1852"/>
      <c r="D116" s="1853"/>
      <c r="E116" s="978">
        <f>'Budget-Restricted MYP'!F116</f>
        <v>0</v>
      </c>
      <c r="F116" s="974"/>
      <c r="G116" s="978">
        <f>(1.04446*'1st Interim-ADA'!O76)*G115</f>
        <v>0</v>
      </c>
      <c r="H116" s="50" t="str">
        <f>IF(E116&lt;1," ",IF(G116&lt;1," ",(G116-E116)/E116))</f>
        <v xml:space="preserve"> </v>
      </c>
      <c r="I116" s="978">
        <f>(1.04446*'1st Interim-ADA'!R76)*I115</f>
        <v>0</v>
      </c>
      <c r="J116" s="272" t="str">
        <f>IF(G116&lt;1," ",IF(I116&lt;1," ",(I116-G116)/G116))</f>
        <v xml:space="preserve"> </v>
      </c>
      <c r="K116" s="978">
        <f>(1.04446*'1st Interim-ADA'!U76)*K115</f>
        <v>0</v>
      </c>
      <c r="L116" s="1268" t="str">
        <f>IF(I116&lt;1," ",IF(K116&lt;1," ",(K116-I116)/I116))</f>
        <v xml:space="preserve"> </v>
      </c>
    </row>
    <row r="117" spans="1:12" ht="8.25" customHeight="1">
      <c r="A117" s="68"/>
      <c r="B117" s="362"/>
      <c r="C117" s="362"/>
      <c r="D117" s="969"/>
      <c r="E117" s="970"/>
      <c r="F117" s="52"/>
      <c r="G117" s="52"/>
      <c r="H117" s="971"/>
      <c r="I117" s="52"/>
      <c r="J117" s="971"/>
      <c r="K117" s="52"/>
      <c r="L117" s="1266"/>
    </row>
    <row r="118" spans="1:12" ht="15.75">
      <c r="A118" s="284"/>
      <c r="B118" s="166"/>
      <c r="C118" s="166" t="s">
        <v>322</v>
      </c>
      <c r="D118" s="166"/>
      <c r="E118" s="166"/>
      <c r="F118" s="1713"/>
      <c r="G118" s="1713"/>
      <c r="H118" s="1713"/>
      <c r="I118" s="1713"/>
      <c r="J118" s="1713"/>
      <c r="K118" s="52"/>
      <c r="L118" s="1269"/>
    </row>
    <row r="119" spans="1:12" ht="15.75">
      <c r="A119" s="284"/>
      <c r="B119" s="291">
        <v>1</v>
      </c>
      <c r="C119" s="1717"/>
      <c r="D119" s="1718"/>
      <c r="E119" s="1198">
        <f>'Budget-Restricted MYP'!F119</f>
        <v>0</v>
      </c>
      <c r="F119" s="720"/>
      <c r="G119" s="720"/>
      <c r="H119" s="1112" t="str">
        <f t="shared" ref="H119:H137" si="6">IF(E119&lt;1," ",IF(G119&lt;1," ",(G119-E119)/E119))</f>
        <v xml:space="preserve"> </v>
      </c>
      <c r="I119" s="726"/>
      <c r="J119" s="490" t="str">
        <f t="shared" ref="J119:J137" si="7">IF(G119&lt;1," ",IF(I119&lt;1," ",(I119-G119)/G119))</f>
        <v xml:space="preserve"> </v>
      </c>
      <c r="K119" s="715"/>
      <c r="L119" s="1270" t="str">
        <f t="shared" ref="L119:L137" si="8">IF(I119&lt;1," ",IF(K119&lt;1," ",(K119-I119)/I119))</f>
        <v xml:space="preserve"> </v>
      </c>
    </row>
    <row r="120" spans="1:12" ht="15.75">
      <c r="A120" s="284"/>
      <c r="B120" s="291">
        <v>2</v>
      </c>
      <c r="C120" s="1717"/>
      <c r="D120" s="1718"/>
      <c r="E120" s="1198">
        <f>'Budget-Restricted MYP'!F120</f>
        <v>0</v>
      </c>
      <c r="F120" s="721"/>
      <c r="G120" s="721"/>
      <c r="H120" s="1112" t="str">
        <f t="shared" si="6"/>
        <v xml:space="preserve"> </v>
      </c>
      <c r="I120" s="728"/>
      <c r="J120" s="490" t="str">
        <f t="shared" si="7"/>
        <v xml:space="preserve"> </v>
      </c>
      <c r="K120" s="717"/>
      <c r="L120" s="1264" t="str">
        <f t="shared" si="8"/>
        <v xml:space="preserve"> </v>
      </c>
    </row>
    <row r="121" spans="1:12" ht="15.75">
      <c r="A121" s="284"/>
      <c r="B121" s="291">
        <v>3</v>
      </c>
      <c r="C121" s="1717"/>
      <c r="D121" s="1718"/>
      <c r="E121" s="1198">
        <f>'Budget-Restricted MYP'!F121</f>
        <v>0</v>
      </c>
      <c r="F121" s="721"/>
      <c r="G121" s="721"/>
      <c r="H121" s="1112" t="str">
        <f t="shared" si="6"/>
        <v xml:space="preserve"> </v>
      </c>
      <c r="I121" s="728"/>
      <c r="J121" s="490" t="str">
        <f t="shared" si="7"/>
        <v xml:space="preserve"> </v>
      </c>
      <c r="K121" s="717"/>
      <c r="L121" s="1264" t="str">
        <f t="shared" si="8"/>
        <v xml:space="preserve"> </v>
      </c>
    </row>
    <row r="122" spans="1:12" ht="15.75">
      <c r="A122" s="284"/>
      <c r="B122" s="291">
        <v>4</v>
      </c>
      <c r="C122" s="1717"/>
      <c r="D122" s="1718"/>
      <c r="E122" s="1198">
        <f>'Budget-Restricted MYP'!F122</f>
        <v>0</v>
      </c>
      <c r="F122" s="720"/>
      <c r="G122" s="720"/>
      <c r="H122" s="1112" t="str">
        <f t="shared" si="6"/>
        <v xml:space="preserve"> </v>
      </c>
      <c r="I122" s="726"/>
      <c r="J122" s="490" t="str">
        <f t="shared" si="7"/>
        <v xml:space="preserve"> </v>
      </c>
      <c r="K122" s="710"/>
      <c r="L122" s="1263" t="str">
        <f t="shared" si="8"/>
        <v xml:space="preserve"> </v>
      </c>
    </row>
    <row r="123" spans="1:12" ht="15.75">
      <c r="A123" s="68"/>
      <c r="B123" s="291">
        <v>5</v>
      </c>
      <c r="C123" s="1717"/>
      <c r="D123" s="1718"/>
      <c r="E123" s="1198">
        <f>'Budget-Restricted MYP'!F123</f>
        <v>0</v>
      </c>
      <c r="F123" s="738"/>
      <c r="G123" s="738"/>
      <c r="H123" s="1112" t="str">
        <f t="shared" si="6"/>
        <v xml:space="preserve"> </v>
      </c>
      <c r="I123" s="835"/>
      <c r="J123" s="490" t="str">
        <f t="shared" si="7"/>
        <v xml:space="preserve"> </v>
      </c>
      <c r="K123" s="840"/>
      <c r="L123" s="491" t="str">
        <f t="shared" si="8"/>
        <v xml:space="preserve"> </v>
      </c>
    </row>
    <row r="124" spans="1:12" ht="15.75">
      <c r="A124" s="285"/>
      <c r="B124" s="292">
        <v>6</v>
      </c>
      <c r="C124" s="1720"/>
      <c r="D124" s="1757"/>
      <c r="E124" s="1198">
        <f>'Budget-Restricted MYP'!F124</f>
        <v>0</v>
      </c>
      <c r="F124" s="739"/>
      <c r="G124" s="739"/>
      <c r="H124" s="1111" t="str">
        <f t="shared" si="6"/>
        <v xml:space="preserve"> </v>
      </c>
      <c r="I124" s="836"/>
      <c r="J124" s="489" t="str">
        <f t="shared" si="7"/>
        <v xml:space="preserve"> </v>
      </c>
      <c r="K124" s="841"/>
      <c r="L124" s="488" t="str">
        <f t="shared" si="8"/>
        <v xml:space="preserve"> </v>
      </c>
    </row>
    <row r="125" spans="1:12" ht="15.75">
      <c r="A125" s="285"/>
      <c r="B125" s="292">
        <v>7</v>
      </c>
      <c r="C125" s="1720"/>
      <c r="D125" s="1757"/>
      <c r="E125" s="1198">
        <f>'Budget-Restricted MYP'!F125</f>
        <v>0</v>
      </c>
      <c r="F125" s="721"/>
      <c r="G125" s="721"/>
      <c r="H125" s="1111" t="str">
        <f t="shared" si="6"/>
        <v xml:space="preserve"> </v>
      </c>
      <c r="I125" s="728"/>
      <c r="J125" s="489" t="str">
        <f t="shared" si="7"/>
        <v xml:space="preserve"> </v>
      </c>
      <c r="K125" s="717"/>
      <c r="L125" s="488" t="str">
        <f t="shared" si="8"/>
        <v xml:space="preserve"> </v>
      </c>
    </row>
    <row r="126" spans="1:12" ht="15.75">
      <c r="A126" s="285"/>
      <c r="B126" s="292">
        <v>8</v>
      </c>
      <c r="C126" s="1720"/>
      <c r="D126" s="1757"/>
      <c r="E126" s="1198">
        <f>'Budget-Restricted MYP'!F126</f>
        <v>0</v>
      </c>
      <c r="F126" s="721"/>
      <c r="G126" s="721"/>
      <c r="H126" s="1111" t="str">
        <f t="shared" si="6"/>
        <v xml:space="preserve"> </v>
      </c>
      <c r="I126" s="728"/>
      <c r="J126" s="489" t="str">
        <f t="shared" si="7"/>
        <v xml:space="preserve"> </v>
      </c>
      <c r="K126" s="717"/>
      <c r="L126" s="488" t="str">
        <f t="shared" si="8"/>
        <v xml:space="preserve"> </v>
      </c>
    </row>
    <row r="127" spans="1:12" ht="15.75">
      <c r="A127" s="285"/>
      <c r="B127" s="292">
        <v>9</v>
      </c>
      <c r="C127" s="1717"/>
      <c r="D127" s="1718"/>
      <c r="E127" s="1198">
        <f>'Budget-Restricted MYP'!F127</f>
        <v>0</v>
      </c>
      <c r="F127" s="721"/>
      <c r="G127" s="721"/>
      <c r="H127" s="1111" t="str">
        <f t="shared" si="6"/>
        <v xml:space="preserve"> </v>
      </c>
      <c r="I127" s="728"/>
      <c r="J127" s="489" t="str">
        <f t="shared" si="7"/>
        <v xml:space="preserve"> </v>
      </c>
      <c r="K127" s="717"/>
      <c r="L127" s="488" t="str">
        <f t="shared" si="8"/>
        <v xml:space="preserve"> </v>
      </c>
    </row>
    <row r="128" spans="1:12" ht="15.75">
      <c r="A128" s="285"/>
      <c r="B128" s="1628">
        <v>10</v>
      </c>
      <c r="C128" s="1720"/>
      <c r="D128" s="1757"/>
      <c r="E128" s="1198">
        <f>'Budget-Restricted MYP'!F128</f>
        <v>0</v>
      </c>
      <c r="F128" s="717"/>
      <c r="G128" s="721"/>
      <c r="H128" s="1111" t="str">
        <f t="shared" si="6"/>
        <v xml:space="preserve"> </v>
      </c>
      <c r="I128" s="728"/>
      <c r="J128" s="489" t="str">
        <f t="shared" si="7"/>
        <v xml:space="preserve"> </v>
      </c>
      <c r="K128" s="717"/>
      <c r="L128" s="488" t="str">
        <f t="shared" si="8"/>
        <v xml:space="preserve"> </v>
      </c>
    </row>
    <row r="129" spans="1:12" ht="15.75">
      <c r="A129" s="68"/>
      <c r="B129" s="1628">
        <v>11</v>
      </c>
      <c r="C129" s="1720"/>
      <c r="D129" s="1757"/>
      <c r="E129" s="1198">
        <f>'Budget-Restricted MYP'!F129</f>
        <v>0</v>
      </c>
      <c r="F129" s="842"/>
      <c r="G129" s="731"/>
      <c r="H129" s="1111" t="str">
        <f t="shared" si="6"/>
        <v xml:space="preserve"> </v>
      </c>
      <c r="I129" s="731"/>
      <c r="J129" s="489" t="str">
        <f t="shared" si="7"/>
        <v xml:space="preserve"> </v>
      </c>
      <c r="K129" s="842"/>
      <c r="L129" s="488" t="str">
        <f t="shared" si="8"/>
        <v xml:space="preserve"> </v>
      </c>
    </row>
    <row r="130" spans="1:12" ht="15.75">
      <c r="A130" s="68"/>
      <c r="B130" s="1628">
        <v>12</v>
      </c>
      <c r="C130" s="1720"/>
      <c r="D130" s="1757"/>
      <c r="E130" s="1198">
        <f>'Budget-Restricted MYP'!F130</f>
        <v>0</v>
      </c>
      <c r="F130" s="843"/>
      <c r="G130" s="732"/>
      <c r="H130" s="1111" t="str">
        <f t="shared" si="6"/>
        <v xml:space="preserve"> </v>
      </c>
      <c r="I130" s="732"/>
      <c r="J130" s="489" t="str">
        <f t="shared" si="7"/>
        <v xml:space="preserve"> </v>
      </c>
      <c r="K130" s="843"/>
      <c r="L130" s="488" t="str">
        <f t="shared" si="8"/>
        <v xml:space="preserve"> </v>
      </c>
    </row>
    <row r="131" spans="1:12" ht="15.75">
      <c r="A131" s="68"/>
      <c r="B131" s="1628">
        <v>13</v>
      </c>
      <c r="C131" s="1720"/>
      <c r="D131" s="1757"/>
      <c r="E131" s="1198">
        <f>'Budget-Restricted MYP'!F131</f>
        <v>0</v>
      </c>
      <c r="F131" s="746"/>
      <c r="G131" s="740"/>
      <c r="H131" s="1111" t="str">
        <f t="shared" si="6"/>
        <v xml:space="preserve"> </v>
      </c>
      <c r="I131" s="837"/>
      <c r="J131" s="489" t="str">
        <f t="shared" si="7"/>
        <v xml:space="preserve"> </v>
      </c>
      <c r="K131" s="746"/>
      <c r="L131" s="488" t="str">
        <f t="shared" si="8"/>
        <v xml:space="preserve"> </v>
      </c>
    </row>
    <row r="132" spans="1:12" ht="15.75">
      <c r="A132" s="68"/>
      <c r="B132" s="1628">
        <v>14</v>
      </c>
      <c r="C132" s="1720"/>
      <c r="D132" s="1757"/>
      <c r="E132" s="1198">
        <f>'Budget-Restricted MYP'!F132</f>
        <v>0</v>
      </c>
      <c r="F132" s="747"/>
      <c r="G132" s="741"/>
      <c r="H132" s="1111" t="str">
        <f t="shared" si="6"/>
        <v xml:space="preserve"> </v>
      </c>
      <c r="I132" s="754"/>
      <c r="J132" s="489" t="str">
        <f t="shared" si="7"/>
        <v xml:space="preserve"> </v>
      </c>
      <c r="K132" s="747"/>
      <c r="L132" s="488" t="str">
        <f t="shared" si="8"/>
        <v xml:space="preserve"> </v>
      </c>
    </row>
    <row r="133" spans="1:12" ht="15.75">
      <c r="A133" s="68"/>
      <c r="B133" s="1628">
        <v>15</v>
      </c>
      <c r="C133" s="1720"/>
      <c r="D133" s="1757"/>
      <c r="E133" s="1198">
        <f>'Budget-Restricted MYP'!F133</f>
        <v>0</v>
      </c>
      <c r="F133" s="740"/>
      <c r="G133" s="740"/>
      <c r="H133" s="1111" t="str">
        <f t="shared" si="6"/>
        <v xml:space="preserve"> </v>
      </c>
      <c r="I133" s="837"/>
      <c r="J133" s="489" t="str">
        <f t="shared" si="7"/>
        <v xml:space="preserve"> </v>
      </c>
      <c r="K133" s="746"/>
      <c r="L133" s="488" t="str">
        <f t="shared" si="8"/>
        <v xml:space="preserve"> </v>
      </c>
    </row>
    <row r="134" spans="1:12" ht="15.75">
      <c r="A134" s="68"/>
      <c r="B134" s="1628">
        <v>16</v>
      </c>
      <c r="C134" s="1720"/>
      <c r="D134" s="1757"/>
      <c r="E134" s="1198">
        <f>'Budget-Restricted MYP'!F134</f>
        <v>0</v>
      </c>
      <c r="F134" s="742"/>
      <c r="G134" s="742"/>
      <c r="H134" s="1111" t="str">
        <f t="shared" si="6"/>
        <v xml:space="preserve"> </v>
      </c>
      <c r="I134" s="838"/>
      <c r="J134" s="489" t="str">
        <f t="shared" si="7"/>
        <v xml:space="preserve"> </v>
      </c>
      <c r="K134" s="748"/>
      <c r="L134" s="488" t="str">
        <f t="shared" si="8"/>
        <v xml:space="preserve"> </v>
      </c>
    </row>
    <row r="135" spans="1:12" ht="15.75">
      <c r="A135" s="68"/>
      <c r="B135" s="1628">
        <v>17</v>
      </c>
      <c r="C135" s="1720"/>
      <c r="D135" s="1757"/>
      <c r="E135" s="1198">
        <f>'Budget-Restricted MYP'!F135</f>
        <v>0</v>
      </c>
      <c r="F135" s="743"/>
      <c r="G135" s="743"/>
      <c r="H135" s="1111" t="str">
        <f t="shared" si="6"/>
        <v xml:space="preserve"> </v>
      </c>
      <c r="I135" s="839"/>
      <c r="J135" s="489" t="str">
        <f t="shared" si="7"/>
        <v xml:space="preserve"> </v>
      </c>
      <c r="K135" s="749"/>
      <c r="L135" s="488" t="str">
        <f t="shared" si="8"/>
        <v xml:space="preserve"> </v>
      </c>
    </row>
    <row r="136" spans="1:12" ht="16.5" thickBot="1">
      <c r="A136" s="68"/>
      <c r="B136" s="1629">
        <v>18</v>
      </c>
      <c r="C136" s="1758"/>
      <c r="D136" s="1759"/>
      <c r="E136" s="1199">
        <f>'Budget-Restricted MYP'!F136</f>
        <v>0</v>
      </c>
      <c r="F136" s="1200"/>
      <c r="G136" s="737"/>
      <c r="H136" s="334" t="str">
        <f t="shared" si="6"/>
        <v xml:space="preserve"> </v>
      </c>
      <c r="I136" s="737"/>
      <c r="J136" s="605" t="str">
        <f t="shared" si="7"/>
        <v xml:space="preserve"> </v>
      </c>
      <c r="K136" s="844"/>
      <c r="L136" s="606" t="str">
        <f t="shared" si="8"/>
        <v xml:space="preserve"> </v>
      </c>
    </row>
    <row r="137" spans="1:12" ht="17.25" thickTop="1" thickBot="1">
      <c r="A137" s="68"/>
      <c r="B137" s="903"/>
      <c r="C137" s="1707" t="s">
        <v>320</v>
      </c>
      <c r="D137" s="1708"/>
      <c r="E137" s="810">
        <f>SUM(E119:E136)</f>
        <v>0</v>
      </c>
      <c r="F137" s="810">
        <f>SUM(F119:F136)</f>
        <v>0</v>
      </c>
      <c r="G137" s="810">
        <f>SUM(G119:G136)</f>
        <v>0</v>
      </c>
      <c r="H137" s="1113" t="str">
        <f t="shared" si="6"/>
        <v xml:space="preserve"> </v>
      </c>
      <c r="I137" s="810">
        <f>SUM(I119:I136)</f>
        <v>0</v>
      </c>
      <c r="J137" s="588" t="str">
        <f t="shared" si="7"/>
        <v xml:space="preserve"> </v>
      </c>
      <c r="K137" s="810">
        <f>SUM(K119:K136)</f>
        <v>0</v>
      </c>
      <c r="L137" s="487" t="str">
        <f t="shared" si="8"/>
        <v xml:space="preserve"> </v>
      </c>
    </row>
    <row r="138" spans="1:12" ht="16.5" thickTop="1">
      <c r="A138" s="68"/>
      <c r="B138" s="153"/>
      <c r="C138" s="1841"/>
      <c r="D138" s="1841"/>
      <c r="E138" s="658"/>
      <c r="F138" s="459"/>
      <c r="G138" s="459"/>
      <c r="H138" s="869"/>
      <c r="I138" s="459"/>
      <c r="J138" s="869"/>
      <c r="K138" s="459"/>
      <c r="L138" s="883"/>
    </row>
    <row r="139" spans="1:12" ht="15.75">
      <c r="A139" s="284"/>
      <c r="B139" s="166"/>
      <c r="C139" s="166" t="s">
        <v>334</v>
      </c>
      <c r="D139" s="166"/>
      <c r="E139" s="166"/>
      <c r="F139" s="1713"/>
      <c r="G139" s="1713"/>
      <c r="H139" s="1713"/>
      <c r="I139" s="1713"/>
      <c r="J139" s="1713"/>
      <c r="K139" s="52"/>
      <c r="L139" s="607"/>
    </row>
    <row r="140" spans="1:12" ht="15.75">
      <c r="A140" s="68"/>
      <c r="B140" s="291">
        <v>1</v>
      </c>
      <c r="C140" s="1717"/>
      <c r="D140" s="1718"/>
      <c r="E140" s="1198">
        <f>'Budget-Restricted MYP'!F140</f>
        <v>0</v>
      </c>
      <c r="F140" s="1201"/>
      <c r="G140" s="734"/>
      <c r="H140" s="1111" t="str">
        <f t="shared" ref="H140:H146" si="9">IF(E140&lt;1," ",IF(G140&lt;1," ",(G140-E140)/E140))</f>
        <v xml:space="preserve"> </v>
      </c>
      <c r="I140" s="754"/>
      <c r="J140" s="31" t="str">
        <f t="shared" ref="J140:J146" si="10">IF(G140&lt;1," ",IF(I140&lt;1," ",(I140-G140)/G140))</f>
        <v xml:space="preserve"> </v>
      </c>
      <c r="K140" s="845"/>
      <c r="L140" s="644" t="str">
        <f t="shared" ref="L140:L146" si="11">IF(I140&lt;1," ",IF(K140&lt;1," ",(K140-I140)/I140))</f>
        <v xml:space="preserve"> </v>
      </c>
    </row>
    <row r="141" spans="1:12" ht="15.75">
      <c r="A141" s="68"/>
      <c r="B141" s="291">
        <v>2</v>
      </c>
      <c r="C141" s="1717"/>
      <c r="D141" s="1718"/>
      <c r="E141" s="1198">
        <f>'Budget-Restricted MYP'!F141</f>
        <v>0</v>
      </c>
      <c r="F141" s="1202"/>
      <c r="G141" s="752"/>
      <c r="H141" s="80" t="str">
        <f t="shared" si="9"/>
        <v xml:space="preserve"> </v>
      </c>
      <c r="I141" s="752"/>
      <c r="J141" s="80" t="str">
        <f t="shared" si="10"/>
        <v xml:space="preserve"> </v>
      </c>
      <c r="K141" s="846"/>
      <c r="L141" s="645" t="str">
        <f t="shared" si="11"/>
        <v xml:space="preserve"> </v>
      </c>
    </row>
    <row r="142" spans="1:12" ht="15.75">
      <c r="A142" s="68"/>
      <c r="B142" s="291">
        <v>3</v>
      </c>
      <c r="C142" s="1717"/>
      <c r="D142" s="1718"/>
      <c r="E142" s="1198">
        <f>'Budget-Restricted MYP'!F142</f>
        <v>0</v>
      </c>
      <c r="F142" s="844"/>
      <c r="G142" s="737"/>
      <c r="H142" s="334" t="str">
        <f t="shared" si="9"/>
        <v xml:space="preserve"> </v>
      </c>
      <c r="I142" s="755"/>
      <c r="J142" s="334" t="str">
        <f t="shared" si="10"/>
        <v xml:space="preserve"> </v>
      </c>
      <c r="K142" s="847"/>
      <c r="L142" s="646" t="str">
        <f t="shared" si="11"/>
        <v xml:space="preserve"> </v>
      </c>
    </row>
    <row r="143" spans="1:12" ht="15.75">
      <c r="A143" s="68"/>
      <c r="B143" s="291">
        <v>4</v>
      </c>
      <c r="C143" s="1717"/>
      <c r="D143" s="1718"/>
      <c r="E143" s="1198">
        <f>'Budget-Restricted MYP'!F143</f>
        <v>0</v>
      </c>
      <c r="F143" s="747"/>
      <c r="G143" s="734"/>
      <c r="H143" s="1111" t="str">
        <f t="shared" si="9"/>
        <v xml:space="preserve"> </v>
      </c>
      <c r="I143" s="754"/>
      <c r="J143" s="31" t="str">
        <f t="shared" si="10"/>
        <v xml:space="preserve"> </v>
      </c>
      <c r="K143" s="848"/>
      <c r="L143" s="647" t="str">
        <f t="shared" si="11"/>
        <v xml:space="preserve"> </v>
      </c>
    </row>
    <row r="144" spans="1:12" ht="15.75">
      <c r="A144" s="68"/>
      <c r="B144" s="291">
        <v>5</v>
      </c>
      <c r="C144" s="1717"/>
      <c r="D144" s="1718"/>
      <c r="E144" s="1198">
        <f>'Budget-Restricted MYP'!F144</f>
        <v>0</v>
      </c>
      <c r="F144" s="747"/>
      <c r="G144" s="734"/>
      <c r="H144" s="1111" t="str">
        <f t="shared" si="9"/>
        <v xml:space="preserve"> </v>
      </c>
      <c r="I144" s="754"/>
      <c r="J144" s="31" t="str">
        <f t="shared" si="10"/>
        <v xml:space="preserve"> </v>
      </c>
      <c r="K144" s="848"/>
      <c r="L144" s="647" t="str">
        <f t="shared" si="11"/>
        <v xml:space="preserve"> </v>
      </c>
    </row>
    <row r="145" spans="1:12" ht="16.5" thickBot="1">
      <c r="A145" s="68"/>
      <c r="B145" s="938">
        <v>6</v>
      </c>
      <c r="C145" s="1758"/>
      <c r="D145" s="1759"/>
      <c r="E145" s="1199">
        <f>'Budget-Restricted MYP'!F145</f>
        <v>0</v>
      </c>
      <c r="F145" s="1200"/>
      <c r="G145" s="737"/>
      <c r="H145" s="1112" t="str">
        <f t="shared" si="9"/>
        <v xml:space="preserve"> </v>
      </c>
      <c r="I145" s="755"/>
      <c r="J145" s="96" t="str">
        <f t="shared" si="10"/>
        <v xml:space="preserve"> </v>
      </c>
      <c r="K145" s="847"/>
      <c r="L145" s="646" t="str">
        <f t="shared" si="11"/>
        <v xml:space="preserve"> </v>
      </c>
    </row>
    <row r="146" spans="1:12" ht="17.25" thickTop="1" thickBot="1">
      <c r="A146" s="68"/>
      <c r="B146" s="929"/>
      <c r="C146" s="1707" t="s">
        <v>319</v>
      </c>
      <c r="D146" s="1708"/>
      <c r="E146" s="810">
        <f>SUM(E140:E145)</f>
        <v>0</v>
      </c>
      <c r="F146" s="810">
        <f>SUM(F140:F145)</f>
        <v>0</v>
      </c>
      <c r="G146" s="810">
        <f>SUM(G140:G145)</f>
        <v>0</v>
      </c>
      <c r="H146" s="1113" t="str">
        <f t="shared" si="9"/>
        <v xml:space="preserve"> </v>
      </c>
      <c r="I146" s="810">
        <f>SUM(I140:I145)</f>
        <v>0</v>
      </c>
      <c r="J146" s="588" t="str">
        <f t="shared" si="10"/>
        <v xml:space="preserve"> </v>
      </c>
      <c r="K146" s="810">
        <f>SUM(K140:K145)</f>
        <v>0</v>
      </c>
      <c r="L146" s="487" t="str">
        <f t="shared" si="11"/>
        <v xml:space="preserve"> </v>
      </c>
    </row>
    <row r="147" spans="1:12" ht="16.5" thickTop="1">
      <c r="A147" s="287"/>
      <c r="B147" s="1"/>
      <c r="C147" s="1"/>
      <c r="D147" s="1321"/>
      <c r="F147" s="1322"/>
      <c r="G147" s="159"/>
      <c r="H147" s="1322"/>
      <c r="I147" s="159"/>
      <c r="J147" s="1322"/>
      <c r="K147" s="1386"/>
      <c r="L147" s="1387"/>
    </row>
    <row r="148" spans="1:12" ht="15.75">
      <c r="A148" s="332" t="s">
        <v>446</v>
      </c>
      <c r="B148" s="1"/>
      <c r="C148" s="1"/>
      <c r="D148" s="1321"/>
      <c r="F148" s="1322"/>
      <c r="G148" s="159"/>
      <c r="H148" s="1322"/>
      <c r="I148" s="159"/>
      <c r="J148" s="1322"/>
      <c r="K148" s="159"/>
      <c r="L148" s="472"/>
    </row>
    <row r="149" spans="1:12" ht="15.75">
      <c r="A149" s="287"/>
      <c r="B149" s="1772" t="s">
        <v>439</v>
      </c>
      <c r="C149" s="1772"/>
      <c r="D149" s="1772"/>
      <c r="E149" s="1396">
        <f>'Budget-Restricted MYP'!E149</f>
        <v>0.159</v>
      </c>
      <c r="F149" s="1333">
        <v>0.13700000000000001</v>
      </c>
      <c r="G149" s="1333">
        <v>0.13700000000000001</v>
      </c>
      <c r="H149" s="1388">
        <f>IF(E149=0,"",IF(G149=0,"",(G149-E149)/E149))</f>
        <v>-0.13836477987421378</v>
      </c>
      <c r="I149" s="1399">
        <v>0.13700000000000001</v>
      </c>
      <c r="J149" s="1388">
        <f>IF(G149=0,"",IF(I149=0,"",(I149-G149)/G149))</f>
        <v>0</v>
      </c>
      <c r="K149" s="1399">
        <v>0.13700000000000001</v>
      </c>
      <c r="L149" s="1389">
        <f>IF(I149=0,"",IF(K149=0,"",(K149-I149)/I149))</f>
        <v>0</v>
      </c>
    </row>
    <row r="150" spans="1:12" ht="15.75">
      <c r="A150" s="287"/>
      <c r="B150" s="1772" t="s">
        <v>465</v>
      </c>
      <c r="C150" s="1772"/>
      <c r="D150" s="1772"/>
      <c r="E150" s="1848" t="s">
        <v>530</v>
      </c>
      <c r="F150" s="1849"/>
      <c r="G150" s="1849"/>
      <c r="H150" s="1849"/>
      <c r="I150" s="1849"/>
      <c r="J150" s="1849"/>
      <c r="K150" s="1849"/>
      <c r="L150" s="1850"/>
    </row>
    <row r="151" spans="1:12" ht="15.75">
      <c r="A151" s="287"/>
      <c r="B151" s="1774" t="s">
        <v>441</v>
      </c>
      <c r="C151" s="1682"/>
      <c r="D151" s="1775"/>
      <c r="E151" s="1327">
        <f>'Budget-Restricted MYP'!E151</f>
        <v>389407</v>
      </c>
      <c r="F151" s="1327">
        <f>F24</f>
        <v>148996.03367495324</v>
      </c>
      <c r="G151" s="1327">
        <f>G24</f>
        <v>418200.00000000006</v>
      </c>
      <c r="H151" s="1388">
        <f>IF(E151=0,"",IF(G151=0,"",(G151-E151)/E151))</f>
        <v>7.3940632808347201E-2</v>
      </c>
      <c r="I151" s="1327">
        <f>I24</f>
        <v>645340</v>
      </c>
      <c r="J151" s="1388">
        <f>IF(G151=0,"",IF(I151=0,"",(I151-G151)/G151))</f>
        <v>0.54313725490196052</v>
      </c>
      <c r="K151" s="1371">
        <f>K24</f>
        <v>645340</v>
      </c>
      <c r="L151" s="1389">
        <f>IF(I151=0,"",IF(K151=0,"",(K151-I151)/I151))</f>
        <v>0</v>
      </c>
    </row>
    <row r="152" spans="1:12" ht="15.75">
      <c r="A152" s="287"/>
      <c r="B152" s="1772" t="s">
        <v>442</v>
      </c>
      <c r="C152" s="1772"/>
      <c r="D152" s="1772"/>
      <c r="E152" s="1549">
        <f>'Budget-Restricted MYP'!E152</f>
        <v>0</v>
      </c>
      <c r="F152" s="747"/>
      <c r="G152" s="747"/>
      <c r="H152" s="1550" t="str">
        <f>IF(E152=0,"",IF(G152=0,"",(G152-E152)/E152))</f>
        <v/>
      </c>
      <c r="I152" s="1243"/>
      <c r="J152" s="1388" t="str">
        <f>IF(G152=0,"",IF(I152=0,"",(I152-G152)/G152))</f>
        <v/>
      </c>
      <c r="K152" s="1372"/>
      <c r="L152" s="1389" t="str">
        <f>IF(I152=0,"",IF(K152=0,"",(K152-I152)/I152))</f>
        <v/>
      </c>
    </row>
    <row r="153" spans="1:12" ht="15.75">
      <c r="A153" s="287"/>
      <c r="B153" s="1772" t="s">
        <v>470</v>
      </c>
      <c r="C153" s="1772"/>
      <c r="D153" s="1772"/>
      <c r="E153" s="292">
        <f>'Budget-Restricted MYP'!E153</f>
        <v>0</v>
      </c>
      <c r="F153" s="747"/>
      <c r="G153" s="747"/>
      <c r="H153" s="1551" t="str">
        <f>IF(E153=0,"",IF(G153=0,"",(G153-E153)/E153))</f>
        <v/>
      </c>
      <c r="I153" s="734"/>
      <c r="J153" s="1393" t="str">
        <f>IF(G153=0,"",IF(I153=0,"",(I153-G153)/G153))</f>
        <v/>
      </c>
      <c r="K153" s="741"/>
      <c r="L153" s="1390" t="str">
        <f>IF(I153=0,"",IF(K153=0,"",(K153-I153)/I153))</f>
        <v/>
      </c>
    </row>
    <row r="154" spans="1:12" ht="16.5" thickBot="1">
      <c r="A154" s="287"/>
      <c r="B154" s="147"/>
      <c r="C154" s="1682" t="s">
        <v>443</v>
      </c>
      <c r="D154" s="1775"/>
      <c r="E154" s="1331">
        <f>'Budget-Restricted MYP'!E154</f>
        <v>389407</v>
      </c>
      <c r="F154" s="1331">
        <f>SUM(F151:F153)</f>
        <v>148996.03367495324</v>
      </c>
      <c r="G154" s="1331">
        <f>SUM(G151:G153)</f>
        <v>418200.00000000006</v>
      </c>
      <c r="H154" s="1394">
        <f>IF(E154=0,"",IF(G154=0,"",(G154-E154)/E154))</f>
        <v>7.3940632808347201E-2</v>
      </c>
      <c r="I154" s="1331">
        <f>SUM(I151:I153)</f>
        <v>645340</v>
      </c>
      <c r="J154" s="1394">
        <f>IF(G154=0,"",IF(I154=0,"",(I154-G154)/G154))</f>
        <v>0.54313725490196052</v>
      </c>
      <c r="K154" s="1373">
        <f>SUM(K151:K153)</f>
        <v>645340</v>
      </c>
      <c r="L154" s="1391">
        <f>IF(I154=0,"",IF(K154=0,"",(K154-I154)/I154))</f>
        <v>0</v>
      </c>
    </row>
    <row r="155" spans="1:12" ht="17.25" thickTop="1" thickBot="1">
      <c r="A155" s="288"/>
      <c r="B155" s="1773" t="s">
        <v>444</v>
      </c>
      <c r="C155" s="1773"/>
      <c r="D155" s="1773"/>
      <c r="E155" s="1398">
        <f>'Budget-Restricted MYP'!E155</f>
        <v>0</v>
      </c>
      <c r="F155" s="1273">
        <f>+F37</f>
        <v>192864.74</v>
      </c>
      <c r="G155" s="1273">
        <f>+G37</f>
        <v>1186887.1646524551</v>
      </c>
      <c r="H155" s="1395" t="str">
        <f>IF(E155=0,"",IF(G155=0,"",(G155-E155)/E155))</f>
        <v/>
      </c>
      <c r="I155" s="1273">
        <f>+I37</f>
        <v>1130846.7170849999</v>
      </c>
      <c r="J155" s="1395">
        <f>IF(G155=0,"",IF(I155=0,"",(I155-G155)/G155))</f>
        <v>-4.7216322862388548E-2</v>
      </c>
      <c r="K155" s="1273">
        <f>+K37</f>
        <v>1160637.8321829748</v>
      </c>
      <c r="L155" s="1392">
        <f>IF(I155=0,"",IF(K155=0,"",(K155-I155)/I155))</f>
        <v>2.6344078863993068E-2</v>
      </c>
    </row>
    <row r="156" spans="1:12" ht="15.75">
      <c r="A156" s="2"/>
      <c r="B156" s="2"/>
      <c r="C156" s="2"/>
      <c r="D156" s="2"/>
      <c r="E156" s="2"/>
      <c r="F156" s="32"/>
      <c r="G156" s="32"/>
      <c r="H156" s="2"/>
      <c r="I156" s="32"/>
      <c r="J156" s="2"/>
      <c r="K156" s="32"/>
      <c r="L156" s="2"/>
    </row>
    <row r="157" spans="1:12" ht="15.75">
      <c r="A157" s="2"/>
      <c r="B157" s="2"/>
      <c r="C157" s="2"/>
      <c r="D157" s="2"/>
      <c r="E157" s="2"/>
      <c r="F157" s="32"/>
      <c r="G157" s="32"/>
      <c r="H157" s="2"/>
      <c r="I157" s="32"/>
      <c r="J157" s="2"/>
      <c r="K157" s="32"/>
      <c r="L157" s="2"/>
    </row>
    <row r="158" spans="1:12" ht="15.75">
      <c r="A158" s="2"/>
      <c r="B158" s="2"/>
      <c r="C158" s="2"/>
      <c r="D158" s="2"/>
      <c r="E158" s="2"/>
      <c r="F158" s="32"/>
      <c r="G158" s="32"/>
      <c r="H158" s="2"/>
      <c r="I158" s="32"/>
      <c r="J158" s="2"/>
      <c r="K158" s="32"/>
      <c r="L158" s="2"/>
    </row>
    <row r="159" spans="1:12" ht="15.75">
      <c r="A159" s="2"/>
      <c r="B159" s="2"/>
      <c r="C159" s="2"/>
      <c r="D159" s="2"/>
      <c r="E159" s="2"/>
      <c r="F159" s="32"/>
      <c r="G159" s="32"/>
      <c r="H159" s="2"/>
      <c r="I159" s="32"/>
      <c r="J159" s="2"/>
      <c r="K159" s="32"/>
      <c r="L159" s="2"/>
    </row>
    <row r="160" spans="1:12" ht="15.75">
      <c r="A160" s="2"/>
      <c r="B160" s="2"/>
      <c r="C160" s="2"/>
      <c r="D160" s="2"/>
      <c r="E160" s="2"/>
      <c r="F160" s="32"/>
      <c r="G160" s="32"/>
      <c r="H160" s="2"/>
      <c r="I160" s="32"/>
      <c r="J160" s="2"/>
      <c r="K160" s="32"/>
      <c r="L160" s="2"/>
    </row>
    <row r="161" spans="1:12" ht="15.75">
      <c r="A161" s="2"/>
      <c r="B161" s="2"/>
      <c r="C161" s="2"/>
      <c r="D161" s="2"/>
      <c r="E161" s="2"/>
      <c r="F161" s="32"/>
      <c r="G161" s="32"/>
      <c r="H161" s="2"/>
      <c r="I161" s="32"/>
      <c r="J161" s="2"/>
      <c r="K161" s="32"/>
      <c r="L161" s="2"/>
    </row>
    <row r="162" spans="1:12" ht="15.75">
      <c r="A162" s="2"/>
      <c r="B162" s="2"/>
      <c r="C162" s="2"/>
      <c r="D162" s="2"/>
      <c r="E162" s="2"/>
      <c r="F162" s="32"/>
      <c r="G162" s="32"/>
      <c r="H162" s="2"/>
      <c r="I162" s="32"/>
      <c r="J162" s="2"/>
      <c r="K162" s="32"/>
      <c r="L162" s="2"/>
    </row>
    <row r="163" spans="1:12" ht="15.75">
      <c r="A163" s="2"/>
      <c r="B163" s="2"/>
      <c r="C163" s="2"/>
      <c r="D163" s="2"/>
      <c r="E163" s="2"/>
      <c r="F163" s="32"/>
      <c r="G163" s="32"/>
      <c r="H163" s="2"/>
      <c r="I163" s="32"/>
      <c r="J163" s="2"/>
      <c r="K163" s="32"/>
      <c r="L163" s="2"/>
    </row>
    <row r="164" spans="1:12" ht="15.75">
      <c r="A164" s="2"/>
      <c r="B164" s="2"/>
      <c r="C164" s="2"/>
      <c r="D164" s="2"/>
      <c r="E164" s="2"/>
      <c r="F164" s="32"/>
      <c r="G164" s="32"/>
      <c r="H164" s="2"/>
      <c r="I164" s="32"/>
      <c r="J164" s="2"/>
      <c r="K164" s="32"/>
      <c r="L164" s="2"/>
    </row>
    <row r="165" spans="1:12" ht="15.75">
      <c r="A165" s="2"/>
      <c r="B165" s="2"/>
      <c r="C165" s="2"/>
      <c r="D165" s="2"/>
      <c r="E165" s="2"/>
      <c r="F165" s="32"/>
      <c r="G165" s="32"/>
      <c r="H165" s="2"/>
      <c r="I165" s="32"/>
      <c r="J165" s="2"/>
      <c r="K165" s="32"/>
      <c r="L165" s="2"/>
    </row>
    <row r="166" spans="1:12" ht="15.75">
      <c r="A166" s="2"/>
      <c r="B166" s="2"/>
      <c r="C166" s="2"/>
      <c r="D166" s="2"/>
      <c r="E166" s="2"/>
      <c r="F166" s="32"/>
      <c r="G166" s="32"/>
      <c r="H166" s="2"/>
      <c r="I166" s="32"/>
      <c r="J166" s="2"/>
      <c r="K166" s="32"/>
      <c r="L166" s="2"/>
    </row>
    <row r="167" spans="1:12" ht="15.75">
      <c r="A167" s="2"/>
      <c r="B167" s="2"/>
      <c r="C167" s="2"/>
      <c r="D167" s="2"/>
      <c r="E167" s="2"/>
      <c r="F167" s="32"/>
      <c r="G167" s="32"/>
      <c r="H167" s="2"/>
      <c r="I167" s="32"/>
      <c r="J167" s="2"/>
      <c r="K167" s="32"/>
      <c r="L167" s="2"/>
    </row>
    <row r="168" spans="1:12" ht="15.75">
      <c r="A168" s="2"/>
      <c r="B168" s="2"/>
      <c r="C168" s="2"/>
      <c r="D168" s="2"/>
      <c r="E168" s="2"/>
      <c r="F168" s="32"/>
      <c r="G168" s="32"/>
      <c r="H168" s="2"/>
      <c r="I168" s="32"/>
      <c r="J168" s="2"/>
      <c r="K168" s="32"/>
      <c r="L168" s="2"/>
    </row>
    <row r="169" spans="1:12" ht="15.75">
      <c r="A169" s="2"/>
      <c r="B169" s="2"/>
      <c r="C169" s="2"/>
      <c r="D169" s="2"/>
      <c r="E169" s="2"/>
      <c r="F169" s="32"/>
      <c r="G169" s="32"/>
      <c r="H169" s="2"/>
      <c r="I169" s="32"/>
      <c r="J169" s="2"/>
      <c r="K169" s="32"/>
      <c r="L169" s="2"/>
    </row>
    <row r="170" spans="1:12" ht="15.75">
      <c r="A170" s="2"/>
      <c r="B170" s="2"/>
      <c r="C170" s="2"/>
      <c r="D170" s="2"/>
      <c r="E170" s="2"/>
      <c r="F170" s="32"/>
      <c r="G170" s="32"/>
      <c r="H170" s="2"/>
      <c r="I170" s="32"/>
      <c r="J170" s="2"/>
      <c r="K170" s="32"/>
      <c r="L170" s="2"/>
    </row>
    <row r="171" spans="1:12" ht="15.75">
      <c r="A171" s="2"/>
      <c r="B171" s="2"/>
      <c r="C171" s="2"/>
      <c r="D171" s="2"/>
      <c r="E171" s="2"/>
      <c r="F171" s="32"/>
      <c r="G171" s="32"/>
      <c r="H171" s="2"/>
      <c r="I171" s="32"/>
      <c r="J171" s="2"/>
      <c r="K171" s="32"/>
      <c r="L171" s="2"/>
    </row>
    <row r="172" spans="1:12" ht="15.75">
      <c r="A172" s="2"/>
      <c r="B172" s="2"/>
      <c r="C172" s="2"/>
      <c r="D172" s="2"/>
      <c r="E172" s="2"/>
      <c r="F172" s="32"/>
      <c r="G172" s="32"/>
      <c r="H172" s="2"/>
      <c r="I172" s="32"/>
      <c r="J172" s="2"/>
      <c r="K172" s="32"/>
      <c r="L172" s="2"/>
    </row>
    <row r="173" spans="1:12" ht="15.75">
      <c r="A173" s="2"/>
      <c r="B173" s="2"/>
      <c r="C173" s="2"/>
      <c r="D173" s="2"/>
      <c r="E173" s="2"/>
      <c r="F173" s="32"/>
      <c r="G173" s="32"/>
      <c r="H173" s="2"/>
      <c r="I173" s="32"/>
      <c r="J173" s="2"/>
      <c r="K173" s="32"/>
      <c r="L173" s="2"/>
    </row>
    <row r="174" spans="1:12" ht="15.75">
      <c r="A174" s="2"/>
      <c r="B174" s="2"/>
      <c r="C174" s="2"/>
      <c r="D174" s="2"/>
      <c r="E174" s="2"/>
      <c r="F174" s="32"/>
      <c r="G174" s="32"/>
      <c r="H174" s="2"/>
      <c r="I174" s="32"/>
      <c r="J174" s="2"/>
      <c r="K174" s="32"/>
      <c r="L174" s="2"/>
    </row>
    <row r="175" spans="1:12" ht="15.75">
      <c r="A175" s="2"/>
      <c r="B175" s="2"/>
      <c r="C175" s="2"/>
      <c r="D175" s="2"/>
      <c r="E175" s="2"/>
      <c r="F175" s="32"/>
      <c r="G175" s="32"/>
      <c r="H175" s="2"/>
      <c r="I175" s="32"/>
      <c r="J175" s="2"/>
      <c r="K175" s="32"/>
      <c r="L175" s="2"/>
    </row>
    <row r="176" spans="1:12" ht="15.75">
      <c r="A176" s="2"/>
      <c r="B176" s="2"/>
      <c r="C176" s="2"/>
      <c r="D176" s="2"/>
      <c r="E176" s="2"/>
      <c r="F176" s="32"/>
      <c r="G176" s="32"/>
      <c r="H176" s="2"/>
      <c r="I176" s="32"/>
      <c r="J176" s="2"/>
      <c r="K176" s="32"/>
      <c r="L176" s="2"/>
    </row>
    <row r="177" spans="1:12" ht="15.75">
      <c r="A177" s="2"/>
      <c r="B177" s="2"/>
      <c r="C177" s="2"/>
      <c r="D177" s="2"/>
      <c r="E177" s="2"/>
      <c r="F177" s="32"/>
      <c r="G177" s="32"/>
      <c r="H177" s="2"/>
      <c r="I177" s="32"/>
      <c r="J177" s="2"/>
      <c r="K177" s="32"/>
      <c r="L177" s="2"/>
    </row>
    <row r="178" spans="1:12" ht="15.75">
      <c r="A178" s="2"/>
      <c r="B178" s="2"/>
      <c r="C178" s="2"/>
      <c r="D178" s="2"/>
      <c r="E178" s="2"/>
      <c r="F178" s="32"/>
      <c r="G178" s="32"/>
      <c r="H178" s="2"/>
      <c r="I178" s="32"/>
      <c r="J178" s="2"/>
      <c r="K178" s="32"/>
      <c r="L178" s="2"/>
    </row>
    <row r="179" spans="1:12" ht="15.75">
      <c r="A179" s="2"/>
      <c r="B179" s="2"/>
      <c r="C179" s="2"/>
      <c r="D179" s="2"/>
      <c r="E179" s="2"/>
      <c r="F179" s="32"/>
      <c r="G179" s="32"/>
      <c r="H179" s="2"/>
      <c r="I179" s="32"/>
      <c r="J179" s="2"/>
      <c r="K179" s="32"/>
      <c r="L179" s="2"/>
    </row>
    <row r="180" spans="1:12" ht="15.75">
      <c r="A180" s="2"/>
      <c r="B180" s="2"/>
      <c r="C180" s="2"/>
      <c r="D180" s="2"/>
      <c r="E180" s="2"/>
      <c r="F180" s="32"/>
      <c r="G180" s="32"/>
      <c r="H180" s="2"/>
      <c r="I180" s="32"/>
      <c r="J180" s="2"/>
      <c r="K180" s="32"/>
      <c r="L180" s="2"/>
    </row>
    <row r="181" spans="1:12" ht="15.75">
      <c r="A181" s="2"/>
      <c r="B181" s="2"/>
      <c r="C181" s="2"/>
      <c r="D181" s="2"/>
      <c r="E181" s="2"/>
      <c r="F181" s="32"/>
      <c r="G181" s="32"/>
      <c r="H181" s="2"/>
      <c r="I181" s="32"/>
      <c r="J181" s="2"/>
      <c r="K181" s="32"/>
      <c r="L181" s="2"/>
    </row>
    <row r="182" spans="1:12" ht="15.75">
      <c r="A182" s="2"/>
      <c r="B182" s="2"/>
      <c r="C182" s="2"/>
      <c r="D182" s="2"/>
      <c r="E182" s="2"/>
      <c r="F182" s="32"/>
      <c r="G182" s="32"/>
      <c r="H182" s="2"/>
      <c r="I182" s="32"/>
      <c r="J182" s="2"/>
      <c r="K182" s="32"/>
      <c r="L182" s="2"/>
    </row>
    <row r="183" spans="1:12" ht="15.75">
      <c r="A183" s="2"/>
      <c r="B183" s="2"/>
      <c r="C183" s="2"/>
      <c r="D183" s="2"/>
      <c r="E183" s="2"/>
      <c r="F183" s="32"/>
      <c r="G183" s="32"/>
      <c r="H183" s="2"/>
      <c r="I183" s="32"/>
      <c r="J183" s="2"/>
      <c r="K183" s="32"/>
      <c r="L183" s="2"/>
    </row>
    <row r="184" spans="1:12" ht="15.75">
      <c r="A184" s="2"/>
      <c r="B184" s="2"/>
      <c r="C184" s="2"/>
      <c r="D184" s="2"/>
      <c r="E184" s="2"/>
      <c r="F184" s="32"/>
      <c r="G184" s="32"/>
      <c r="H184" s="2"/>
      <c r="I184" s="32"/>
      <c r="J184" s="2"/>
      <c r="K184" s="32"/>
      <c r="L184" s="2"/>
    </row>
    <row r="185" spans="1:12" ht="15.75">
      <c r="A185" s="2"/>
      <c r="B185" s="2"/>
      <c r="C185" s="2"/>
      <c r="D185" s="2"/>
      <c r="E185" s="2"/>
      <c r="F185" s="32"/>
      <c r="G185" s="32"/>
      <c r="H185" s="2"/>
      <c r="I185" s="32"/>
      <c r="J185" s="2"/>
      <c r="K185" s="32"/>
      <c r="L185" s="2"/>
    </row>
    <row r="186" spans="1:12" ht="15.75">
      <c r="A186" s="2"/>
      <c r="B186" s="2"/>
      <c r="C186" s="2"/>
      <c r="D186" s="2"/>
      <c r="E186" s="2"/>
      <c r="F186" s="32"/>
      <c r="G186" s="32"/>
      <c r="H186" s="2"/>
      <c r="I186" s="32"/>
      <c r="J186" s="2"/>
      <c r="K186" s="32"/>
      <c r="L186" s="2"/>
    </row>
    <row r="187" spans="1:12" ht="15.75">
      <c r="A187" s="2"/>
      <c r="B187" s="2"/>
      <c r="C187" s="2"/>
      <c r="D187" s="2"/>
      <c r="E187" s="2"/>
      <c r="F187" s="32"/>
      <c r="G187" s="32"/>
      <c r="H187" s="2"/>
      <c r="I187" s="32"/>
      <c r="J187" s="2"/>
      <c r="K187" s="32"/>
      <c r="L187" s="2"/>
    </row>
    <row r="188" spans="1:12" ht="15.75">
      <c r="A188" s="2"/>
      <c r="B188" s="2"/>
      <c r="C188" s="2"/>
      <c r="D188" s="2"/>
      <c r="E188" s="2"/>
      <c r="F188" s="32"/>
      <c r="G188" s="32"/>
      <c r="H188" s="2"/>
      <c r="I188" s="32"/>
      <c r="J188" s="2"/>
      <c r="K188" s="32"/>
      <c r="L188" s="2"/>
    </row>
    <row r="189" spans="1:12" ht="15.75">
      <c r="A189" s="2"/>
      <c r="B189" s="2"/>
      <c r="C189" s="2"/>
      <c r="D189" s="2"/>
      <c r="E189" s="2"/>
      <c r="F189" s="32"/>
      <c r="G189" s="32"/>
      <c r="H189" s="2"/>
      <c r="I189" s="32"/>
      <c r="J189" s="2"/>
      <c r="K189" s="32"/>
      <c r="L189" s="2"/>
    </row>
    <row r="190" spans="1:12" ht="15.75">
      <c r="A190" s="2"/>
      <c r="B190" s="2"/>
      <c r="C190" s="2"/>
      <c r="D190" s="2"/>
      <c r="E190" s="2"/>
      <c r="F190" s="32"/>
      <c r="G190" s="32"/>
      <c r="H190" s="2"/>
      <c r="I190" s="32"/>
      <c r="J190" s="2"/>
      <c r="K190" s="32"/>
      <c r="L190" s="2"/>
    </row>
    <row r="191" spans="1:12" ht="15.75">
      <c r="A191" s="2"/>
      <c r="B191" s="2"/>
      <c r="C191" s="2"/>
      <c r="D191" s="2"/>
      <c r="E191" s="2"/>
      <c r="F191" s="32"/>
      <c r="G191" s="32"/>
      <c r="H191" s="2"/>
      <c r="I191" s="32"/>
      <c r="J191" s="2"/>
      <c r="K191" s="32"/>
      <c r="L191" s="2"/>
    </row>
    <row r="192" spans="1:12" ht="15.75">
      <c r="A192" s="2"/>
      <c r="B192" s="2"/>
      <c r="C192" s="2"/>
      <c r="D192" s="2"/>
      <c r="E192" s="2"/>
      <c r="F192" s="32"/>
      <c r="G192" s="32"/>
      <c r="H192" s="2"/>
      <c r="I192" s="32"/>
      <c r="J192" s="2"/>
      <c r="K192" s="32"/>
      <c r="L192" s="2"/>
    </row>
    <row r="193" spans="1:12" ht="15.75">
      <c r="A193" s="2"/>
      <c r="B193" s="2"/>
      <c r="C193" s="2"/>
      <c r="D193" s="2"/>
      <c r="E193" s="2"/>
      <c r="F193" s="32"/>
      <c r="G193" s="32"/>
      <c r="H193" s="2"/>
      <c r="I193" s="32"/>
      <c r="J193" s="2"/>
      <c r="K193" s="32"/>
      <c r="L193" s="2"/>
    </row>
    <row r="194" spans="1:12" ht="15.75">
      <c r="A194" s="2"/>
      <c r="B194" s="2"/>
      <c r="C194" s="2"/>
      <c r="D194" s="2"/>
      <c r="E194" s="2"/>
      <c r="F194" s="32"/>
      <c r="G194" s="32"/>
      <c r="H194" s="2"/>
      <c r="I194" s="32"/>
      <c r="J194" s="2"/>
      <c r="K194" s="32"/>
      <c r="L194" s="2"/>
    </row>
    <row r="195" spans="1:12" ht="15.75">
      <c r="A195" s="2"/>
      <c r="B195" s="2"/>
      <c r="C195" s="2"/>
      <c r="D195" s="2"/>
      <c r="E195" s="2"/>
      <c r="F195" s="32"/>
      <c r="G195" s="32"/>
      <c r="H195" s="2"/>
      <c r="I195" s="32"/>
      <c r="J195" s="2"/>
      <c r="K195" s="32"/>
      <c r="L195" s="2"/>
    </row>
    <row r="196" spans="1:12" ht="15.75">
      <c r="A196" s="2"/>
      <c r="B196" s="2"/>
      <c r="C196" s="2"/>
      <c r="D196" s="2"/>
      <c r="E196" s="2"/>
      <c r="F196" s="32"/>
      <c r="G196" s="32"/>
      <c r="H196" s="2"/>
      <c r="I196" s="32"/>
      <c r="J196" s="2"/>
      <c r="K196" s="32"/>
      <c r="L196" s="2"/>
    </row>
    <row r="197" spans="1:12" ht="15.75">
      <c r="A197" s="2"/>
      <c r="B197" s="2"/>
      <c r="C197" s="2"/>
      <c r="D197" s="2"/>
      <c r="E197" s="2"/>
      <c r="F197" s="32"/>
      <c r="G197" s="32"/>
      <c r="H197" s="2"/>
      <c r="I197" s="32"/>
      <c r="J197" s="2"/>
      <c r="K197" s="32"/>
      <c r="L197" s="2"/>
    </row>
    <row r="198" spans="1:12" ht="15.75">
      <c r="A198" s="2"/>
      <c r="B198" s="2"/>
      <c r="C198" s="2"/>
      <c r="D198" s="2"/>
      <c r="E198" s="2"/>
      <c r="F198" s="32"/>
      <c r="G198" s="32"/>
      <c r="H198" s="2"/>
      <c r="I198" s="32"/>
      <c r="J198" s="2"/>
      <c r="K198" s="32"/>
      <c r="L198" s="2"/>
    </row>
    <row r="199" spans="1:12" ht="15.75">
      <c r="A199" s="2"/>
      <c r="B199" s="2"/>
      <c r="C199" s="2"/>
      <c r="D199" s="2"/>
      <c r="E199" s="2"/>
      <c r="F199" s="32"/>
      <c r="G199" s="32"/>
      <c r="H199" s="2"/>
      <c r="I199" s="32"/>
      <c r="J199" s="2"/>
      <c r="K199" s="32"/>
      <c r="L199" s="2"/>
    </row>
    <row r="200" spans="1:12" ht="15.75">
      <c r="A200" s="2"/>
      <c r="B200" s="2"/>
      <c r="C200" s="2"/>
      <c r="D200" s="2"/>
      <c r="E200" s="2"/>
      <c r="F200" s="32"/>
      <c r="G200" s="32"/>
      <c r="H200" s="2"/>
      <c r="I200" s="32"/>
      <c r="J200" s="2"/>
      <c r="K200" s="32"/>
      <c r="L200" s="2"/>
    </row>
    <row r="201" spans="1:12" ht="15.75">
      <c r="A201" s="2"/>
      <c r="B201" s="2"/>
      <c r="C201" s="2"/>
      <c r="D201" s="2"/>
      <c r="E201" s="2"/>
      <c r="F201" s="32"/>
      <c r="G201" s="32"/>
      <c r="H201" s="2"/>
      <c r="I201" s="32"/>
      <c r="J201" s="2"/>
      <c r="K201" s="32"/>
      <c r="L201" s="2"/>
    </row>
    <row r="202" spans="1:12" ht="15.75">
      <c r="A202" s="2"/>
      <c r="B202" s="2"/>
      <c r="C202" s="2"/>
      <c r="D202" s="2"/>
      <c r="E202" s="2"/>
      <c r="F202" s="32"/>
      <c r="G202" s="32"/>
      <c r="H202" s="2"/>
      <c r="I202" s="32"/>
      <c r="J202" s="2"/>
      <c r="K202" s="32"/>
      <c r="L202" s="2"/>
    </row>
    <row r="203" spans="1:12" ht="15.75">
      <c r="A203" s="2"/>
      <c r="B203" s="2"/>
      <c r="C203" s="2"/>
      <c r="D203" s="2"/>
      <c r="E203" s="2"/>
      <c r="F203" s="32"/>
      <c r="G203" s="32"/>
      <c r="H203" s="2"/>
      <c r="I203" s="32"/>
      <c r="J203" s="2"/>
      <c r="K203" s="32"/>
      <c r="L203" s="2"/>
    </row>
    <row r="204" spans="1:12" ht="15.75">
      <c r="A204" s="2"/>
      <c r="B204" s="2"/>
      <c r="C204" s="2"/>
      <c r="D204" s="2"/>
      <c r="E204" s="2"/>
      <c r="F204" s="32"/>
      <c r="G204" s="32"/>
      <c r="H204" s="2"/>
      <c r="I204" s="32"/>
      <c r="J204" s="2"/>
      <c r="K204" s="32"/>
      <c r="L204" s="2"/>
    </row>
    <row r="205" spans="1:12" ht="15.75">
      <c r="A205" s="2"/>
      <c r="B205" s="2"/>
      <c r="C205" s="2"/>
      <c r="D205" s="2"/>
      <c r="E205" s="2"/>
      <c r="F205" s="32"/>
      <c r="G205" s="32"/>
      <c r="H205" s="2"/>
      <c r="I205" s="32"/>
      <c r="J205" s="2"/>
      <c r="K205" s="32"/>
      <c r="L205" s="2"/>
    </row>
    <row r="206" spans="1:12" ht="15.75">
      <c r="A206" s="2"/>
      <c r="B206" s="2"/>
      <c r="C206" s="2"/>
      <c r="D206" s="2"/>
      <c r="E206" s="2"/>
      <c r="F206" s="32"/>
      <c r="G206" s="32"/>
      <c r="H206" s="2"/>
      <c r="I206" s="32"/>
      <c r="J206" s="2"/>
      <c r="K206" s="32"/>
      <c r="L206" s="2"/>
    </row>
    <row r="207" spans="1:12" ht="15.75">
      <c r="A207" s="2"/>
      <c r="B207" s="2"/>
      <c r="C207" s="2"/>
      <c r="D207" s="2"/>
      <c r="E207" s="2"/>
      <c r="F207" s="32"/>
      <c r="G207" s="32"/>
      <c r="H207" s="2"/>
      <c r="I207" s="32"/>
      <c r="J207" s="2"/>
      <c r="K207" s="32"/>
      <c r="L207" s="2"/>
    </row>
    <row r="208" spans="1:12" ht="15.75">
      <c r="A208" s="2"/>
      <c r="B208" s="2"/>
      <c r="C208" s="2"/>
      <c r="D208" s="2"/>
      <c r="E208" s="2"/>
      <c r="F208" s="32"/>
      <c r="G208" s="32"/>
      <c r="H208" s="2"/>
      <c r="I208" s="32"/>
      <c r="J208" s="2"/>
      <c r="K208" s="32"/>
      <c r="L208" s="2"/>
    </row>
    <row r="209" spans="1:12" ht="15.75">
      <c r="A209" s="2"/>
      <c r="B209" s="2"/>
      <c r="C209" s="2"/>
      <c r="D209" s="2"/>
      <c r="E209" s="2"/>
      <c r="F209" s="32"/>
      <c r="G209" s="32"/>
      <c r="H209" s="2"/>
      <c r="I209" s="32"/>
      <c r="J209" s="2"/>
      <c r="K209" s="32"/>
      <c r="L209" s="2"/>
    </row>
    <row r="210" spans="1:12" ht="15.75">
      <c r="A210" s="2"/>
      <c r="B210" s="2"/>
      <c r="C210" s="2"/>
      <c r="D210" s="2"/>
      <c r="E210" s="2"/>
      <c r="F210" s="32"/>
      <c r="G210" s="32"/>
      <c r="H210" s="2"/>
      <c r="I210" s="32"/>
      <c r="J210" s="2"/>
      <c r="K210" s="32"/>
      <c r="L210" s="2"/>
    </row>
    <row r="211" spans="1:12" ht="15.75">
      <c r="A211" s="2"/>
      <c r="B211" s="2"/>
      <c r="C211" s="2"/>
      <c r="D211" s="2"/>
      <c r="E211" s="2"/>
      <c r="F211" s="32"/>
      <c r="G211" s="32"/>
      <c r="H211" s="2"/>
      <c r="I211" s="32"/>
      <c r="J211" s="2"/>
      <c r="K211" s="32"/>
      <c r="L211" s="2"/>
    </row>
    <row r="212" spans="1:12" ht="15.75">
      <c r="A212" s="2"/>
      <c r="B212" s="2"/>
      <c r="C212" s="2"/>
      <c r="D212" s="2"/>
      <c r="E212" s="2"/>
      <c r="F212" s="32"/>
      <c r="G212" s="32"/>
      <c r="H212" s="2"/>
      <c r="I212" s="32"/>
      <c r="J212" s="2"/>
      <c r="K212" s="32"/>
      <c r="L212" s="2"/>
    </row>
    <row r="213" spans="1:12" ht="15.75">
      <c r="A213" s="2"/>
      <c r="B213" s="2"/>
      <c r="C213" s="2"/>
      <c r="D213" s="2"/>
      <c r="E213" s="2"/>
      <c r="F213" s="32"/>
      <c r="G213" s="32"/>
      <c r="H213" s="2"/>
      <c r="I213" s="32"/>
      <c r="J213" s="2"/>
      <c r="K213" s="32"/>
      <c r="L213" s="2"/>
    </row>
    <row r="214" spans="1:12" ht="15.75">
      <c r="A214" s="2"/>
      <c r="B214" s="2"/>
      <c r="C214" s="2"/>
      <c r="D214" s="2"/>
      <c r="E214" s="2"/>
      <c r="F214" s="32"/>
      <c r="G214" s="32"/>
      <c r="H214" s="2"/>
      <c r="I214" s="32"/>
      <c r="J214" s="2"/>
      <c r="K214" s="32"/>
      <c r="L214" s="2"/>
    </row>
    <row r="215" spans="1:12" ht="15.75">
      <c r="A215" s="2"/>
      <c r="B215" s="2"/>
      <c r="C215" s="2"/>
      <c r="D215" s="2"/>
      <c r="E215" s="2"/>
      <c r="F215" s="32"/>
      <c r="G215" s="32"/>
      <c r="H215" s="2"/>
      <c r="I215" s="32"/>
      <c r="J215" s="2"/>
      <c r="K215" s="32"/>
      <c r="L215" s="2"/>
    </row>
    <row r="216" spans="1:12" ht="15.75">
      <c r="A216" s="2"/>
      <c r="B216" s="2"/>
      <c r="C216" s="2"/>
      <c r="D216" s="2"/>
      <c r="E216" s="2"/>
      <c r="F216" s="32"/>
      <c r="G216" s="32"/>
      <c r="H216" s="2"/>
      <c r="I216" s="32"/>
      <c r="J216" s="2"/>
      <c r="K216" s="32"/>
      <c r="L216" s="2"/>
    </row>
    <row r="217" spans="1:12" ht="15.75">
      <c r="A217" s="2"/>
      <c r="B217" s="2"/>
      <c r="C217" s="2"/>
      <c r="D217" s="2"/>
      <c r="E217" s="2"/>
      <c r="F217" s="32"/>
      <c r="G217" s="32"/>
      <c r="H217" s="2"/>
      <c r="I217" s="32"/>
      <c r="J217" s="2"/>
      <c r="K217" s="32"/>
      <c r="L217" s="2"/>
    </row>
    <row r="218" spans="1:12" ht="15.75">
      <c r="A218" s="2"/>
      <c r="B218" s="2"/>
      <c r="C218" s="2"/>
      <c r="D218" s="2"/>
      <c r="E218" s="2"/>
      <c r="F218" s="32"/>
      <c r="G218" s="32"/>
      <c r="H218" s="2"/>
      <c r="I218" s="32"/>
      <c r="J218" s="2"/>
      <c r="K218" s="32"/>
      <c r="L218" s="2"/>
    </row>
    <row r="219" spans="1:12" ht="15.75">
      <c r="A219" s="2"/>
      <c r="B219" s="2"/>
      <c r="C219" s="2"/>
      <c r="D219" s="2"/>
      <c r="E219" s="2"/>
      <c r="F219" s="32"/>
      <c r="G219" s="32"/>
      <c r="H219" s="2"/>
      <c r="I219" s="32"/>
      <c r="J219" s="2"/>
      <c r="K219" s="32"/>
      <c r="L219" s="2"/>
    </row>
    <row r="220" spans="1:12" ht="15.75">
      <c r="A220" s="2"/>
      <c r="B220" s="2"/>
      <c r="C220" s="2"/>
      <c r="D220" s="2"/>
      <c r="E220" s="2"/>
      <c r="F220" s="32"/>
      <c r="G220" s="32"/>
      <c r="H220" s="2"/>
      <c r="I220" s="32"/>
      <c r="J220" s="2"/>
      <c r="K220" s="32"/>
      <c r="L220" s="2"/>
    </row>
    <row r="221" spans="1:12" ht="15.75">
      <c r="A221" s="2"/>
      <c r="B221" s="2"/>
      <c r="C221" s="2"/>
      <c r="D221" s="2"/>
      <c r="E221" s="2"/>
      <c r="F221" s="32"/>
      <c r="G221" s="32"/>
      <c r="H221" s="2"/>
      <c r="I221" s="32"/>
      <c r="J221" s="2"/>
      <c r="K221" s="32"/>
      <c r="L221" s="2"/>
    </row>
    <row r="222" spans="1:12" ht="15.75">
      <c r="A222" s="2"/>
      <c r="B222" s="2"/>
      <c r="C222" s="2"/>
      <c r="D222" s="2"/>
      <c r="E222" s="2"/>
      <c r="F222" s="32"/>
      <c r="G222" s="32"/>
      <c r="H222" s="2"/>
      <c r="I222" s="32"/>
      <c r="J222" s="2"/>
      <c r="K222" s="32"/>
      <c r="L222" s="2"/>
    </row>
    <row r="223" spans="1:12" ht="15.75">
      <c r="A223" s="2"/>
      <c r="B223" s="2"/>
      <c r="C223" s="2"/>
      <c r="D223" s="2"/>
      <c r="E223" s="2"/>
      <c r="F223" s="32"/>
      <c r="G223" s="32"/>
      <c r="H223" s="2"/>
      <c r="I223" s="32"/>
      <c r="J223" s="2"/>
      <c r="K223" s="32"/>
      <c r="L223" s="2"/>
    </row>
    <row r="224" spans="1:12" ht="15.75">
      <c r="A224" s="2"/>
      <c r="B224" s="2"/>
      <c r="C224" s="2"/>
      <c r="D224" s="2"/>
      <c r="E224" s="2"/>
      <c r="F224" s="32"/>
      <c r="G224" s="32"/>
      <c r="H224" s="2"/>
      <c r="I224" s="32"/>
      <c r="J224" s="2"/>
      <c r="K224" s="32"/>
      <c r="L224" s="2"/>
    </row>
    <row r="225" spans="1:12" ht="15.75">
      <c r="A225" s="2"/>
      <c r="B225" s="2"/>
      <c r="C225" s="2"/>
      <c r="D225" s="2"/>
      <c r="E225" s="2"/>
      <c r="F225" s="32"/>
      <c r="G225" s="32"/>
      <c r="H225" s="2"/>
      <c r="I225" s="32"/>
      <c r="J225" s="2"/>
      <c r="K225" s="32"/>
      <c r="L225" s="2"/>
    </row>
    <row r="226" spans="1:12" ht="15.75">
      <c r="A226" s="2"/>
      <c r="B226" s="2"/>
      <c r="C226" s="2"/>
      <c r="D226" s="2"/>
      <c r="E226" s="2"/>
      <c r="F226" s="32"/>
      <c r="G226" s="32"/>
      <c r="H226" s="2"/>
      <c r="I226" s="32"/>
      <c r="J226" s="2"/>
      <c r="K226" s="32"/>
      <c r="L226" s="2"/>
    </row>
    <row r="227" spans="1:12" ht="15.75">
      <c r="A227" s="2"/>
      <c r="B227" s="2"/>
      <c r="C227" s="2"/>
      <c r="D227" s="2"/>
      <c r="E227" s="2"/>
      <c r="F227" s="32"/>
      <c r="G227" s="32"/>
      <c r="H227" s="2"/>
      <c r="I227" s="32"/>
      <c r="J227" s="2"/>
      <c r="K227" s="32"/>
      <c r="L227" s="2"/>
    </row>
    <row r="228" spans="1:12" ht="15.75">
      <c r="A228" s="2"/>
      <c r="B228" s="2"/>
      <c r="C228" s="2"/>
      <c r="D228" s="2"/>
      <c r="E228" s="2"/>
      <c r="F228" s="32"/>
      <c r="G228" s="32"/>
      <c r="H228" s="2"/>
      <c r="I228" s="32"/>
      <c r="J228" s="2"/>
      <c r="K228" s="32"/>
      <c r="L228" s="2"/>
    </row>
    <row r="229" spans="1:12" ht="15.75">
      <c r="A229" s="2"/>
      <c r="B229" s="2"/>
      <c r="C229" s="2"/>
      <c r="D229" s="2"/>
      <c r="E229" s="2"/>
      <c r="F229" s="32"/>
      <c r="G229" s="32"/>
      <c r="H229" s="2"/>
      <c r="I229" s="32"/>
      <c r="J229" s="2"/>
      <c r="K229" s="32"/>
      <c r="L229" s="2"/>
    </row>
    <row r="230" spans="1:12" ht="15.75">
      <c r="A230" s="2"/>
      <c r="B230" s="2"/>
      <c r="C230" s="2"/>
      <c r="D230" s="2"/>
      <c r="E230" s="2"/>
      <c r="F230" s="32"/>
      <c r="G230" s="32"/>
      <c r="H230" s="2"/>
      <c r="I230" s="32"/>
      <c r="J230" s="2"/>
      <c r="K230" s="32"/>
      <c r="L230" s="2"/>
    </row>
    <row r="231" spans="1:12" ht="15.75">
      <c r="A231" s="2"/>
      <c r="B231" s="2"/>
      <c r="C231" s="2"/>
      <c r="D231" s="2"/>
      <c r="E231" s="2"/>
      <c r="F231" s="32"/>
      <c r="G231" s="32"/>
      <c r="H231" s="2"/>
      <c r="I231" s="32"/>
      <c r="J231" s="2"/>
      <c r="K231" s="32"/>
      <c r="L231" s="2"/>
    </row>
    <row r="232" spans="1:12" ht="15.75">
      <c r="A232" s="2"/>
      <c r="B232" s="2"/>
      <c r="C232" s="2"/>
      <c r="D232" s="2"/>
      <c r="E232" s="2"/>
      <c r="F232" s="32"/>
      <c r="G232" s="32"/>
      <c r="H232" s="2"/>
      <c r="I232" s="32"/>
      <c r="J232" s="2"/>
      <c r="K232" s="32"/>
      <c r="L232" s="2"/>
    </row>
    <row r="233" spans="1:12" ht="15.75">
      <c r="A233" s="2"/>
      <c r="B233" s="2"/>
      <c r="C233" s="2"/>
      <c r="D233" s="2"/>
      <c r="E233" s="2"/>
      <c r="F233" s="32"/>
      <c r="G233" s="32"/>
      <c r="H233" s="2"/>
      <c r="I233" s="32"/>
      <c r="J233" s="2"/>
      <c r="K233" s="32"/>
      <c r="L233" s="2"/>
    </row>
    <row r="234" spans="1:12" ht="15.75">
      <c r="A234" s="2"/>
      <c r="B234" s="2"/>
      <c r="C234" s="2"/>
      <c r="D234" s="2"/>
      <c r="E234" s="2"/>
      <c r="F234" s="32"/>
      <c r="G234" s="32"/>
      <c r="H234" s="2"/>
      <c r="I234" s="32"/>
      <c r="J234" s="2"/>
      <c r="K234" s="32"/>
      <c r="L234" s="2"/>
    </row>
    <row r="235" spans="1:12" ht="15.75">
      <c r="A235" s="2"/>
      <c r="B235" s="2"/>
      <c r="C235" s="2"/>
      <c r="D235" s="2"/>
      <c r="E235" s="2"/>
      <c r="F235" s="32"/>
      <c r="G235" s="32"/>
      <c r="H235" s="2"/>
      <c r="I235" s="32"/>
      <c r="J235" s="2"/>
      <c r="K235" s="32"/>
      <c r="L235" s="2"/>
    </row>
    <row r="236" spans="1:12" ht="15.75">
      <c r="A236" s="2"/>
      <c r="B236" s="2"/>
      <c r="C236" s="2"/>
      <c r="D236" s="2"/>
      <c r="E236" s="2"/>
      <c r="F236" s="32"/>
      <c r="G236" s="32"/>
      <c r="H236" s="2"/>
      <c r="I236" s="32"/>
      <c r="J236" s="2"/>
      <c r="K236" s="32"/>
      <c r="L236" s="2"/>
    </row>
    <row r="237" spans="1:12" ht="15.75">
      <c r="A237" s="2"/>
      <c r="B237" s="2"/>
      <c r="C237" s="2"/>
      <c r="D237" s="2"/>
      <c r="E237" s="2"/>
      <c r="F237" s="32"/>
      <c r="G237" s="32"/>
      <c r="H237" s="2"/>
      <c r="I237" s="32"/>
      <c r="J237" s="2"/>
      <c r="K237" s="32"/>
      <c r="L237" s="2"/>
    </row>
    <row r="238" spans="1:12" ht="15.75">
      <c r="A238" s="2"/>
      <c r="B238" s="2"/>
      <c r="C238" s="2"/>
      <c r="D238" s="2"/>
      <c r="E238" s="2"/>
      <c r="F238" s="32"/>
      <c r="G238" s="32"/>
      <c r="H238" s="2"/>
      <c r="I238" s="32"/>
      <c r="J238" s="2"/>
      <c r="K238" s="32"/>
      <c r="L238" s="2"/>
    </row>
    <row r="239" spans="1:12" ht="15.75">
      <c r="A239" s="2"/>
      <c r="B239" s="2"/>
      <c r="C239" s="2"/>
      <c r="D239" s="2"/>
      <c r="E239" s="2"/>
      <c r="F239" s="32"/>
      <c r="G239" s="32"/>
      <c r="H239" s="2"/>
      <c r="I239" s="32"/>
      <c r="J239" s="2"/>
      <c r="K239" s="32"/>
      <c r="L239" s="2"/>
    </row>
    <row r="240" spans="1:12" ht="15.75">
      <c r="A240" s="2"/>
      <c r="B240" s="2"/>
      <c r="C240" s="2"/>
      <c r="D240" s="2"/>
      <c r="E240" s="2"/>
      <c r="F240" s="32"/>
      <c r="G240" s="32"/>
      <c r="H240" s="2"/>
      <c r="I240" s="32"/>
      <c r="J240" s="2"/>
      <c r="K240" s="32"/>
      <c r="L240" s="2"/>
    </row>
    <row r="241" spans="1:7" ht="15.75">
      <c r="A241" s="2"/>
      <c r="B241" s="2"/>
      <c r="C241" s="2"/>
      <c r="D241" s="2"/>
      <c r="E241" s="2"/>
      <c r="F241" s="32"/>
      <c r="G241" s="32"/>
    </row>
    <row r="242" spans="1:7" ht="15.75">
      <c r="A242" s="2"/>
      <c r="B242" s="2"/>
      <c r="C242" s="2"/>
      <c r="D242" s="2"/>
      <c r="E242" s="2"/>
      <c r="F242" s="32"/>
      <c r="G242" s="32"/>
    </row>
    <row r="243" spans="1:7" ht="15.75">
      <c r="A243" s="2"/>
      <c r="B243" s="2"/>
      <c r="C243" s="2"/>
      <c r="D243" s="2"/>
      <c r="E243" s="2"/>
      <c r="F243" s="32"/>
      <c r="G243" s="32"/>
    </row>
    <row r="244" spans="1:7" ht="15.75">
      <c r="A244" s="2"/>
      <c r="B244" s="2"/>
      <c r="C244" s="2"/>
      <c r="D244" s="2"/>
      <c r="E244" s="2"/>
      <c r="F244" s="32"/>
      <c r="G244" s="32"/>
    </row>
    <row r="245" spans="1:7" ht="15.75">
      <c r="A245" s="2"/>
      <c r="B245" s="2"/>
      <c r="C245" s="2"/>
      <c r="D245" s="2"/>
      <c r="E245" s="2"/>
      <c r="F245" s="32"/>
      <c r="G245" s="32"/>
    </row>
    <row r="246" spans="1:7" ht="15.75">
      <c r="A246" s="2"/>
      <c r="B246" s="2"/>
      <c r="C246" s="2"/>
      <c r="D246" s="2"/>
      <c r="E246" s="2"/>
      <c r="F246" s="32"/>
      <c r="G246" s="32"/>
    </row>
    <row r="247" spans="1:7" ht="15.75">
      <c r="A247" s="2"/>
      <c r="B247" s="2"/>
      <c r="C247" s="2"/>
      <c r="D247" s="2"/>
      <c r="E247" s="2"/>
      <c r="F247" s="32"/>
      <c r="G247" s="32"/>
    </row>
    <row r="248" spans="1:7" ht="15.75">
      <c r="A248" s="2"/>
      <c r="B248" s="2"/>
      <c r="C248" s="2"/>
      <c r="D248" s="2"/>
      <c r="E248" s="2"/>
      <c r="F248" s="32"/>
      <c r="G248" s="32"/>
    </row>
    <row r="249" spans="1:7" ht="15.75">
      <c r="A249" s="2"/>
      <c r="B249" s="2"/>
      <c r="C249" s="2"/>
      <c r="D249" s="2"/>
      <c r="E249" s="2"/>
      <c r="F249" s="32"/>
      <c r="G249" s="32"/>
    </row>
    <row r="250" spans="1:7" ht="15.75">
      <c r="A250" s="2"/>
      <c r="B250" s="2"/>
      <c r="C250" s="2"/>
      <c r="D250" s="2"/>
      <c r="E250" s="2"/>
      <c r="F250" s="32"/>
      <c r="G250" s="32"/>
    </row>
    <row r="251" spans="1:7" ht="15.75">
      <c r="A251" s="2"/>
      <c r="B251" s="2"/>
      <c r="C251" s="2"/>
      <c r="D251" s="2"/>
      <c r="E251" s="2"/>
      <c r="F251" s="32"/>
      <c r="G251" s="32"/>
    </row>
    <row r="252" spans="1:7" ht="15.75">
      <c r="A252" s="2"/>
      <c r="B252" s="2"/>
      <c r="C252" s="2"/>
      <c r="D252" s="2"/>
      <c r="E252" s="2"/>
      <c r="F252" s="32"/>
      <c r="G252" s="32"/>
    </row>
    <row r="253" spans="1:7" ht="15.75">
      <c r="A253" s="2"/>
      <c r="B253" s="2"/>
      <c r="C253" s="2"/>
      <c r="D253" s="2"/>
      <c r="E253" s="2"/>
      <c r="F253" s="32"/>
      <c r="G253" s="32"/>
    </row>
    <row r="254" spans="1:7" ht="15.75">
      <c r="A254" s="2"/>
      <c r="B254" s="2"/>
      <c r="C254" s="2"/>
      <c r="D254" s="2"/>
      <c r="E254" s="2"/>
      <c r="F254" s="32"/>
      <c r="G254" s="32"/>
    </row>
    <row r="255" spans="1:7" ht="15.75">
      <c r="A255" s="2"/>
      <c r="B255" s="2"/>
      <c r="C255" s="2"/>
      <c r="D255" s="2"/>
      <c r="E255" s="2"/>
      <c r="F255" s="32"/>
      <c r="G255" s="32"/>
    </row>
    <row r="256" spans="1:7" ht="15.75">
      <c r="A256" s="2"/>
      <c r="B256" s="2"/>
      <c r="C256" s="2"/>
      <c r="D256" s="2"/>
      <c r="E256" s="2"/>
      <c r="F256" s="32"/>
      <c r="G256" s="32"/>
    </row>
    <row r="257" spans="1:7" ht="15.75">
      <c r="A257" s="2"/>
      <c r="B257" s="2"/>
      <c r="C257" s="2"/>
      <c r="D257" s="2"/>
      <c r="E257" s="2"/>
      <c r="F257" s="32"/>
      <c r="G257" s="32"/>
    </row>
    <row r="258" spans="1:7" ht="15.75">
      <c r="A258" s="2"/>
      <c r="B258" s="2"/>
      <c r="C258" s="2"/>
      <c r="D258" s="2"/>
      <c r="E258" s="2"/>
      <c r="F258" s="32"/>
      <c r="G258" s="32"/>
    </row>
    <row r="259" spans="1:7" ht="15.75">
      <c r="A259" s="2"/>
      <c r="B259" s="2"/>
      <c r="C259" s="2"/>
      <c r="D259" s="2"/>
      <c r="E259" s="2"/>
      <c r="F259" s="32"/>
      <c r="G259" s="32"/>
    </row>
    <row r="260" spans="1:7" ht="15.75">
      <c r="A260" s="2"/>
      <c r="B260" s="2"/>
      <c r="C260" s="2"/>
      <c r="D260" s="2"/>
      <c r="E260" s="2"/>
      <c r="F260" s="32"/>
      <c r="G260" s="32"/>
    </row>
    <row r="261" spans="1:7" ht="15.75">
      <c r="A261" s="2"/>
      <c r="B261" s="2"/>
      <c r="C261" s="2"/>
      <c r="D261" s="2"/>
      <c r="E261" s="2"/>
      <c r="F261" s="32"/>
      <c r="G261" s="32"/>
    </row>
    <row r="262" spans="1:7" ht="15.75">
      <c r="A262" s="2"/>
      <c r="B262" s="2"/>
      <c r="C262" s="2"/>
      <c r="D262" s="2"/>
      <c r="E262" s="2"/>
      <c r="F262" s="32"/>
      <c r="G262" s="32"/>
    </row>
    <row r="263" spans="1:7" ht="15.75">
      <c r="A263" s="2"/>
      <c r="B263" s="2"/>
      <c r="C263" s="2"/>
      <c r="D263" s="2"/>
      <c r="E263" s="2"/>
      <c r="F263" s="32"/>
      <c r="G263" s="32"/>
    </row>
    <row r="264" spans="1:7" ht="15.75">
      <c r="A264" s="2"/>
      <c r="B264" s="2"/>
      <c r="C264" s="2"/>
      <c r="D264" s="2"/>
      <c r="E264" s="2"/>
      <c r="F264" s="32"/>
      <c r="G264" s="32"/>
    </row>
    <row r="265" spans="1:7" ht="15.75">
      <c r="A265" s="2"/>
      <c r="B265" s="2"/>
      <c r="C265" s="2"/>
      <c r="D265" s="2"/>
      <c r="E265" s="2"/>
      <c r="F265" s="32"/>
      <c r="G265" s="32"/>
    </row>
    <row r="266" spans="1:7" ht="15.75">
      <c r="A266" s="2"/>
      <c r="B266" s="2"/>
      <c r="C266" s="2"/>
      <c r="D266" s="2"/>
      <c r="E266" s="2"/>
      <c r="F266" s="32"/>
      <c r="G266" s="32"/>
    </row>
    <row r="267" spans="1:7" ht="15.75">
      <c r="A267" s="2"/>
      <c r="B267" s="2"/>
      <c r="C267" s="2"/>
      <c r="D267" s="2"/>
      <c r="E267" s="2"/>
      <c r="F267" s="32"/>
      <c r="G267" s="32"/>
    </row>
    <row r="268" spans="1:7" ht="15.75">
      <c r="A268" s="2"/>
      <c r="B268" s="2"/>
      <c r="C268" s="2"/>
      <c r="D268" s="2"/>
      <c r="E268" s="2"/>
      <c r="F268" s="32"/>
      <c r="G268" s="32"/>
    </row>
  </sheetData>
  <sheetProtection password="D94D" sheet="1"/>
  <mergeCells count="85">
    <mergeCell ref="C145:D145"/>
    <mergeCell ref="C146:D146"/>
    <mergeCell ref="C94:D94"/>
    <mergeCell ref="C137:D137"/>
    <mergeCell ref="C144:D144"/>
    <mergeCell ref="C125:D125"/>
    <mergeCell ref="C135:D135"/>
    <mergeCell ref="C136:D136"/>
    <mergeCell ref="B116:D116"/>
    <mergeCell ref="C138:D138"/>
    <mergeCell ref="C142:D142"/>
    <mergeCell ref="C143:D143"/>
    <mergeCell ref="C141:D141"/>
    <mergeCell ref="C121:D121"/>
    <mergeCell ref="C122:D122"/>
    <mergeCell ref="C123:D123"/>
    <mergeCell ref="B155:D155"/>
    <mergeCell ref="B149:D149"/>
    <mergeCell ref="B150:D150"/>
    <mergeCell ref="B151:D151"/>
    <mergeCell ref="B152:D152"/>
    <mergeCell ref="B153:D153"/>
    <mergeCell ref="C154:D154"/>
    <mergeCell ref="C110:D110"/>
    <mergeCell ref="C74:D74"/>
    <mergeCell ref="C76:D76"/>
    <mergeCell ref="F118:J118"/>
    <mergeCell ref="C119:D119"/>
    <mergeCell ref="C106:D106"/>
    <mergeCell ref="C107:D107"/>
    <mergeCell ref="C108:D108"/>
    <mergeCell ref="B115:D115"/>
    <mergeCell ref="C111:D111"/>
    <mergeCell ref="C112:D112"/>
    <mergeCell ref="C113:D113"/>
    <mergeCell ref="C96:D96"/>
    <mergeCell ref="F27:I27"/>
    <mergeCell ref="F28:I28"/>
    <mergeCell ref="F38:I38"/>
    <mergeCell ref="A28:C28"/>
    <mergeCell ref="C109:D109"/>
    <mergeCell ref="F40:I40"/>
    <mergeCell ref="F41:I41"/>
    <mergeCell ref="F47:I47"/>
    <mergeCell ref="C75:D75"/>
    <mergeCell ref="C95:D95"/>
    <mergeCell ref="C83:D83"/>
    <mergeCell ref="C84:D84"/>
    <mergeCell ref="F48:I48"/>
    <mergeCell ref="F58:I58"/>
    <mergeCell ref="C120:D120"/>
    <mergeCell ref="C126:D126"/>
    <mergeCell ref="C127:D127"/>
    <mergeCell ref="C128:D128"/>
    <mergeCell ref="F139:J139"/>
    <mergeCell ref="C132:D132"/>
    <mergeCell ref="C85:D85"/>
    <mergeCell ref="C87:D87"/>
    <mergeCell ref="C77:D77"/>
    <mergeCell ref="C86:D86"/>
    <mergeCell ref="C101:D101"/>
    <mergeCell ref="C88:D88"/>
    <mergeCell ref="C93:D93"/>
    <mergeCell ref="F11:I11"/>
    <mergeCell ref="F12:I12"/>
    <mergeCell ref="A1:C1"/>
    <mergeCell ref="A2:C2"/>
    <mergeCell ref="A3:C3"/>
    <mergeCell ref="A8:C8"/>
    <mergeCell ref="E150:L150"/>
    <mergeCell ref="C103:D103"/>
    <mergeCell ref="C104:D104"/>
    <mergeCell ref="C105:D105"/>
    <mergeCell ref="C97:D97"/>
    <mergeCell ref="C98:D98"/>
    <mergeCell ref="C99:D99"/>
    <mergeCell ref="C100:D100"/>
    <mergeCell ref="C133:D133"/>
    <mergeCell ref="C134:D134"/>
    <mergeCell ref="C140:D140"/>
    <mergeCell ref="C131:D131"/>
    <mergeCell ref="C129:D129"/>
    <mergeCell ref="C130:D130"/>
    <mergeCell ref="C102:D102"/>
    <mergeCell ref="C124:D124"/>
  </mergeCells>
  <phoneticPr fontId="5" type="noConversion"/>
  <conditionalFormatting sqref="D2:D3">
    <cfRule type="containsText" dxfId="196" priority="9" stopIfTrue="1" operator="containsText" text="Enter">
      <formula>NOT(ISERROR(SEARCH("Enter",D2)))</formula>
    </cfRule>
  </conditionalFormatting>
  <conditionalFormatting sqref="A1:A3">
    <cfRule type="containsText" dxfId="195" priority="8" stopIfTrue="1" operator="containsText" text="Enter">
      <formula>NOT(ISERROR(SEARCH("Enter",A1)))</formula>
    </cfRule>
  </conditionalFormatting>
  <conditionalFormatting sqref="E89:F89 H89 J89">
    <cfRule type="containsText" dxfId="194" priority="2" stopIfTrue="1" operator="containsText" text="Total must equal amount in Cell E63 Above">
      <formula>NOT(ISERROR(SEARCH("Total must equal amount in Cell E63 Above",E89)))</formula>
    </cfRule>
  </conditionalFormatting>
  <conditionalFormatting sqref="K89 I89 G89">
    <cfRule type="containsText" dxfId="193" priority="1" stopIfTrue="1" operator="containsText" text="Total must equal amount in Cell E63 Above">
      <formula>NOT(ISERROR(SEARCH("Total must equal amount in Cell E63 Above",G89)))</formula>
    </cfRule>
  </conditionalFormatting>
  <printOptions horizontalCentered="1"/>
  <pageMargins left="0.25" right="0.25" top="0.5" bottom="0.5" header="0.5" footer="0.5"/>
  <pageSetup scale="54" orientation="landscape" horizontalDpi="200" verticalDpi="200" r:id="rId1"/>
  <headerFooter alignWithMargins="0">
    <oddFooter>Page &amp;P of &amp;N</oddFooter>
  </headerFooter>
  <rowBreaks count="3" manualBreakCount="3">
    <brk id="56" max="16383" man="1"/>
    <brk id="90" max="16383" man="1"/>
    <brk id="138" max="16383" man="1"/>
  </rowBreaks>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tabColor theme="4"/>
    <pageSetUpPr autoPageBreaks="0" fitToPage="1"/>
  </sheetPr>
  <dimension ref="A1:AL87"/>
  <sheetViews>
    <sheetView showGridLines="0" zoomScale="85" zoomScaleNormal="85" zoomScaleSheetLayoutView="100" workbookViewId="0">
      <pane xSplit="4" ySplit="10" topLeftCell="E63" activePane="bottomRight" state="frozen"/>
      <selection activeCell="J13" sqref="J13"/>
      <selection pane="topRight" activeCell="J13" sqref="J13"/>
      <selection pane="bottomLeft" activeCell="J13" sqref="J13"/>
      <selection pane="bottomRight" activeCell="A7" sqref="A7:L37"/>
    </sheetView>
  </sheetViews>
  <sheetFormatPr defaultColWidth="10.28515625" defaultRowHeight="15.75"/>
  <cols>
    <col min="1" max="1" width="5.42578125" style="2" customWidth="1"/>
    <col min="2" max="2" width="4.5703125" style="2" customWidth="1"/>
    <col min="3" max="3" width="81" style="2" customWidth="1"/>
    <col min="4" max="4" width="10.28515625" style="2"/>
    <col min="5" max="7" width="14.5703125" style="2" customWidth="1"/>
    <col min="8" max="8" width="10.5703125" style="2" customWidth="1"/>
    <col min="9" max="9" width="14.5703125" style="2" customWidth="1"/>
    <col min="10" max="10" width="10.5703125" style="2" customWidth="1"/>
    <col min="11" max="11" width="14.5703125" style="2" customWidth="1"/>
    <col min="12" max="12" width="10.5703125" style="2" customWidth="1"/>
    <col min="13" max="13" width="3.28515625" style="2" customWidth="1"/>
    <col min="14" max="14" width="4.28515625" style="2" customWidth="1"/>
    <col min="15" max="15" width="12.7109375" style="2" customWidth="1"/>
    <col min="16" max="16384" width="10.28515625" style="2"/>
  </cols>
  <sheetData>
    <row r="1" spans="1:34">
      <c r="A1" s="1645" t="str">
        <f>IF('INTERIM-CERTIFICATION'!$M$1="","CHARTER NAME: Enter Charter Name on INTERIM-CERTIFICATION Worksheet",(CONCATENATE("CHARTER NAME: ",'INTERIM-CERTIFICATION'!$M$1)))</f>
        <v>CHARTER NAME: Elite Academic Academy - Virtual Prep Lucerne</v>
      </c>
      <c r="B1" s="1645"/>
      <c r="C1" s="1645"/>
      <c r="D1" s="12"/>
      <c r="E1" s="12"/>
      <c r="F1" s="12"/>
      <c r="G1" s="12"/>
      <c r="H1" s="158"/>
      <c r="I1" s="12"/>
      <c r="J1" s="157"/>
      <c r="K1" s="1"/>
      <c r="L1" s="159"/>
      <c r="M1" s="159"/>
      <c r="N1" s="1206"/>
      <c r="O1" s="1207"/>
      <c r="P1" s="3"/>
      <c r="Q1" s="3"/>
      <c r="R1" s="3"/>
      <c r="S1" s="3"/>
      <c r="T1" s="3"/>
      <c r="U1" s="1"/>
      <c r="V1" s="1"/>
      <c r="W1" s="1"/>
      <c r="X1" s="1"/>
      <c r="Y1" s="1"/>
      <c r="Z1" s="1"/>
      <c r="AA1" s="1"/>
      <c r="AB1" s="1"/>
      <c r="AC1" s="1"/>
      <c r="AD1" s="1"/>
      <c r="AE1" s="1"/>
      <c r="AF1" s="1"/>
      <c r="AG1" s="1"/>
      <c r="AH1" s="1"/>
    </row>
    <row r="2" spans="1:34">
      <c r="A2" s="1645" t="str">
        <f>IF('INTERIM-CERTIFICATION'!$M$2="","CDS #: Enter Charter CDS # on INTERIM-CERTIFICATION Worksheet",(_xlfn.CONCAT("CDS #: ",'INTERIM-CERTIFICATION'!$M$2)))</f>
        <v>CDS #: 36-75051-0138107</v>
      </c>
      <c r="B2" s="1645"/>
      <c r="C2" s="1645"/>
      <c r="D2" s="10"/>
      <c r="E2" s="10"/>
      <c r="F2" s="12"/>
      <c r="G2" s="82"/>
      <c r="H2" s="158"/>
      <c r="I2" s="82"/>
      <c r="J2" s="158"/>
      <c r="K2" s="1"/>
      <c r="L2" s="159"/>
      <c r="M2" s="159"/>
      <c r="N2" s="1206"/>
      <c r="O2" s="1207"/>
      <c r="P2" s="3"/>
      <c r="Q2" s="3"/>
      <c r="R2" s="3"/>
      <c r="S2" s="3"/>
      <c r="T2" s="3"/>
      <c r="U2" s="1"/>
      <c r="V2" s="1"/>
      <c r="W2" s="1"/>
      <c r="X2" s="1"/>
      <c r="Y2" s="1"/>
      <c r="Z2" s="1"/>
      <c r="AA2" s="1"/>
      <c r="AB2" s="1"/>
      <c r="AC2" s="1"/>
      <c r="AD2" s="1"/>
      <c r="AE2" s="1"/>
      <c r="AF2" s="1"/>
      <c r="AG2" s="1"/>
      <c r="AH2" s="1"/>
    </row>
    <row r="3" spans="1:34">
      <c r="A3" s="1645" t="str">
        <f>IF('INTERIM-CERTIFICATION'!$M$5="","CHARTER #: Enter Charter # on INTERIM-CERTIFICATION Worksheet",(_xlfn.CONCAT("CHARTER #: ",'INTERIM-CERTIFICATION'!$M$5)))</f>
        <v>CHARTER #: 1975</v>
      </c>
      <c r="B3" s="1645"/>
      <c r="C3" s="1645"/>
      <c r="D3" s="11"/>
      <c r="E3" s="11"/>
      <c r="F3" s="12"/>
      <c r="G3" s="12"/>
      <c r="H3" s="157"/>
      <c r="I3" s="12"/>
      <c r="J3" s="157"/>
      <c r="K3" s="1"/>
      <c r="L3" s="159"/>
      <c r="M3" s="159"/>
      <c r="N3" s="1206"/>
      <c r="O3" s="1207"/>
      <c r="P3" s="3"/>
      <c r="Q3" s="3"/>
      <c r="R3" s="3"/>
      <c r="S3" s="3"/>
      <c r="T3" s="3"/>
      <c r="U3" s="1"/>
      <c r="V3" s="1"/>
      <c r="W3" s="1"/>
      <c r="X3" s="1"/>
      <c r="Y3" s="1"/>
      <c r="Z3" s="1"/>
      <c r="AA3" s="1"/>
      <c r="AB3" s="1"/>
      <c r="AC3" s="1"/>
      <c r="AD3" s="1"/>
      <c r="AE3" s="1"/>
      <c r="AF3" s="1"/>
      <c r="AG3" s="1"/>
      <c r="AH3" s="1"/>
    </row>
    <row r="4" spans="1:34">
      <c r="B4" s="53"/>
      <c r="C4" s="53"/>
      <c r="D4" s="160" t="str">
        <f>'1st Interim-ADA'!J4</f>
        <v>Fiscal Year 2022-23 First Interim Report</v>
      </c>
      <c r="E4" s="160"/>
      <c r="F4" s="53"/>
      <c r="G4" s="53"/>
      <c r="H4" s="53"/>
      <c r="I4" s="53"/>
      <c r="J4" s="53"/>
      <c r="K4" s="53"/>
      <c r="L4" s="53"/>
      <c r="M4" s="53"/>
      <c r="N4" s="1206"/>
      <c r="O4" s="1207"/>
      <c r="P4" s="3"/>
      <c r="Q4" s="3"/>
      <c r="R4" s="3"/>
      <c r="S4" s="3"/>
      <c r="T4" s="3"/>
      <c r="U4" s="1"/>
      <c r="V4" s="1"/>
      <c r="W4" s="1"/>
      <c r="X4" s="1"/>
      <c r="Y4" s="1"/>
      <c r="Z4" s="1"/>
      <c r="AA4" s="1"/>
      <c r="AB4" s="1"/>
      <c r="AC4" s="1"/>
      <c r="AD4" s="1"/>
      <c r="AE4" s="1"/>
      <c r="AF4" s="1"/>
      <c r="AG4" s="1"/>
      <c r="AH4" s="1"/>
    </row>
    <row r="5" spans="1:34">
      <c r="A5" s="12"/>
      <c r="B5" s="12"/>
      <c r="C5" s="53"/>
      <c r="D5" s="160" t="s">
        <v>212</v>
      </c>
      <c r="E5" s="160"/>
      <c r="F5" s="53"/>
      <c r="G5" s="53"/>
      <c r="H5" s="161"/>
      <c r="I5" s="53"/>
      <c r="J5" s="161"/>
      <c r="K5" s="1"/>
      <c r="L5" s="162"/>
      <c r="M5" s="162"/>
      <c r="N5" s="1206"/>
      <c r="O5" s="1207"/>
      <c r="P5" s="3"/>
      <c r="Q5" s="3"/>
      <c r="R5" s="3"/>
      <c r="S5" s="3"/>
      <c r="T5" s="3"/>
      <c r="U5" s="1"/>
      <c r="V5" s="1"/>
      <c r="W5" s="1"/>
      <c r="X5" s="1"/>
      <c r="Y5" s="1"/>
      <c r="Z5" s="1"/>
      <c r="AA5" s="1"/>
      <c r="AB5" s="1"/>
      <c r="AC5" s="1"/>
      <c r="AD5" s="1"/>
      <c r="AE5" s="1"/>
      <c r="AF5" s="1"/>
      <c r="AG5" s="1"/>
      <c r="AH5" s="1"/>
    </row>
    <row r="6" spans="1:34" ht="16.5" thickBot="1">
      <c r="A6" s="1589" t="str">
        <f>Instructions!H1</f>
        <v>Form Orignated 5/16/2022</v>
      </c>
      <c r="B6" s="12"/>
      <c r="C6" s="12"/>
      <c r="D6" s="12"/>
      <c r="E6" s="12"/>
      <c r="F6" s="12"/>
      <c r="G6" s="12"/>
      <c r="H6" s="157"/>
      <c r="I6" s="12"/>
      <c r="J6" s="157"/>
      <c r="K6" s="1"/>
      <c r="L6" s="159"/>
      <c r="M6" s="159"/>
      <c r="N6" s="1206"/>
      <c r="O6" s="1207"/>
      <c r="P6" s="3"/>
      <c r="Q6" s="3"/>
      <c r="R6" s="3"/>
      <c r="S6" s="3"/>
      <c r="T6" s="3"/>
      <c r="U6" s="1"/>
      <c r="V6" s="1"/>
      <c r="W6" s="1"/>
      <c r="X6" s="1"/>
      <c r="Y6" s="1"/>
      <c r="Z6" s="1"/>
      <c r="AA6" s="1"/>
      <c r="AB6" s="1"/>
      <c r="AC6" s="1"/>
      <c r="AD6" s="1"/>
      <c r="AE6" s="1"/>
      <c r="AF6" s="1"/>
      <c r="AG6" s="1"/>
      <c r="AH6" s="1"/>
    </row>
    <row r="7" spans="1:34">
      <c r="A7" s="242"/>
      <c r="B7" s="237"/>
      <c r="C7" s="237"/>
      <c r="D7" s="299"/>
      <c r="E7" s="300"/>
      <c r="F7" s="300" t="s">
        <v>168</v>
      </c>
      <c r="G7" s="300" t="str">
        <f>$F$7</f>
        <v>First Interim</v>
      </c>
      <c r="H7" s="301"/>
      <c r="I7" s="300" t="str">
        <f>$F$7</f>
        <v>First Interim</v>
      </c>
      <c r="J7" s="301"/>
      <c r="K7" s="300" t="str">
        <f>$F$7</f>
        <v>First Interim</v>
      </c>
      <c r="L7" s="302"/>
      <c r="M7" s="226"/>
      <c r="N7" s="1206"/>
      <c r="O7" s="1207"/>
      <c r="P7" s="3"/>
      <c r="Q7" s="3"/>
      <c r="R7" s="3"/>
      <c r="S7" s="3"/>
      <c r="T7" s="3"/>
      <c r="U7" s="1"/>
      <c r="V7" s="1"/>
      <c r="W7" s="1"/>
      <c r="X7" s="1"/>
      <c r="Y7" s="1"/>
      <c r="Z7" s="1"/>
      <c r="AA7" s="1"/>
      <c r="AB7" s="1"/>
      <c r="AC7" s="1"/>
      <c r="AD7" s="1"/>
      <c r="AE7" s="1"/>
      <c r="AF7" s="1"/>
      <c r="AG7" s="1"/>
      <c r="AH7" s="1"/>
    </row>
    <row r="8" spans="1:34">
      <c r="A8" s="1703" t="s">
        <v>21</v>
      </c>
      <c r="B8" s="1704"/>
      <c r="C8" s="1704"/>
      <c r="D8" s="54"/>
      <c r="E8" s="14" t="s">
        <v>17</v>
      </c>
      <c r="F8" s="214" t="s">
        <v>61</v>
      </c>
      <c r="G8" s="14" t="s">
        <v>19</v>
      </c>
      <c r="H8" s="163" t="s">
        <v>18</v>
      </c>
      <c r="I8" s="14" t="s">
        <v>19</v>
      </c>
      <c r="J8" s="163" t="s">
        <v>18</v>
      </c>
      <c r="K8" s="14" t="s">
        <v>19</v>
      </c>
      <c r="L8" s="303" t="s">
        <v>18</v>
      </c>
      <c r="M8" s="226"/>
      <c r="N8" s="1206"/>
      <c r="O8" s="1207"/>
      <c r="P8" s="3"/>
      <c r="Q8" s="3"/>
      <c r="R8" s="3"/>
      <c r="S8" s="3"/>
      <c r="T8" s="3"/>
      <c r="U8" s="1"/>
      <c r="V8" s="1"/>
      <c r="W8" s="1"/>
      <c r="X8" s="1"/>
      <c r="Y8" s="1"/>
      <c r="Z8" s="1"/>
      <c r="AA8" s="1"/>
      <c r="AB8" s="1"/>
      <c r="AC8" s="1"/>
      <c r="AD8" s="1"/>
      <c r="AE8" s="1"/>
      <c r="AF8" s="1"/>
      <c r="AG8" s="1"/>
      <c r="AH8" s="1"/>
    </row>
    <row r="9" spans="1:34">
      <c r="A9" s="68"/>
      <c r="B9" s="1"/>
      <c r="C9" s="1"/>
      <c r="D9" s="54"/>
      <c r="E9" s="14" t="s">
        <v>16</v>
      </c>
      <c r="F9" s="14" t="s">
        <v>242</v>
      </c>
      <c r="G9" s="14" t="s">
        <v>16</v>
      </c>
      <c r="H9" s="163" t="s">
        <v>22</v>
      </c>
      <c r="I9" s="14" t="s">
        <v>16</v>
      </c>
      <c r="J9" s="163" t="s">
        <v>22</v>
      </c>
      <c r="K9" s="14" t="s">
        <v>16</v>
      </c>
      <c r="L9" s="303" t="s">
        <v>22</v>
      </c>
      <c r="M9" s="226"/>
      <c r="N9" s="1206"/>
      <c r="O9" s="1207"/>
      <c r="P9" s="3"/>
      <c r="Q9" s="3"/>
      <c r="R9" s="3"/>
      <c r="S9" s="3"/>
      <c r="T9" s="3"/>
      <c r="U9" s="1"/>
      <c r="V9" s="1"/>
      <c r="W9" s="1"/>
      <c r="X9" s="1"/>
      <c r="Y9" s="1"/>
      <c r="Z9" s="1"/>
      <c r="AA9" s="1"/>
      <c r="AB9" s="1"/>
      <c r="AC9" s="1"/>
      <c r="AD9" s="1"/>
      <c r="AE9" s="1"/>
      <c r="AF9" s="1"/>
      <c r="AG9" s="1"/>
      <c r="AH9" s="1"/>
    </row>
    <row r="10" spans="1:34" ht="16.5" thickBot="1">
      <c r="A10" s="304"/>
      <c r="B10" s="164"/>
      <c r="C10" s="164"/>
      <c r="D10" s="55"/>
      <c r="E10" s="208" t="str">
        <f>'1st Interim-Restricted MYP'!E10</f>
        <v>2022-23</v>
      </c>
      <c r="F10" s="207" t="str">
        <f>'1st Interim-Restricted MYP'!F10</f>
        <v>2022</v>
      </c>
      <c r="G10" s="15" t="str">
        <f>'1st Interim-Restricted MYP'!G10</f>
        <v>2022-23</v>
      </c>
      <c r="H10" s="165"/>
      <c r="I10" s="15" t="str">
        <f>'1st Interim-Restricted MYP'!I10</f>
        <v>2023-24</v>
      </c>
      <c r="J10" s="165"/>
      <c r="K10" s="15" t="str">
        <f>'1st Interim-Restricted MYP'!K10</f>
        <v>2024-25</v>
      </c>
      <c r="L10" s="305"/>
      <c r="M10" s="226"/>
      <c r="N10" s="1206"/>
      <c r="O10" s="1207"/>
      <c r="P10" s="3"/>
      <c r="Q10" s="3"/>
      <c r="R10" s="3"/>
      <c r="S10" s="3"/>
      <c r="T10" s="3"/>
      <c r="U10" s="1"/>
      <c r="V10" s="1"/>
      <c r="W10" s="1"/>
      <c r="X10" s="1"/>
      <c r="Y10" s="1"/>
      <c r="Z10" s="1"/>
      <c r="AA10" s="1"/>
      <c r="AB10" s="1"/>
      <c r="AC10" s="1"/>
      <c r="AD10" s="1"/>
      <c r="AE10" s="1"/>
      <c r="AF10" s="1"/>
      <c r="AG10" s="1"/>
      <c r="AH10" s="1"/>
    </row>
    <row r="11" spans="1:34" ht="16.5" thickTop="1">
      <c r="A11" s="306" t="s">
        <v>1</v>
      </c>
      <c r="B11" s="1"/>
      <c r="C11" s="1"/>
      <c r="D11" s="337"/>
      <c r="E11" s="13"/>
      <c r="F11" s="13"/>
      <c r="G11" s="1721"/>
      <c r="H11" s="1721"/>
      <c r="I11" s="1721"/>
      <c r="J11" s="1721"/>
      <c r="K11" s="1721"/>
      <c r="L11" s="1722"/>
      <c r="M11" s="1401"/>
      <c r="N11" s="1206"/>
      <c r="O11" s="1207"/>
      <c r="P11" s="3"/>
      <c r="Q11" s="3"/>
      <c r="R11" s="3"/>
      <c r="S11" s="3"/>
      <c r="T11" s="3"/>
      <c r="U11" s="1"/>
      <c r="V11" s="1"/>
      <c r="W11" s="1"/>
      <c r="X11" s="1"/>
      <c r="Y11" s="1"/>
      <c r="Z11" s="1"/>
      <c r="AA11" s="1"/>
      <c r="AB11" s="1"/>
      <c r="AC11" s="1"/>
      <c r="AD11" s="1"/>
      <c r="AE11" s="1"/>
      <c r="AF11" s="1"/>
      <c r="AG11" s="1"/>
      <c r="AH11" s="1"/>
    </row>
    <row r="12" spans="1:34">
      <c r="A12" s="306"/>
      <c r="B12" s="147" t="s">
        <v>306</v>
      </c>
      <c r="C12" s="141"/>
      <c r="D12" s="141"/>
      <c r="E12" s="366"/>
      <c r="F12" s="366"/>
      <c r="G12" s="1753"/>
      <c r="H12" s="1753"/>
      <c r="I12" s="1753"/>
      <c r="J12" s="1753"/>
      <c r="K12" s="1753"/>
      <c r="L12" s="1754"/>
      <c r="M12" s="1401"/>
      <c r="N12" s="1206"/>
      <c r="O12" s="1207"/>
      <c r="P12" s="3"/>
      <c r="Q12" s="3"/>
      <c r="R12" s="3"/>
      <c r="S12" s="3"/>
      <c r="T12" s="3"/>
      <c r="U12" s="1"/>
      <c r="V12" s="1"/>
      <c r="W12" s="1"/>
      <c r="X12" s="1"/>
      <c r="Y12" s="1"/>
      <c r="Z12" s="1"/>
      <c r="AA12" s="1"/>
      <c r="AB12" s="1"/>
      <c r="AC12" s="1"/>
      <c r="AD12" s="1"/>
      <c r="AE12" s="1"/>
      <c r="AF12" s="1"/>
      <c r="AG12" s="1"/>
      <c r="AH12" s="1"/>
    </row>
    <row r="13" spans="1:34">
      <c r="A13" s="306"/>
      <c r="B13" s="147"/>
      <c r="C13" s="280" t="s">
        <v>155</v>
      </c>
      <c r="D13" s="346">
        <v>8011</v>
      </c>
      <c r="E13" s="761">
        <f>'1st Interim-Unrestricted MYP'!E13+'1st Interim-Restricted MYP'!E13</f>
        <v>8090636.0600000005</v>
      </c>
      <c r="F13" s="761">
        <f>'1st Interim-Unrestricted MYP'!F13+'1st Interim-Restricted MYP'!F13</f>
        <v>1839098.1813622767</v>
      </c>
      <c r="G13" s="770">
        <f>'1st Interim-Unrestricted MYP'!G13+'1st Interim-Restricted MYP'!G13</f>
        <v>5166835</v>
      </c>
      <c r="H13" s="50">
        <f>IF(E13&lt;1," ",IF(G13&lt;1," ",(G13-E13)/E13))</f>
        <v>-0.36138086527649355</v>
      </c>
      <c r="I13" s="764">
        <f>'1st Interim-Unrestricted MYP'!I13+'1st Interim-Restricted MYP'!I13</f>
        <v>8394946</v>
      </c>
      <c r="J13" s="50">
        <f>IF(G13&lt;1," ",IF(I13&lt;1," ",(I13-G13)/G13))</f>
        <v>0.62477532183628859</v>
      </c>
      <c r="K13" s="764">
        <f>'1st Interim-Unrestricted MYP'!K13+'1st Interim-Restricted MYP'!K13</f>
        <v>8715699</v>
      </c>
      <c r="L13" s="367">
        <f>IF(I13&lt;1," ",IF(K13&lt;1," ",(K13-I13)/I13))</f>
        <v>3.8207869353775473E-2</v>
      </c>
      <c r="M13" s="1400"/>
      <c r="N13" s="1206"/>
      <c r="O13" s="1207"/>
      <c r="P13" s="3" t="s">
        <v>157</v>
      </c>
      <c r="Q13" s="3"/>
      <c r="R13" s="3"/>
      <c r="S13" s="3"/>
      <c r="T13" s="3"/>
      <c r="U13" s="1"/>
      <c r="V13" s="1"/>
      <c r="W13" s="1"/>
      <c r="X13" s="1"/>
      <c r="Y13" s="1"/>
      <c r="Z13" s="1"/>
      <c r="AA13" s="1"/>
      <c r="AB13" s="1"/>
      <c r="AC13" s="1"/>
      <c r="AD13" s="1"/>
      <c r="AE13" s="1"/>
      <c r="AF13" s="1"/>
      <c r="AG13" s="1"/>
      <c r="AH13" s="1"/>
    </row>
    <row r="14" spans="1:34">
      <c r="A14" s="306"/>
      <c r="B14" s="147"/>
      <c r="C14" s="280" t="s">
        <v>156</v>
      </c>
      <c r="D14" s="346">
        <v>8012</v>
      </c>
      <c r="E14" s="761">
        <f>'1st Interim-Unrestricted MYP'!E14+'1st Interim-Restricted MYP'!E14</f>
        <v>157400</v>
      </c>
      <c r="F14" s="761">
        <f>'1st Interim-Unrestricted MYP'!F14+'1st Interim-Restricted MYP'!F14</f>
        <v>36340.496018281287</v>
      </c>
      <c r="G14" s="770">
        <f>'1st Interim-Unrestricted MYP'!G14+'1st Interim-Restricted MYP'!G14</f>
        <v>102000</v>
      </c>
      <c r="H14" s="50">
        <f>IF(E14&lt;1," ",IF(G14&lt;1," ",(G14-E14)/E14))</f>
        <v>-0.3519695044472681</v>
      </c>
      <c r="I14" s="764">
        <f>'1st Interim-Unrestricted MYP'!I14+'1st Interim-Restricted MYP'!I14</f>
        <v>157400</v>
      </c>
      <c r="J14" s="50">
        <f>IF(G14&lt;1," ",IF(I14&lt;1," ",(I14-G14)/G14))</f>
        <v>0.54313725490196074</v>
      </c>
      <c r="K14" s="765">
        <f>'1st Interim-Unrestricted MYP'!K14+'1st Interim-Restricted MYP'!K14</f>
        <v>157400</v>
      </c>
      <c r="L14" s="367">
        <f>IF(I14&lt;1," ",IF(K14&lt;1," ",(K14-I14)/I14))</f>
        <v>0</v>
      </c>
      <c r="M14" s="1400"/>
      <c r="N14" s="1206"/>
      <c r="O14" s="1207"/>
      <c r="P14" s="3"/>
      <c r="Q14" s="3"/>
      <c r="R14" s="3"/>
      <c r="S14" s="3"/>
      <c r="T14" s="3"/>
      <c r="U14" s="1"/>
      <c r="V14" s="1"/>
      <c r="W14" s="1"/>
      <c r="X14" s="1"/>
      <c r="Y14" s="1"/>
      <c r="Z14" s="1"/>
      <c r="AA14" s="1"/>
      <c r="AB14" s="1"/>
      <c r="AC14" s="1"/>
      <c r="AD14" s="1"/>
      <c r="AE14" s="1"/>
      <c r="AF14" s="1"/>
      <c r="AG14" s="1"/>
      <c r="AH14" s="1"/>
    </row>
    <row r="15" spans="1:34">
      <c r="A15" s="68"/>
      <c r="B15" s="147"/>
      <c r="C15" s="280" t="s">
        <v>304</v>
      </c>
      <c r="D15" s="346">
        <v>8019</v>
      </c>
      <c r="E15" s="761">
        <f>'1st Interim-Unrestricted MYP'!E15+'1st Interim-Restricted MYP'!E15</f>
        <v>0</v>
      </c>
      <c r="F15" s="761">
        <f>'1st Interim-Unrestricted MYP'!F15+'1st Interim-Restricted MYP'!F15</f>
        <v>0</v>
      </c>
      <c r="G15" s="770">
        <f>'1st Interim-Unrestricted MYP'!G15+'1st Interim-Restricted MYP'!G15</f>
        <v>0</v>
      </c>
      <c r="H15" s="50" t="str">
        <f>IF(E15&lt;1," ",IF(G15&lt;1," ",(G15-E15)/E15))</f>
        <v xml:space="preserve"> </v>
      </c>
      <c r="I15" s="764">
        <f>'1st Interim-Unrestricted MYP'!I15+'1st Interim-Restricted MYP'!I15</f>
        <v>0</v>
      </c>
      <c r="J15" s="50" t="str">
        <f>IF(G15&lt;1," ",IF(I15&lt;1," ",(I15-G15)/G15))</f>
        <v xml:space="preserve"> </v>
      </c>
      <c r="K15" s="765">
        <f>'1st Interim-Unrestricted MYP'!K15+'1st Interim-Restricted MYP'!K15</f>
        <v>0</v>
      </c>
      <c r="L15" s="367" t="str">
        <f>IF(I15&lt;1," ",IF(K15&lt;1," ",(K15-I15)/I15))</f>
        <v xml:space="preserve"> </v>
      </c>
      <c r="M15" s="1400"/>
      <c r="N15" s="1206"/>
      <c r="O15" s="1207"/>
      <c r="P15" s="3"/>
      <c r="Q15" s="3"/>
      <c r="R15" s="3"/>
      <c r="S15" s="3"/>
      <c r="T15" s="3"/>
      <c r="U15" s="1"/>
      <c r="V15" s="1"/>
      <c r="W15" s="1"/>
      <c r="X15" s="1"/>
      <c r="Y15" s="1"/>
      <c r="Z15" s="1"/>
      <c r="AA15" s="1"/>
      <c r="AB15" s="1"/>
      <c r="AC15" s="1"/>
      <c r="AD15" s="1"/>
      <c r="AE15" s="1"/>
      <c r="AF15" s="1"/>
      <c r="AG15" s="1"/>
      <c r="AH15" s="1"/>
    </row>
    <row r="16" spans="1:34">
      <c r="A16" s="68"/>
      <c r="B16" s="147"/>
      <c r="C16" s="280" t="s">
        <v>305</v>
      </c>
      <c r="D16" s="346">
        <v>8096</v>
      </c>
      <c r="E16" s="761">
        <f>'1st Interim-Unrestricted MYP'!E16+'1st Interim-Restricted MYP'!E16</f>
        <v>204132</v>
      </c>
      <c r="F16" s="761">
        <f>'1st Interim-Unrestricted MYP'!F16+'1st Interim-Restricted MYP'!F16</f>
        <v>47129.98928610899</v>
      </c>
      <c r="G16" s="770">
        <f>'1st Interim-Unrestricted MYP'!G16+'1st Interim-Restricted MYP'!G16</f>
        <v>132283.79999999999</v>
      </c>
      <c r="H16" s="50">
        <f>IF(E16&lt;1," ",IF(G16&lt;1," ",(G16-E16)/E16))</f>
        <v>-0.35196931397331144</v>
      </c>
      <c r="I16" s="765">
        <f>'1st Interim-Unrestricted MYP'!I16+'1st Interim-Restricted MYP'!I16</f>
        <v>203258.49</v>
      </c>
      <c r="J16" s="31">
        <f>IF(G16&lt;1," ",IF(I16&lt;1," ",(I16-G16)/G16))</f>
        <v>0.53653349843291476</v>
      </c>
      <c r="K16" s="765">
        <f>'1st Interim-Unrestricted MYP'!K16+'1st Interim-Restricted MYP'!K16</f>
        <v>203093.22</v>
      </c>
      <c r="L16" s="311">
        <f>IF(I16&lt;1," ",IF(K16&lt;1," ",(K16-I16)/I16))</f>
        <v>-8.1310256708091023E-4</v>
      </c>
      <c r="M16" s="1222"/>
      <c r="N16" s="1206"/>
      <c r="O16" s="1207"/>
      <c r="P16" s="3"/>
      <c r="Q16" s="3"/>
      <c r="R16" s="3"/>
      <c r="S16" s="3"/>
      <c r="T16" s="3"/>
      <c r="U16" s="1"/>
      <c r="V16" s="1"/>
      <c r="W16" s="1"/>
      <c r="X16" s="1"/>
      <c r="Y16" s="1"/>
      <c r="Z16" s="1"/>
      <c r="AA16" s="1"/>
      <c r="AB16" s="1"/>
      <c r="AC16" s="1"/>
      <c r="AD16" s="1"/>
      <c r="AE16" s="1"/>
      <c r="AF16" s="1"/>
      <c r="AG16" s="1"/>
      <c r="AH16" s="1"/>
    </row>
    <row r="17" spans="1:34">
      <c r="A17" s="68"/>
      <c r="B17" s="147" t="s">
        <v>307</v>
      </c>
      <c r="C17" s="280"/>
      <c r="D17" s="346" t="s">
        <v>99</v>
      </c>
      <c r="E17" s="761">
        <f>'1st Interim-Unrestricted MYP'!E17+'1st Interim-Restricted MYP'!E17</f>
        <v>534875</v>
      </c>
      <c r="F17" s="761">
        <f>'1st Interim-Unrestricted MYP'!F17+'1st Interim-Restricted MYP'!F17</f>
        <v>0</v>
      </c>
      <c r="G17" s="979">
        <f>'1st Interim-Unrestricted MYP'!G17+'1st Interim-Restricted MYP'!G17</f>
        <v>534875</v>
      </c>
      <c r="H17" s="50">
        <f>IF(E17&lt;1," ",IF(G17&lt;1," ",(G17-E17)/E17))</f>
        <v>0</v>
      </c>
      <c r="I17" s="761">
        <f>'1st Interim-Unrestricted MYP'!I17+'1st Interim-Restricted MYP'!I17</f>
        <v>0</v>
      </c>
      <c r="J17" s="31" t="str">
        <f>IF(G17&lt;1," ",IF(I17&lt;1," ",(I17-G17)/G17))</f>
        <v xml:space="preserve"> </v>
      </c>
      <c r="K17" s="761">
        <f>'1st Interim-Unrestricted MYP'!K17+'1st Interim-Restricted MYP'!K17</f>
        <v>0</v>
      </c>
      <c r="L17" s="311" t="str">
        <f>IF(I17&lt;1," ",IF(K17&lt;1," ",(K17-I17)/I17))</f>
        <v xml:space="preserve"> </v>
      </c>
      <c r="M17" s="1222"/>
      <c r="N17" s="1206"/>
      <c r="O17" s="1207"/>
      <c r="P17" s="3"/>
      <c r="Q17" s="3"/>
      <c r="R17" s="3"/>
      <c r="S17" s="3"/>
      <c r="T17" s="3"/>
      <c r="U17" s="1"/>
      <c r="V17" s="1"/>
      <c r="W17" s="1"/>
      <c r="X17" s="1"/>
      <c r="Y17" s="1"/>
      <c r="Z17" s="1"/>
      <c r="AA17" s="1"/>
      <c r="AB17" s="1"/>
      <c r="AC17" s="1"/>
      <c r="AD17" s="1"/>
      <c r="AE17" s="1"/>
      <c r="AF17" s="1"/>
      <c r="AG17" s="1"/>
      <c r="AH17" s="1"/>
    </row>
    <row r="18" spans="1:34">
      <c r="A18" s="68"/>
      <c r="B18" s="147" t="s">
        <v>308</v>
      </c>
      <c r="C18" s="141"/>
      <c r="D18" s="141"/>
      <c r="E18" s="832"/>
      <c r="F18" s="832"/>
      <c r="G18" s="876"/>
      <c r="H18" s="507"/>
      <c r="I18" s="832"/>
      <c r="J18" s="507"/>
      <c r="K18" s="832"/>
      <c r="L18" s="508"/>
      <c r="M18" s="1222"/>
      <c r="N18" s="1206"/>
      <c r="O18" s="1207"/>
      <c r="P18" s="3"/>
      <c r="Q18" s="3"/>
      <c r="R18" s="3"/>
      <c r="S18" s="3"/>
      <c r="T18" s="3"/>
      <c r="U18" s="1"/>
      <c r="V18" s="1"/>
      <c r="W18" s="1"/>
      <c r="X18" s="1"/>
      <c r="Y18" s="1"/>
      <c r="Z18" s="1"/>
      <c r="AA18" s="1"/>
      <c r="AB18" s="1"/>
      <c r="AC18" s="1"/>
      <c r="AD18" s="1"/>
      <c r="AE18" s="1"/>
      <c r="AF18" s="1"/>
      <c r="AG18" s="1"/>
      <c r="AH18" s="1"/>
    </row>
    <row r="19" spans="1:34">
      <c r="A19" s="68"/>
      <c r="B19" s="147"/>
      <c r="C19" s="280" t="s">
        <v>309</v>
      </c>
      <c r="D19" s="346">
        <v>8560</v>
      </c>
      <c r="E19" s="761">
        <f>'1st Interim-Unrestricted MYP'!E19+'1st Interim-Restricted MYP'!E19</f>
        <v>133984.37325999999</v>
      </c>
      <c r="F19" s="761">
        <f>'1st Interim-Unrestricted MYP'!F19+'1st Interim-Restricted MYP'!F19</f>
        <v>30934.298494072063</v>
      </c>
      <c r="G19" s="770">
        <f>'1st Interim-Unrestricted MYP'!G19+'1st Interim-Restricted MYP'!G19</f>
        <v>86825.959800000011</v>
      </c>
      <c r="H19" s="50">
        <f>IF(E19&lt;1," ",IF(G19&lt;1," ",(G19-E19)/E19))</f>
        <v>-0.35196950444726799</v>
      </c>
      <c r="I19" s="767">
        <f>'1st Interim-Unrestricted MYP'!I19+'1st Interim-Restricted MYP'!I19</f>
        <v>133984.37326000002</v>
      </c>
      <c r="J19" s="31">
        <f>IF(G19&lt;1," ",IF(I19&lt;1," ",(I19-G19)/G19))</f>
        <v>0.54313725490196085</v>
      </c>
      <c r="K19" s="765">
        <f>'1st Interim-Unrestricted MYP'!K19+'1st Interim-Restricted MYP'!K19</f>
        <v>133984.37326000002</v>
      </c>
      <c r="L19" s="311">
        <f>IF(I19&lt;1," ",IF(K19&lt;1," ",(K19-I19)/I19))</f>
        <v>0</v>
      </c>
      <c r="M19" s="1222"/>
      <c r="N19" s="1206"/>
      <c r="O19" s="1207"/>
      <c r="P19" s="3"/>
      <c r="Q19" s="3"/>
      <c r="R19" s="3"/>
      <c r="S19" s="3"/>
      <c r="T19" s="3"/>
      <c r="U19" s="1"/>
      <c r="V19" s="1"/>
      <c r="W19" s="1"/>
      <c r="X19" s="1"/>
      <c r="Y19" s="1"/>
      <c r="Z19" s="1"/>
      <c r="AA19" s="1"/>
      <c r="AB19" s="1"/>
      <c r="AC19" s="1"/>
      <c r="AD19" s="1"/>
      <c r="AE19" s="1"/>
      <c r="AF19" s="1"/>
      <c r="AG19" s="1"/>
      <c r="AH19" s="1"/>
    </row>
    <row r="20" spans="1:34">
      <c r="A20" s="68"/>
      <c r="B20" s="147"/>
      <c r="C20" s="280" t="s">
        <v>310</v>
      </c>
      <c r="D20" s="346">
        <v>8560</v>
      </c>
      <c r="E20" s="766">
        <f>'1st Interim-Unrestricted MYP'!E20+'1st Interim-Restricted MYP'!E20</f>
        <v>0</v>
      </c>
      <c r="F20" s="766">
        <f>'1st Interim-Unrestricted MYP'!F20+'1st Interim-Restricted MYP'!F20</f>
        <v>0</v>
      </c>
      <c r="G20" s="979">
        <f>'1st Interim-Unrestricted MYP'!G20+'1st Interim-Restricted MYP'!G20</f>
        <v>0</v>
      </c>
      <c r="H20" s="31" t="str">
        <f>IF(E20&lt;1," ",IF(G20&lt;1," ",(G20-E20)/E20))</f>
        <v xml:space="preserve"> </v>
      </c>
      <c r="I20" s="767">
        <f>'1st Interim-Unrestricted MYP'!I20+'1st Interim-Restricted MYP'!I20</f>
        <v>0</v>
      </c>
      <c r="J20" s="31" t="str">
        <f>IF(G20&lt;1," ",IF(I20&lt;1," ",(I20-G20)/G20))</f>
        <v xml:space="preserve"> </v>
      </c>
      <c r="K20" s="765">
        <f>'1st Interim-Unrestricted MYP'!K20+'1st Interim-Restricted MYP'!K20</f>
        <v>0</v>
      </c>
      <c r="L20" s="311" t="str">
        <f>IF(I20&lt;1," ",IF(K20&lt;1," ",(K20-I20)/I20))</f>
        <v xml:space="preserve"> </v>
      </c>
      <c r="M20" s="1222"/>
      <c r="N20" s="1206"/>
      <c r="O20" s="1207"/>
      <c r="P20" s="3"/>
      <c r="Q20" s="3"/>
      <c r="R20" s="3"/>
      <c r="S20" s="3"/>
      <c r="T20" s="3"/>
      <c r="U20" s="1"/>
      <c r="V20" s="1"/>
      <c r="W20" s="1"/>
      <c r="X20" s="1"/>
      <c r="Y20" s="1"/>
      <c r="Z20" s="1"/>
      <c r="AA20" s="1"/>
      <c r="AB20" s="1"/>
      <c r="AC20" s="1"/>
      <c r="AD20" s="1"/>
      <c r="AE20" s="1"/>
      <c r="AF20" s="1"/>
      <c r="AG20" s="1"/>
      <c r="AH20" s="1"/>
    </row>
    <row r="21" spans="1:34">
      <c r="A21" s="68"/>
      <c r="B21" s="147"/>
      <c r="C21" s="280" t="s">
        <v>311</v>
      </c>
      <c r="D21" s="346" t="s">
        <v>100</v>
      </c>
      <c r="E21" s="761">
        <f>'1st Interim-Unrestricted MYP'!E21+'1st Interim-Restricted MYP'!E21</f>
        <v>0</v>
      </c>
      <c r="F21" s="761">
        <f>'1st Interim-Unrestricted MYP'!F21+'1st Interim-Restricted MYP'!F21</f>
        <v>0</v>
      </c>
      <c r="G21" s="770">
        <f>'1st Interim-Unrestricted MYP'!G21+'1st Interim-Restricted MYP'!G21</f>
        <v>0</v>
      </c>
      <c r="H21" s="50" t="str">
        <f>IF(E21&lt;1," ",IF(G21&lt;1," ",(G21-E21)/E21))</f>
        <v xml:space="preserve"> </v>
      </c>
      <c r="I21" s="764">
        <f>'1st Interim-Unrestricted MYP'!I21+'1st Interim-Restricted MYP'!I21</f>
        <v>0</v>
      </c>
      <c r="J21" s="31" t="str">
        <f>IF(G21&lt;1," ",IF(I21&lt;1," ",(I21-G21)/G21))</f>
        <v xml:space="preserve"> </v>
      </c>
      <c r="K21" s="765">
        <f>'1st Interim-Unrestricted MYP'!K21+'1st Interim-Restricted MYP'!K21</f>
        <v>0</v>
      </c>
      <c r="L21" s="311" t="str">
        <f>IF(I21&lt;1," ",IF(K21&lt;1," ",(K21-I21)/I21))</f>
        <v xml:space="preserve"> </v>
      </c>
      <c r="M21" s="1222"/>
      <c r="N21" s="1206"/>
      <c r="O21" s="1207"/>
      <c r="P21" s="3"/>
      <c r="Q21" s="3"/>
      <c r="R21" s="3"/>
      <c r="S21" s="3"/>
      <c r="T21" s="3"/>
      <c r="U21" s="1"/>
      <c r="V21" s="1"/>
      <c r="W21" s="1"/>
      <c r="X21" s="1"/>
      <c r="Y21" s="1"/>
      <c r="Z21" s="1"/>
      <c r="AA21" s="1"/>
      <c r="AB21" s="1"/>
      <c r="AC21" s="1"/>
      <c r="AD21" s="1"/>
      <c r="AE21" s="1"/>
      <c r="AF21" s="1"/>
      <c r="AG21" s="1"/>
      <c r="AH21" s="1"/>
    </row>
    <row r="22" spans="1:34">
      <c r="A22" s="68"/>
      <c r="B22" s="147" t="s">
        <v>312</v>
      </c>
      <c r="C22" s="141"/>
      <c r="D22" s="141"/>
      <c r="E22" s="832"/>
      <c r="F22" s="832"/>
      <c r="G22" s="876"/>
      <c r="H22" s="507"/>
      <c r="I22" s="832"/>
      <c r="J22" s="507"/>
      <c r="K22" s="832"/>
      <c r="L22" s="508"/>
      <c r="M22" s="1222"/>
      <c r="N22" s="1206"/>
      <c r="O22" s="1207"/>
      <c r="P22" s="3"/>
      <c r="Q22" s="3"/>
      <c r="R22" s="3"/>
      <c r="S22" s="3"/>
      <c r="T22" s="3"/>
      <c r="U22" s="1"/>
      <c r="V22" s="1"/>
      <c r="W22" s="1"/>
      <c r="X22" s="1"/>
      <c r="Y22" s="1"/>
      <c r="Z22" s="1"/>
      <c r="AA22" s="1"/>
      <c r="AB22" s="1"/>
      <c r="AC22" s="1"/>
      <c r="AD22" s="1"/>
      <c r="AE22" s="1"/>
      <c r="AF22" s="1"/>
      <c r="AG22" s="1"/>
      <c r="AH22" s="1"/>
    </row>
    <row r="23" spans="1:34">
      <c r="A23" s="68"/>
      <c r="B23" s="147"/>
      <c r="C23" s="280" t="s">
        <v>239</v>
      </c>
      <c r="D23" s="346">
        <v>8660</v>
      </c>
      <c r="E23" s="761">
        <f>'1st Interim-Unrestricted MYP'!E23+'1st Interim-Restricted MYP'!E23</f>
        <v>0</v>
      </c>
      <c r="F23" s="761">
        <f>'1st Interim-Unrestricted MYP'!F23+'1st Interim-Restricted MYP'!F23</f>
        <v>0</v>
      </c>
      <c r="G23" s="979">
        <f>'1st Interim-Unrestricted MYP'!G23+'1st Interim-Restricted MYP'!G23</f>
        <v>0</v>
      </c>
      <c r="H23" s="50" t="str">
        <f>IF(E23&lt;1," ",IF(G23&lt;1," ",(G23-E23)/E23))</f>
        <v xml:space="preserve"> </v>
      </c>
      <c r="I23" s="764">
        <f>'1st Interim-Unrestricted MYP'!I23+'1st Interim-Restricted MYP'!I23</f>
        <v>0</v>
      </c>
      <c r="J23" s="31" t="str">
        <f>IF(G23&lt;1," ",IF(I23&lt;1," ",(I23-G23)/G23))</f>
        <v xml:space="preserve"> </v>
      </c>
      <c r="K23" s="765">
        <f>'1st Interim-Unrestricted MYP'!K23+'1st Interim-Restricted MYP'!K23</f>
        <v>0</v>
      </c>
      <c r="L23" s="311" t="str">
        <f>IF(I23&lt;1," ",IF(K23&lt;1," ",(K23-I23)/I23))</f>
        <v xml:space="preserve"> </v>
      </c>
      <c r="M23" s="1222"/>
      <c r="N23" s="1206"/>
      <c r="O23" s="1207"/>
      <c r="P23" s="3"/>
      <c r="Q23" s="3"/>
      <c r="R23" s="3"/>
      <c r="S23" s="3"/>
      <c r="T23" s="3"/>
      <c r="U23" s="1"/>
      <c r="V23" s="1"/>
      <c r="W23" s="1"/>
      <c r="X23" s="1"/>
      <c r="Y23" s="1"/>
      <c r="Z23" s="1"/>
      <c r="AA23" s="1"/>
      <c r="AB23" s="1"/>
      <c r="AC23" s="1"/>
      <c r="AD23" s="1"/>
      <c r="AE23" s="1"/>
      <c r="AF23" s="1"/>
      <c r="AG23" s="1"/>
      <c r="AH23" s="1"/>
    </row>
    <row r="24" spans="1:34">
      <c r="A24" s="68"/>
      <c r="B24" s="147"/>
      <c r="C24" s="280" t="s">
        <v>313</v>
      </c>
      <c r="D24" s="346">
        <v>8792</v>
      </c>
      <c r="E24" s="761">
        <f>'1st Interim-Unrestricted MYP'!E24+'1st Interim-Restricted MYP'!E24</f>
        <v>645340</v>
      </c>
      <c r="F24" s="761">
        <f>'1st Interim-Unrestricted MYP'!F24+'1st Interim-Restricted MYP'!F24</f>
        <v>148996.03367495324</v>
      </c>
      <c r="G24" s="980">
        <f>'1st Interim-Unrestricted MYP'!G24+'1st Interim-Restricted MYP'!G24</f>
        <v>418200.00000000006</v>
      </c>
      <c r="H24" s="31">
        <f>IF(E24&lt;1," ",IF(G24&lt;1," ",(G24-E24)/E24))</f>
        <v>-0.35196950444726799</v>
      </c>
      <c r="I24" s="764">
        <f>'1st Interim-Unrestricted MYP'!I24+'1st Interim-Restricted MYP'!I24</f>
        <v>645340</v>
      </c>
      <c r="J24" s="31">
        <f>IF(G24&lt;1," ",IF(I24&lt;1," ",(I24-G24)/G24))</f>
        <v>0.54313725490196052</v>
      </c>
      <c r="K24" s="765">
        <f>'1st Interim-Unrestricted MYP'!K24+'1st Interim-Restricted MYP'!K24</f>
        <v>645340</v>
      </c>
      <c r="L24" s="311">
        <f>IF(I24&lt;1," ",IF(K24&lt;1," ",(K24-I24)/I24))</f>
        <v>0</v>
      </c>
      <c r="M24" s="1222"/>
      <c r="N24" s="1206"/>
      <c r="O24" s="1207"/>
      <c r="P24" s="3"/>
      <c r="Q24" s="3"/>
      <c r="R24" s="3"/>
      <c r="S24" s="3"/>
      <c r="T24" s="3"/>
      <c r="U24" s="1"/>
      <c r="V24" s="1"/>
      <c r="W24" s="1"/>
      <c r="X24" s="1"/>
      <c r="Y24" s="1"/>
      <c r="Z24" s="1"/>
      <c r="AA24" s="1"/>
      <c r="AB24" s="1"/>
      <c r="AC24" s="1"/>
      <c r="AD24" s="1"/>
      <c r="AE24" s="1"/>
      <c r="AF24" s="1"/>
      <c r="AG24" s="1"/>
      <c r="AH24" s="1"/>
    </row>
    <row r="25" spans="1:34" ht="16.5" thickBot="1">
      <c r="A25" s="68"/>
      <c r="B25" s="899"/>
      <c r="C25" s="932" t="s">
        <v>314</v>
      </c>
      <c r="D25" s="933" t="s">
        <v>101</v>
      </c>
      <c r="E25" s="769">
        <f>'1st Interim-Unrestricted MYP'!E25+'1st Interim-Restricted MYP'!E25</f>
        <v>0</v>
      </c>
      <c r="F25" s="895">
        <f>'1st Interim-Unrestricted MYP'!F25+'1st Interim-Restricted MYP'!F25</f>
        <v>0</v>
      </c>
      <c r="G25" s="981">
        <f>'1st Interim-Unrestricted MYP'!G25+'1st Interim-Restricted MYP'!G25</f>
        <v>0</v>
      </c>
      <c r="H25" s="596" t="str">
        <f>IF(E25&lt;1," ",IF(G25&lt;1," ",(G25-E25)/E25))</f>
        <v xml:space="preserve"> </v>
      </c>
      <c r="I25" s="769">
        <f>'1st Interim-Unrestricted MYP'!I25+'1st Interim-Restricted MYP'!I25</f>
        <v>0</v>
      </c>
      <c r="J25" s="96" t="str">
        <f>IF(G25&lt;1," ",IF(I25&lt;1," ",(I25-G25)/G25))</f>
        <v xml:space="preserve"> </v>
      </c>
      <c r="K25" s="769">
        <f>'1st Interim-Unrestricted MYP'!K25+'1st Interim-Restricted MYP'!K25</f>
        <v>0</v>
      </c>
      <c r="L25" s="312" t="str">
        <f>IF(I25&lt;1," ",IF(K25&lt;1," ",(K25-I25)/I25))</f>
        <v xml:space="preserve"> </v>
      </c>
      <c r="M25" s="1222"/>
      <c r="N25" s="1206"/>
      <c r="O25" s="1207"/>
      <c r="P25" s="3"/>
      <c r="Q25" s="3"/>
      <c r="R25" s="3"/>
      <c r="S25" s="3"/>
      <c r="T25" s="3"/>
      <c r="U25" s="1"/>
      <c r="V25" s="1"/>
      <c r="W25" s="1"/>
      <c r="X25" s="1"/>
      <c r="Y25" s="1"/>
      <c r="Z25" s="1"/>
      <c r="AA25" s="1"/>
      <c r="AB25" s="1"/>
      <c r="AC25" s="1"/>
      <c r="AD25" s="1"/>
      <c r="AE25" s="1"/>
      <c r="AF25" s="1"/>
      <c r="AG25" s="1"/>
      <c r="AH25" s="1"/>
    </row>
    <row r="26" spans="1:34" ht="17.25" thickTop="1" thickBot="1">
      <c r="A26" s="68"/>
      <c r="B26" s="912" t="s">
        <v>315</v>
      </c>
      <c r="C26" s="957"/>
      <c r="D26" s="931"/>
      <c r="E26" s="900">
        <f>SUM(E13:E25)</f>
        <v>9766367.4332600012</v>
      </c>
      <c r="F26" s="900">
        <f>SUM(F13:F25)</f>
        <v>2102498.9988356922</v>
      </c>
      <c r="G26" s="900">
        <f>SUM(G13:G25)</f>
        <v>6441019.7598000001</v>
      </c>
      <c r="H26" s="901">
        <f>IF(E26&lt;1," ",IF(G26&lt;1," ",(G26-E26)/E26))</f>
        <v>-0.34048971597518568</v>
      </c>
      <c r="I26" s="900">
        <f>SUM(I13:I25)</f>
        <v>9534928.8632600009</v>
      </c>
      <c r="J26" s="901">
        <f>IF(G26&lt;1," ",IF(I26&lt;1," ",(I26-G26)/G26))</f>
        <v>0.48034460672979984</v>
      </c>
      <c r="K26" s="900">
        <f>SUM(K13:K25)</f>
        <v>9855516.5932600014</v>
      </c>
      <c r="L26" s="902">
        <f>IF(I26&lt;1," ",IF(K26&lt;1," ",(K26-I26)/I26))</f>
        <v>3.3622456401881454E-2</v>
      </c>
      <c r="M26" s="1222"/>
      <c r="N26" s="1206"/>
      <c r="O26" s="1207"/>
      <c r="P26" s="3"/>
      <c r="Q26" s="3"/>
      <c r="R26" s="3"/>
      <c r="S26" s="3"/>
      <c r="T26" s="3"/>
      <c r="U26" s="1"/>
      <c r="V26" s="1"/>
      <c r="W26" s="1"/>
      <c r="X26" s="1"/>
      <c r="Y26" s="1"/>
      <c r="Z26" s="1"/>
      <c r="AA26" s="1"/>
      <c r="AB26" s="1"/>
      <c r="AC26" s="1"/>
      <c r="AD26" s="1"/>
      <c r="AE26" s="1"/>
      <c r="AF26" s="1"/>
      <c r="AG26" s="1"/>
      <c r="AH26" s="1"/>
    </row>
    <row r="27" spans="1:34" ht="16.5" thickTop="1">
      <c r="A27" s="68"/>
      <c r="B27" s="1"/>
      <c r="C27" s="1"/>
      <c r="D27" s="1"/>
      <c r="E27" s="269"/>
      <c r="F27" s="269"/>
      <c r="G27" s="1730"/>
      <c r="H27" s="1730"/>
      <c r="I27" s="1730"/>
      <c r="J27" s="1730"/>
      <c r="K27" s="1730"/>
      <c r="L27" s="1731"/>
      <c r="M27" s="1401"/>
      <c r="N27" s="1206"/>
      <c r="O27" s="1207"/>
      <c r="P27" s="3"/>
      <c r="Q27" s="3"/>
      <c r="R27" s="3"/>
      <c r="S27" s="3"/>
      <c r="T27" s="3"/>
      <c r="U27" s="1"/>
      <c r="V27" s="1"/>
      <c r="W27" s="1"/>
      <c r="X27" s="1"/>
      <c r="Y27" s="1"/>
      <c r="Z27" s="1"/>
      <c r="AA27" s="1"/>
      <c r="AB27" s="1"/>
      <c r="AC27" s="1"/>
      <c r="AD27" s="1"/>
      <c r="AE27" s="1"/>
      <c r="AF27" s="1"/>
      <c r="AG27" s="1"/>
      <c r="AH27" s="1"/>
    </row>
    <row r="28" spans="1:34">
      <c r="A28" s="1746" t="s">
        <v>3</v>
      </c>
      <c r="B28" s="1747"/>
      <c r="C28" s="1747"/>
      <c r="D28" s="155"/>
      <c r="E28" s="83"/>
      <c r="F28" s="83"/>
      <c r="G28" s="1728"/>
      <c r="H28" s="1728"/>
      <c r="I28" s="1728"/>
      <c r="J28" s="1728"/>
      <c r="K28" s="1728"/>
      <c r="L28" s="1729"/>
      <c r="M28" s="1401"/>
      <c r="N28" s="1206"/>
      <c r="O28" s="1207"/>
      <c r="P28" s="3"/>
      <c r="Q28" s="3"/>
      <c r="R28" s="3"/>
      <c r="S28" s="3"/>
      <c r="T28" s="3"/>
      <c r="U28" s="1"/>
      <c r="V28" s="1"/>
      <c r="W28" s="1"/>
      <c r="X28" s="1"/>
      <c r="Y28" s="1"/>
      <c r="Z28" s="1"/>
      <c r="AA28" s="1"/>
      <c r="AB28" s="1"/>
      <c r="AC28" s="1"/>
      <c r="AD28" s="1"/>
      <c r="AE28" s="1"/>
      <c r="AF28" s="1"/>
      <c r="AG28" s="1"/>
      <c r="AH28" s="1"/>
    </row>
    <row r="29" spans="1:34">
      <c r="A29" s="68"/>
      <c r="B29" s="147" t="s">
        <v>4</v>
      </c>
      <c r="C29" s="280"/>
      <c r="D29" s="279" t="s">
        <v>102</v>
      </c>
      <c r="E29" s="761">
        <f>'1st Interim-Unrestricted MYP'!E29+'1st Interim-Restricted MYP'!E29</f>
        <v>3817928</v>
      </c>
      <c r="F29" s="761">
        <f>'1st Interim-Unrestricted MYP'!F29+'1st Interim-Restricted MYP'!F29</f>
        <v>975475.72999999975</v>
      </c>
      <c r="G29" s="771">
        <f>'1st Interim-Unrestricted MYP'!G29+'1st Interim-Restricted MYP'!G29</f>
        <v>2995169.0633333335</v>
      </c>
      <c r="H29" s="31">
        <f t="shared" ref="H29:H37" si="0">IF(E29&lt;1," ",IF(G29&lt;1," ",(G29-E29)/E29))</f>
        <v>-0.2154988089525697</v>
      </c>
      <c r="I29" s="765">
        <f>'1st Interim-Unrestricted MYP'!I29+'1st Interim-Restricted MYP'!I29</f>
        <v>3947216.53</v>
      </c>
      <c r="J29" s="31">
        <f t="shared" ref="J29:J37" si="1">IF(G29&lt;1," ",IF(I29&lt;1," ",(I29-G29)/G29))</f>
        <v>0.31786101102657943</v>
      </c>
      <c r="K29" s="765">
        <f>'1st Interim-Unrestricted MYP'!K29+'1st Interim-Restricted MYP'!K29</f>
        <v>4081030.1585499989</v>
      </c>
      <c r="L29" s="311">
        <f t="shared" ref="L29:L37" si="2">IF(I29&lt;1," ",IF(K29&lt;1," ",(K29-I29)/I29))</f>
        <v>3.3900757035489788E-2</v>
      </c>
      <c r="M29" s="1222"/>
      <c r="N29" s="1206"/>
      <c r="O29" s="1207"/>
      <c r="P29" s="3"/>
      <c r="Q29" s="3"/>
      <c r="R29" s="3"/>
      <c r="S29" s="3"/>
      <c r="T29" s="3"/>
      <c r="U29" s="1"/>
      <c r="V29" s="1"/>
      <c r="W29" s="1"/>
      <c r="X29" s="1"/>
      <c r="Y29" s="1"/>
      <c r="Z29" s="1"/>
      <c r="AA29" s="1"/>
      <c r="AB29" s="1"/>
      <c r="AC29" s="1"/>
      <c r="AD29" s="1"/>
      <c r="AE29" s="1"/>
      <c r="AF29" s="1"/>
      <c r="AG29" s="1"/>
      <c r="AH29" s="1"/>
    </row>
    <row r="30" spans="1:34">
      <c r="A30" s="68"/>
      <c r="B30" s="147" t="s">
        <v>23</v>
      </c>
      <c r="C30" s="280"/>
      <c r="D30" s="279" t="s">
        <v>103</v>
      </c>
      <c r="E30" s="761">
        <f>'1st Interim-Unrestricted MYP'!E30+'1st Interim-Restricted MYP'!E30</f>
        <v>136650.5</v>
      </c>
      <c r="F30" s="761">
        <f>'1st Interim-Unrestricted MYP'!F30+'1st Interim-Restricted MYP'!F30</f>
        <v>22640</v>
      </c>
      <c r="G30" s="771">
        <f>'1st Interim-Unrestricted MYP'!G30+'1st Interim-Restricted MYP'!G30</f>
        <v>111193.33333333334</v>
      </c>
      <c r="H30" s="31">
        <f t="shared" si="0"/>
        <v>-0.18629398843521727</v>
      </c>
      <c r="I30" s="765">
        <f>'1st Interim-Unrestricted MYP'!I30+'1st Interim-Restricted MYP'!I30</f>
        <v>141153.26749999999</v>
      </c>
      <c r="J30" s="31">
        <f t="shared" si="1"/>
        <v>0.26944002188380578</v>
      </c>
      <c r="K30" s="765">
        <f>'1st Interim-Unrestricted MYP'!K30+'1st Interim-Restricted MYP'!K30</f>
        <v>145813.63186249998</v>
      </c>
      <c r="L30" s="311">
        <f t="shared" si="2"/>
        <v>3.3016340641919585E-2</v>
      </c>
      <c r="M30" s="1222"/>
      <c r="N30" s="1206"/>
      <c r="O30" s="1207"/>
      <c r="P30" s="3"/>
      <c r="Q30" s="3"/>
      <c r="R30" s="3"/>
      <c r="S30" s="3"/>
      <c r="T30" s="3"/>
      <c r="U30" s="1"/>
      <c r="V30" s="1"/>
      <c r="W30" s="1"/>
      <c r="X30" s="1"/>
      <c r="Y30" s="1"/>
      <c r="Z30" s="1"/>
      <c r="AA30" s="1"/>
      <c r="AB30" s="1"/>
      <c r="AC30" s="1"/>
      <c r="AD30" s="1"/>
      <c r="AE30" s="1"/>
      <c r="AF30" s="1"/>
      <c r="AG30" s="1"/>
      <c r="AH30" s="1"/>
    </row>
    <row r="31" spans="1:34">
      <c r="A31" s="68"/>
      <c r="B31" s="147" t="s">
        <v>24</v>
      </c>
      <c r="C31" s="280"/>
      <c r="D31" s="279" t="s">
        <v>104</v>
      </c>
      <c r="E31" s="761">
        <f>'1st Interim-Unrestricted MYP'!E31+'1st Interim-Restricted MYP'!E31</f>
        <v>1164436.7564999999</v>
      </c>
      <c r="F31" s="761">
        <f>'1st Interim-Unrestricted MYP'!F31+'1st Interim-Restricted MYP'!F31</f>
        <v>257947.52000000002</v>
      </c>
      <c r="G31" s="771">
        <f>'1st Interim-Unrestricted MYP'!G31+'1st Interim-Restricted MYP'!G31</f>
        <v>777097.86015245505</v>
      </c>
      <c r="H31" s="31">
        <f t="shared" si="0"/>
        <v>-0.33264056135756731</v>
      </c>
      <c r="I31" s="765">
        <f>'1st Interim-Unrestricted MYP'!I31+'1st Interim-Restricted MYP'!I31</f>
        <v>1205778.2674274999</v>
      </c>
      <c r="J31" s="31">
        <f t="shared" si="1"/>
        <v>0.551642758597925</v>
      </c>
      <c r="K31" s="765">
        <f>'1st Interim-Unrestricted MYP'!K31+'1st Interim-Restricted MYP'!K31</f>
        <v>1248566.7312374623</v>
      </c>
      <c r="L31" s="311">
        <f t="shared" si="2"/>
        <v>3.5486179313258467E-2</v>
      </c>
      <c r="M31" s="1222"/>
      <c r="N31" s="1206"/>
      <c r="O31" s="1207"/>
      <c r="P31" s="3"/>
      <c r="Q31" s="3"/>
      <c r="R31" s="3"/>
      <c r="S31" s="3"/>
      <c r="T31" s="3"/>
      <c r="U31" s="1"/>
      <c r="V31" s="1"/>
      <c r="W31" s="1"/>
      <c r="X31" s="1"/>
      <c r="Y31" s="1"/>
      <c r="Z31" s="1"/>
      <c r="AA31" s="1"/>
      <c r="AB31" s="1"/>
      <c r="AC31" s="1"/>
      <c r="AD31" s="1"/>
      <c r="AE31" s="1"/>
      <c r="AF31" s="1"/>
      <c r="AG31" s="1"/>
      <c r="AH31" s="1"/>
    </row>
    <row r="32" spans="1:34">
      <c r="A32" s="68"/>
      <c r="B32" s="147" t="s">
        <v>25</v>
      </c>
      <c r="C32" s="280"/>
      <c r="D32" s="279" t="s">
        <v>105</v>
      </c>
      <c r="E32" s="761">
        <f>'1st Interim-Unrestricted MYP'!E32+'1st Interim-Restricted MYP'!E32</f>
        <v>522371.33</v>
      </c>
      <c r="F32" s="761">
        <f>'1st Interim-Unrestricted MYP'!F32+'1st Interim-Restricted MYP'!F32</f>
        <v>119482.07949999999</v>
      </c>
      <c r="G32" s="771">
        <f>'1st Interim-Unrestricted MYP'!G32+'1st Interim-Restricted MYP'!G32</f>
        <v>370313</v>
      </c>
      <c r="H32" s="31">
        <f t="shared" si="0"/>
        <v>-0.29109241121636598</v>
      </c>
      <c r="I32" s="765">
        <f>'1st Interim-Unrestricted MYP'!I32+'1st Interim-Restricted MYP'!I32</f>
        <v>522371.33</v>
      </c>
      <c r="J32" s="31">
        <f t="shared" si="1"/>
        <v>0.41062109620780263</v>
      </c>
      <c r="K32" s="765">
        <f>'1st Interim-Unrestricted MYP'!K32+'1st Interim-Restricted MYP'!K32</f>
        <v>522371.33</v>
      </c>
      <c r="L32" s="311">
        <f t="shared" si="2"/>
        <v>0</v>
      </c>
      <c r="M32" s="1222"/>
      <c r="N32" s="1206"/>
      <c r="O32" s="1207"/>
      <c r="P32" s="3"/>
      <c r="Q32" s="3"/>
      <c r="R32" s="3"/>
      <c r="S32" s="3"/>
      <c r="T32" s="3"/>
      <c r="U32" s="1"/>
      <c r="V32" s="1"/>
      <c r="W32" s="1"/>
      <c r="X32" s="1"/>
      <c r="Y32" s="1"/>
      <c r="Z32" s="1"/>
      <c r="AA32" s="1"/>
      <c r="AB32" s="1"/>
      <c r="AC32" s="1"/>
      <c r="AD32" s="1"/>
      <c r="AE32" s="1"/>
      <c r="AF32" s="1"/>
      <c r="AG32" s="1"/>
      <c r="AH32" s="1"/>
    </row>
    <row r="33" spans="1:34">
      <c r="A33" s="68"/>
      <c r="B33" s="147" t="s">
        <v>26</v>
      </c>
      <c r="C33" s="280"/>
      <c r="D33" s="279" t="s">
        <v>106</v>
      </c>
      <c r="E33" s="761">
        <f>'1st Interim-Unrestricted MYP'!E33+'1st Interim-Restricted MYP'!E33</f>
        <v>4783554.3687866004</v>
      </c>
      <c r="F33" s="761">
        <f>'1st Interim-Unrestricted MYP'!F33+'1st Interim-Restricted MYP'!F33</f>
        <v>1194372.4786</v>
      </c>
      <c r="G33" s="771">
        <f>'1st Interim-Unrestricted MYP'!G33+'1st Interim-Restricted MYP'!G33</f>
        <v>2682796</v>
      </c>
      <c r="H33" s="31">
        <f t="shared" si="0"/>
        <v>-0.43916264075398814</v>
      </c>
      <c r="I33" s="765">
        <f>'1st Interim-Unrestricted MYP'!I33+'1st Interim-Restricted MYP'!I33</f>
        <v>4757434.2904866003</v>
      </c>
      <c r="J33" s="31">
        <f t="shared" si="1"/>
        <v>0.77331198141289914</v>
      </c>
      <c r="K33" s="765">
        <f>'1st Interim-Unrestricted MYP'!K33+'1st Interim-Restricted MYP'!K33</f>
        <v>4820467.4691866003</v>
      </c>
      <c r="L33" s="311">
        <f t="shared" si="2"/>
        <v>1.3249406056127132E-2</v>
      </c>
      <c r="M33" s="1222"/>
      <c r="N33" s="1206"/>
      <c r="O33" s="1207"/>
      <c r="P33" s="3"/>
      <c r="Q33" s="3"/>
      <c r="R33" s="3"/>
      <c r="S33" s="3"/>
      <c r="T33" s="3"/>
      <c r="U33" s="1"/>
      <c r="V33" s="1"/>
      <c r="W33" s="1"/>
      <c r="X33" s="1"/>
      <c r="Y33" s="1"/>
      <c r="Z33" s="1"/>
      <c r="AA33" s="1"/>
      <c r="AB33" s="1"/>
      <c r="AC33" s="1"/>
      <c r="AD33" s="1"/>
      <c r="AE33" s="1"/>
      <c r="AF33" s="1"/>
      <c r="AG33" s="1"/>
      <c r="AH33" s="1"/>
    </row>
    <row r="34" spans="1:34">
      <c r="A34" s="68"/>
      <c r="B34" s="147" t="s">
        <v>5</v>
      </c>
      <c r="C34" s="280"/>
      <c r="D34" s="279" t="s">
        <v>107</v>
      </c>
      <c r="E34" s="761">
        <f>'1st Interim-Unrestricted MYP'!E34+'1st Interim-Restricted MYP'!E34</f>
        <v>14362.290000000005</v>
      </c>
      <c r="F34" s="761">
        <f>'1st Interim-Unrestricted MYP'!F34+'1st Interim-Restricted MYP'!F34</f>
        <v>8442.2681000000011</v>
      </c>
      <c r="G34" s="771">
        <f>'1st Interim-Unrestricted MYP'!G34+'1st Interim-Restricted MYP'!G34</f>
        <v>22116</v>
      </c>
      <c r="H34" s="31">
        <f t="shared" si="0"/>
        <v>0.53986585704647327</v>
      </c>
      <c r="I34" s="765">
        <f>'1st Interim-Unrestricted MYP'!I34+'1st Interim-Restricted MYP'!I34</f>
        <v>14362.290000000005</v>
      </c>
      <c r="J34" s="31">
        <f t="shared" si="1"/>
        <v>-0.35059278350515444</v>
      </c>
      <c r="K34" s="765">
        <f>'1st Interim-Unrestricted MYP'!K34+'1st Interim-Restricted MYP'!K34</f>
        <v>14362.290000000005</v>
      </c>
      <c r="L34" s="311">
        <f t="shared" si="2"/>
        <v>0</v>
      </c>
      <c r="M34" s="1222"/>
      <c r="N34" s="1206"/>
      <c r="O34" s="1207"/>
      <c r="P34" s="3"/>
      <c r="Q34" s="3"/>
      <c r="R34" s="3"/>
      <c r="S34" s="3"/>
      <c r="T34" s="3"/>
      <c r="U34" s="1"/>
      <c r="V34" s="1"/>
      <c r="W34" s="1"/>
      <c r="X34" s="1"/>
      <c r="Y34" s="1"/>
      <c r="Z34" s="1"/>
      <c r="AA34" s="1"/>
      <c r="AB34" s="1"/>
      <c r="AC34" s="1"/>
      <c r="AD34" s="1"/>
      <c r="AE34" s="1"/>
      <c r="AF34" s="1"/>
      <c r="AG34" s="1"/>
      <c r="AH34" s="1"/>
    </row>
    <row r="35" spans="1:34">
      <c r="A35" s="68"/>
      <c r="B35" s="147" t="s">
        <v>27</v>
      </c>
      <c r="C35" s="280"/>
      <c r="D35" s="279" t="s">
        <v>108</v>
      </c>
      <c r="E35" s="761">
        <f>'1st Interim-Unrestricted MYP'!E35+'1st Interim-Restricted MYP'!E35</f>
        <v>2499</v>
      </c>
      <c r="F35" s="761">
        <f>'1st Interim-Unrestricted MYP'!F35+'1st Interim-Restricted MYP'!F35</f>
        <v>0</v>
      </c>
      <c r="G35" s="771">
        <f>'1st Interim-Unrestricted MYP'!G35+'1st Interim-Restricted MYP'!G35</f>
        <v>2499</v>
      </c>
      <c r="H35" s="31">
        <f t="shared" si="0"/>
        <v>0</v>
      </c>
      <c r="I35" s="765">
        <f>'1st Interim-Unrestricted MYP'!I35+'1st Interim-Restricted MYP'!I35</f>
        <v>2499</v>
      </c>
      <c r="J35" s="31">
        <f t="shared" si="1"/>
        <v>0</v>
      </c>
      <c r="K35" s="765">
        <f>'1st Interim-Unrestricted MYP'!K35+'1st Interim-Restricted MYP'!K35</f>
        <v>2499</v>
      </c>
      <c r="L35" s="311">
        <f t="shared" si="2"/>
        <v>0</v>
      </c>
      <c r="M35" s="1222"/>
      <c r="N35" s="1206"/>
      <c r="O35" s="1207"/>
      <c r="P35" s="3"/>
      <c r="Q35" s="3"/>
      <c r="R35" s="3"/>
      <c r="S35" s="3"/>
      <c r="T35" s="3"/>
      <c r="U35" s="1"/>
      <c r="V35" s="1"/>
      <c r="W35" s="1"/>
      <c r="X35" s="1"/>
      <c r="Y35" s="1"/>
      <c r="Z35" s="1"/>
      <c r="AA35" s="1"/>
      <c r="AB35" s="1"/>
      <c r="AC35" s="1"/>
      <c r="AD35" s="1"/>
      <c r="AE35" s="1"/>
      <c r="AF35" s="1"/>
      <c r="AG35" s="1"/>
      <c r="AH35" s="1"/>
    </row>
    <row r="36" spans="1:34" ht="16.5" thickBot="1">
      <c r="A36" s="68"/>
      <c r="B36" s="899" t="s">
        <v>149</v>
      </c>
      <c r="C36" s="932"/>
      <c r="D36" s="629" t="s">
        <v>114</v>
      </c>
      <c r="E36" s="895">
        <f>'1st Interim-Unrestricted MYP'!E36+'1st Interim-Restricted MYP'!E36</f>
        <v>0</v>
      </c>
      <c r="F36" s="895">
        <f>'1st Interim-Unrestricted MYP'!F36+'1st Interim-Restricted MYP'!F36</f>
        <v>0</v>
      </c>
      <c r="G36" s="942">
        <f>'1st Interim-Unrestricted MYP'!G36+'1st Interim-Restricted MYP'!G36</f>
        <v>0</v>
      </c>
      <c r="H36" s="96" t="str">
        <f t="shared" si="0"/>
        <v xml:space="preserve"> </v>
      </c>
      <c r="I36" s="815">
        <f>'1st Interim-Unrestricted MYP'!I36+'1st Interim-Restricted MYP'!I36</f>
        <v>0</v>
      </c>
      <c r="J36" s="96" t="str">
        <f t="shared" si="1"/>
        <v xml:space="preserve"> </v>
      </c>
      <c r="K36" s="815">
        <f>'1st Interim-Unrestricted MYP'!K36+'1st Interim-Restricted MYP'!K36</f>
        <v>0</v>
      </c>
      <c r="L36" s="312" t="str">
        <f t="shared" si="2"/>
        <v xml:space="preserve"> </v>
      </c>
      <c r="M36" s="1222"/>
      <c r="N36" s="1206"/>
      <c r="O36" s="1207"/>
      <c r="P36" s="3"/>
      <c r="Q36" s="3"/>
      <c r="R36" s="3"/>
      <c r="S36" s="3"/>
      <c r="T36" s="3"/>
      <c r="U36" s="1"/>
      <c r="V36" s="1"/>
      <c r="W36" s="1"/>
      <c r="X36" s="1"/>
      <c r="Y36" s="1"/>
      <c r="Z36" s="1"/>
      <c r="AA36" s="1"/>
      <c r="AB36" s="1"/>
      <c r="AC36" s="1"/>
      <c r="AD36" s="1"/>
      <c r="AE36" s="1"/>
      <c r="AF36" s="1"/>
      <c r="AG36" s="1"/>
      <c r="AH36" s="1"/>
    </row>
    <row r="37" spans="1:34" ht="17.25" thickTop="1" thickBot="1">
      <c r="A37" s="68"/>
      <c r="B37" s="912" t="s">
        <v>28</v>
      </c>
      <c r="C37" s="957"/>
      <c r="D37" s="958"/>
      <c r="E37" s="900">
        <f>ROUND(SUM(E29:E36),0)</f>
        <v>10441802</v>
      </c>
      <c r="F37" s="900">
        <f>SUM(F29:F36)</f>
        <v>2578360.0762</v>
      </c>
      <c r="G37" s="900">
        <f>SUM(G29:G36)</f>
        <v>6961184.2568191215</v>
      </c>
      <c r="H37" s="901">
        <f t="shared" si="0"/>
        <v>-0.33333496873249258</v>
      </c>
      <c r="I37" s="900">
        <f>SUM(I29:I36)</f>
        <v>10590814.975414099</v>
      </c>
      <c r="J37" s="901">
        <f t="shared" si="1"/>
        <v>0.52140994760186388</v>
      </c>
      <c r="K37" s="900">
        <f>SUM(K29:K36)</f>
        <v>10835110.61083656</v>
      </c>
      <c r="L37" s="902">
        <f t="shared" si="2"/>
        <v>2.3066745664953779E-2</v>
      </c>
      <c r="M37" s="1222"/>
      <c r="N37" s="1206"/>
      <c r="O37" s="1207"/>
      <c r="P37" s="3"/>
      <c r="Q37" s="3"/>
      <c r="R37" s="3"/>
      <c r="S37" s="3"/>
      <c r="T37" s="3"/>
      <c r="U37" s="1"/>
      <c r="V37" s="1"/>
      <c r="W37" s="1"/>
      <c r="X37" s="1"/>
      <c r="Y37" s="1"/>
      <c r="Z37" s="1"/>
      <c r="AA37" s="1"/>
      <c r="AB37" s="1"/>
      <c r="AC37" s="1"/>
      <c r="AD37" s="1"/>
      <c r="AE37" s="1"/>
      <c r="AF37" s="1"/>
      <c r="AG37" s="1"/>
      <c r="AH37" s="1"/>
    </row>
    <row r="38" spans="1:34" ht="17.25" thickTop="1" thickBot="1">
      <c r="A38" s="68"/>
      <c r="B38" s="1"/>
      <c r="C38" s="1"/>
      <c r="D38" s="168"/>
      <c r="E38" s="277"/>
      <c r="F38" s="277"/>
      <c r="G38" s="1755"/>
      <c r="H38" s="1755"/>
      <c r="I38" s="1755"/>
      <c r="J38" s="1755"/>
      <c r="K38" s="1755"/>
      <c r="L38" s="1756"/>
      <c r="M38" s="1402"/>
      <c r="N38" s="1206"/>
      <c r="O38" s="1207"/>
      <c r="P38" s="3"/>
      <c r="Q38" s="3"/>
      <c r="R38" s="3"/>
      <c r="S38" s="3"/>
      <c r="T38" s="3"/>
      <c r="U38" s="1"/>
      <c r="V38" s="1"/>
      <c r="W38" s="1"/>
      <c r="X38" s="1"/>
      <c r="Y38" s="1"/>
      <c r="Z38" s="1"/>
      <c r="AA38" s="1"/>
      <c r="AB38" s="1"/>
      <c r="AC38" s="1"/>
      <c r="AD38" s="1"/>
      <c r="AE38" s="1"/>
      <c r="AF38" s="1"/>
      <c r="AG38" s="1"/>
      <c r="AH38" s="1"/>
    </row>
    <row r="39" spans="1:34" ht="17.25" thickTop="1" thickBot="1">
      <c r="A39" s="915" t="s">
        <v>208</v>
      </c>
      <c r="B39" s="916"/>
      <c r="C39" s="920"/>
      <c r="D39" s="921"/>
      <c r="E39" s="917">
        <f>SUM(E26-E37)</f>
        <v>-675434.56673999876</v>
      </c>
      <c r="F39" s="917">
        <f>SUM(F26-F37)</f>
        <v>-475861.07736430783</v>
      </c>
      <c r="G39" s="917">
        <f>SUM(G26-G37)</f>
        <v>-520164.49701912142</v>
      </c>
      <c r="H39" s="918" t="str">
        <f>IF(E39&lt;1," ",IF(G39&lt;1," ",(G39-E39)/E39))</f>
        <v xml:space="preserve"> </v>
      </c>
      <c r="I39" s="917">
        <f>SUM(I26-I37)</f>
        <v>-1055886.1121540982</v>
      </c>
      <c r="J39" s="918" t="str">
        <f>IF(G39&lt;1," ",IF(I39&lt;1," ",(I39-G39)/G39))</f>
        <v xml:space="preserve"> </v>
      </c>
      <c r="K39" s="917">
        <f>SUM(K26-K37)</f>
        <v>-979594.01757655852</v>
      </c>
      <c r="L39" s="919" t="str">
        <f>IF(I39&lt;1," ",IF(K39&lt;1," ",(K39-I39)/I39))</f>
        <v xml:space="preserve"> </v>
      </c>
      <c r="M39" s="1222"/>
      <c r="N39" s="1206"/>
      <c r="O39" s="1207"/>
      <c r="P39" s="3"/>
      <c r="Q39" s="3"/>
      <c r="R39" s="3"/>
      <c r="S39" s="3"/>
      <c r="T39" s="3"/>
      <c r="U39" s="1"/>
      <c r="V39" s="1"/>
      <c r="W39" s="1"/>
      <c r="X39" s="1"/>
      <c r="Y39" s="1"/>
      <c r="Z39" s="1"/>
      <c r="AA39" s="1"/>
      <c r="AB39" s="1"/>
      <c r="AC39" s="1"/>
      <c r="AD39" s="1"/>
      <c r="AE39" s="1"/>
      <c r="AF39" s="1"/>
      <c r="AG39" s="1"/>
      <c r="AH39" s="1"/>
    </row>
    <row r="40" spans="1:34" ht="16.5" thickTop="1">
      <c r="A40" s="68"/>
      <c r="B40" s="1"/>
      <c r="C40" s="1"/>
      <c r="D40" s="344"/>
      <c r="E40" s="84"/>
      <c r="F40" s="84"/>
      <c r="G40" s="1726"/>
      <c r="H40" s="1726"/>
      <c r="I40" s="1726"/>
      <c r="J40" s="1726"/>
      <c r="K40" s="1726"/>
      <c r="L40" s="1727"/>
      <c r="M40" s="1401"/>
      <c r="N40" s="1206"/>
      <c r="O40" s="1207"/>
      <c r="P40" s="3"/>
      <c r="Q40" s="3"/>
      <c r="R40" s="3"/>
      <c r="S40" s="3"/>
      <c r="T40" s="3"/>
      <c r="U40" s="1"/>
      <c r="V40" s="1"/>
      <c r="W40" s="1"/>
      <c r="X40" s="1"/>
      <c r="Y40" s="1"/>
      <c r="Z40" s="1"/>
      <c r="AA40" s="1"/>
      <c r="AB40" s="1"/>
      <c r="AC40" s="1"/>
      <c r="AD40" s="1"/>
      <c r="AE40" s="1"/>
      <c r="AF40" s="1"/>
      <c r="AG40" s="1"/>
      <c r="AH40" s="1"/>
    </row>
    <row r="41" spans="1:34">
      <c r="A41" s="306" t="s">
        <v>29</v>
      </c>
      <c r="B41" s="1"/>
      <c r="C41" s="155"/>
      <c r="D41" s="345"/>
      <c r="E41" s="83"/>
      <c r="F41" s="83"/>
      <c r="G41" s="1728"/>
      <c r="H41" s="1728"/>
      <c r="I41" s="1728"/>
      <c r="J41" s="1728"/>
      <c r="K41" s="1728"/>
      <c r="L41" s="1729"/>
      <c r="M41" s="1401"/>
      <c r="N41" s="1206"/>
      <c r="O41" s="1207"/>
      <c r="P41" s="3"/>
      <c r="Q41" s="3"/>
      <c r="R41" s="3"/>
      <c r="S41" s="3"/>
      <c r="T41" s="3"/>
      <c r="U41" s="1"/>
      <c r="V41" s="1"/>
      <c r="W41" s="1"/>
      <c r="X41" s="1"/>
      <c r="Y41" s="1"/>
      <c r="Z41" s="1"/>
      <c r="AA41" s="1"/>
      <c r="AB41" s="1"/>
      <c r="AC41" s="1"/>
      <c r="AD41" s="1"/>
      <c r="AE41" s="1"/>
      <c r="AF41" s="1"/>
      <c r="AG41" s="1"/>
      <c r="AH41" s="1"/>
    </row>
    <row r="42" spans="1:34">
      <c r="A42" s="68"/>
      <c r="B42" s="147" t="s">
        <v>127</v>
      </c>
      <c r="C42" s="280"/>
      <c r="D42" s="310">
        <v>8900</v>
      </c>
      <c r="E42" s="765">
        <f>'1st Interim-Unrestricted MYP'!E42+'1st Interim-Restricted MYP'!E42</f>
        <v>0</v>
      </c>
      <c r="F42" s="765">
        <f>'1st Interim-Unrestricted MYP'!F42+'1st Interim-Restricted MYP'!F42</f>
        <v>0</v>
      </c>
      <c r="G42" s="765">
        <f>'1st Interim-Unrestricted MYP'!G42+'1st Interim-Restricted MYP'!G42</f>
        <v>0</v>
      </c>
      <c r="H42" s="31" t="str">
        <f>IF(E42&lt;1," ",IF(G42&lt;1," ",(G42-E42)/E42))</f>
        <v xml:space="preserve"> </v>
      </c>
      <c r="I42" s="765">
        <f>'1st Interim-Unrestricted MYP'!I42+'1st Interim-Restricted MYP'!I42</f>
        <v>0</v>
      </c>
      <c r="J42" s="31" t="str">
        <f>IF(G42&lt;1," ",IF(I42&lt;1," ",(I42-G42)/G42))</f>
        <v xml:space="preserve"> </v>
      </c>
      <c r="K42" s="765">
        <f>'1st Interim-Unrestricted MYP'!K42+'1st Interim-Restricted MYP'!K42</f>
        <v>0</v>
      </c>
      <c r="L42" s="311" t="str">
        <f>IF(I42&lt;1," ",IF(K42&lt;1," ",(K42-I42)/I42))</f>
        <v xml:space="preserve"> </v>
      </c>
      <c r="M42" s="1222"/>
      <c r="N42" s="1206"/>
      <c r="O42" s="1207"/>
      <c r="P42" s="3"/>
      <c r="Q42" s="3"/>
      <c r="R42" s="3"/>
      <c r="S42" s="3"/>
      <c r="T42" s="3"/>
      <c r="U42" s="1"/>
      <c r="V42" s="1"/>
      <c r="W42" s="1"/>
      <c r="X42" s="1"/>
      <c r="Y42" s="1"/>
      <c r="Z42" s="1"/>
      <c r="AA42" s="1"/>
      <c r="AB42" s="1"/>
      <c r="AC42" s="1"/>
      <c r="AD42" s="1"/>
      <c r="AE42" s="1"/>
      <c r="AF42" s="1"/>
      <c r="AG42" s="1"/>
      <c r="AH42" s="1"/>
    </row>
    <row r="43" spans="1:34" ht="16.5" thickBot="1">
      <c r="A43" s="68"/>
      <c r="B43" s="899" t="s">
        <v>30</v>
      </c>
      <c r="C43" s="932"/>
      <c r="D43" s="928">
        <v>7600</v>
      </c>
      <c r="E43" s="815">
        <f>'1st Interim-Unrestricted MYP'!E43+'1st Interim-Restricted MYP'!E43</f>
        <v>-945000</v>
      </c>
      <c r="F43" s="815">
        <f>'1st Interim-Unrestricted MYP'!F43+'1st Interim-Restricted MYP'!F43</f>
        <v>-402000</v>
      </c>
      <c r="G43" s="815">
        <f>'1st Interim-Unrestricted MYP'!G43+'1st Interim-Restricted MYP'!G43</f>
        <v>-360000</v>
      </c>
      <c r="H43" s="96" t="str">
        <f>IF(E43&lt;1," ",IF(G43&lt;1," ",(G43-E43)/E43))</f>
        <v xml:space="preserve"> </v>
      </c>
      <c r="I43" s="815">
        <f>'1st Interim-Unrestricted MYP'!I43+'1st Interim-Restricted MYP'!I43</f>
        <v>-1100000</v>
      </c>
      <c r="J43" s="96" t="str">
        <f>IF(G43&lt;1," ",IF(I43&lt;1," ",(I43-G43)/G43))</f>
        <v xml:space="preserve"> </v>
      </c>
      <c r="K43" s="815">
        <f>'1st Interim-Unrestricted MYP'!K43+'1st Interim-Restricted MYP'!K43</f>
        <v>-1000000</v>
      </c>
      <c r="L43" s="312" t="str">
        <f>IF(I43&lt;1," ",IF(K43&lt;1," ",(K43-I43)/I43))</f>
        <v xml:space="preserve"> </v>
      </c>
      <c r="M43" s="1222"/>
      <c r="N43" s="1206"/>
      <c r="O43" s="1207"/>
      <c r="P43" s="3"/>
      <c r="Q43" s="3"/>
      <c r="R43" s="3"/>
      <c r="S43" s="3"/>
      <c r="T43" s="3"/>
      <c r="U43" s="1"/>
      <c r="V43" s="1"/>
      <c r="W43" s="1"/>
      <c r="X43" s="1"/>
      <c r="Y43" s="1"/>
      <c r="Z43" s="1"/>
      <c r="AA43" s="1"/>
      <c r="AB43" s="1"/>
      <c r="AC43" s="1"/>
      <c r="AD43" s="1"/>
      <c r="AE43" s="1"/>
      <c r="AF43" s="1"/>
      <c r="AG43" s="1"/>
      <c r="AH43" s="1"/>
    </row>
    <row r="44" spans="1:34" ht="17.25" thickTop="1" thickBot="1">
      <c r="A44" s="68"/>
      <c r="B44" s="912" t="s">
        <v>31</v>
      </c>
      <c r="C44" s="957"/>
      <c r="D44" s="958"/>
      <c r="E44" s="900">
        <f>'1st Interim-Unrestricted MYP'!E44+'1st Interim-Restricted MYP'!E44</f>
        <v>945000</v>
      </c>
      <c r="F44" s="900">
        <f>F42-F43</f>
        <v>402000</v>
      </c>
      <c r="G44" s="900">
        <f>G42-G43</f>
        <v>360000</v>
      </c>
      <c r="H44" s="901">
        <f>IF(E44&lt;1," ",IF(G44&lt;1," ",(G44-E44)/E44))</f>
        <v>-0.61904761904761907</v>
      </c>
      <c r="I44" s="900">
        <f>I42-I43</f>
        <v>1100000</v>
      </c>
      <c r="J44" s="901">
        <f>IF(G44&lt;1," ",IF(I44&lt;1," ",(I44-G44)/G44))</f>
        <v>2.0555555555555554</v>
      </c>
      <c r="K44" s="900">
        <f>K42-K43</f>
        <v>1000000</v>
      </c>
      <c r="L44" s="902">
        <f>IF(I44&lt;1," ",IF(K44&lt;1," ",(K44-I44)/I44))</f>
        <v>-9.0909090909090912E-2</v>
      </c>
      <c r="M44" s="1222"/>
      <c r="N44" s="1206"/>
      <c r="O44" s="1207"/>
      <c r="P44" s="3"/>
      <c r="Q44" s="3"/>
      <c r="R44" s="3"/>
      <c r="S44" s="3"/>
      <c r="T44" s="3"/>
      <c r="U44" s="1"/>
      <c r="V44" s="1"/>
      <c r="W44" s="1"/>
      <c r="X44" s="1"/>
      <c r="Y44" s="1"/>
      <c r="Z44" s="1"/>
      <c r="AA44" s="1"/>
      <c r="AB44" s="1"/>
      <c r="AC44" s="1"/>
      <c r="AD44" s="1"/>
      <c r="AE44" s="1"/>
      <c r="AF44" s="1"/>
      <c r="AG44" s="1"/>
      <c r="AH44" s="1"/>
    </row>
    <row r="45" spans="1:34" ht="17.25" thickTop="1" thickBot="1">
      <c r="A45" s="68"/>
      <c r="B45" s="1"/>
      <c r="C45" s="1"/>
      <c r="D45" s="168"/>
      <c r="E45" s="269"/>
      <c r="F45" s="269"/>
      <c r="G45" s="269"/>
      <c r="H45" s="52"/>
      <c r="I45" s="269"/>
      <c r="J45" s="52"/>
      <c r="K45" s="269"/>
      <c r="L45" s="313"/>
      <c r="M45" s="1222"/>
      <c r="N45" s="1206"/>
      <c r="O45" s="1207"/>
      <c r="P45" s="3"/>
      <c r="Q45" s="3"/>
      <c r="R45" s="3"/>
      <c r="S45" s="3"/>
      <c r="T45" s="3"/>
      <c r="U45" s="1"/>
      <c r="V45" s="1"/>
      <c r="W45" s="1"/>
      <c r="X45" s="1"/>
      <c r="Y45" s="1"/>
      <c r="Z45" s="1"/>
      <c r="AA45" s="1"/>
      <c r="AB45" s="1"/>
      <c r="AC45" s="1"/>
      <c r="AD45" s="1"/>
      <c r="AE45" s="1"/>
      <c r="AF45" s="1"/>
      <c r="AG45" s="1"/>
      <c r="AH45" s="1"/>
    </row>
    <row r="46" spans="1:34" ht="17.25" thickTop="1" thickBot="1">
      <c r="A46" s="915" t="s">
        <v>32</v>
      </c>
      <c r="B46" s="916"/>
      <c r="C46" s="920"/>
      <c r="D46" s="921"/>
      <c r="E46" s="917">
        <f>ROUND(E39+E44,0)</f>
        <v>269565</v>
      </c>
      <c r="F46" s="917">
        <f>F39+F44</f>
        <v>-73861.077364307828</v>
      </c>
      <c r="G46" s="917">
        <f>G39+G44</f>
        <v>-160164.49701912142</v>
      </c>
      <c r="H46" s="918" t="str">
        <f>IF(E46&lt;1," ",IF(G46&lt;1," ",(G46-E46)/E46))</f>
        <v xml:space="preserve"> </v>
      </c>
      <c r="I46" s="917">
        <f>I39+I44</f>
        <v>44113.887845901772</v>
      </c>
      <c r="J46" s="918" t="str">
        <f>IF(G46&lt;1," ",IF(I46&lt;1," ",(I46-G46)/G46))</f>
        <v xml:space="preserve"> </v>
      </c>
      <c r="K46" s="917">
        <f>K39+K44</f>
        <v>20405.982423441485</v>
      </c>
      <c r="L46" s="919">
        <f>IF(I46&lt;1," ",IF(K46&lt;1," ",(K46-I46)/I46))</f>
        <v>-0.53742498292774654</v>
      </c>
      <c r="M46" s="1222"/>
      <c r="N46" s="1206"/>
      <c r="O46" s="1207"/>
      <c r="P46" s="3"/>
      <c r="Q46" s="3"/>
      <c r="R46" s="3"/>
      <c r="S46" s="3"/>
      <c r="T46" s="3"/>
      <c r="U46" s="1"/>
      <c r="V46" s="1"/>
      <c r="W46" s="1"/>
      <c r="X46" s="1"/>
      <c r="Y46" s="1"/>
      <c r="Z46" s="1"/>
      <c r="AA46" s="1"/>
      <c r="AB46" s="1"/>
      <c r="AC46" s="1"/>
      <c r="AD46" s="1"/>
      <c r="AE46" s="1"/>
      <c r="AF46" s="1"/>
      <c r="AG46" s="1"/>
      <c r="AH46" s="1"/>
    </row>
    <row r="47" spans="1:34" ht="16.5" thickTop="1">
      <c r="A47" s="306"/>
      <c r="B47" s="1"/>
      <c r="C47" s="1"/>
      <c r="D47" s="168"/>
      <c r="E47" s="269"/>
      <c r="F47" s="269"/>
      <c r="G47" s="1730"/>
      <c r="H47" s="1730"/>
      <c r="I47" s="1730"/>
      <c r="J47" s="1730"/>
      <c r="K47" s="1730"/>
      <c r="L47" s="1731"/>
      <c r="M47" s="1401"/>
      <c r="N47" s="1206"/>
      <c r="O47" s="1207"/>
      <c r="P47" s="3"/>
      <c r="Q47" s="3"/>
      <c r="R47" s="3"/>
      <c r="S47" s="3"/>
      <c r="T47" s="3"/>
      <c r="U47" s="1"/>
      <c r="V47" s="1"/>
      <c r="W47" s="1"/>
      <c r="X47" s="1"/>
      <c r="Y47" s="1"/>
      <c r="Z47" s="1"/>
      <c r="AA47" s="1"/>
      <c r="AB47" s="1"/>
      <c r="AC47" s="1"/>
      <c r="AD47" s="1"/>
      <c r="AE47" s="1"/>
      <c r="AF47" s="1"/>
      <c r="AG47" s="1"/>
      <c r="AH47" s="1"/>
    </row>
    <row r="48" spans="1:34">
      <c r="A48" s="306" t="s">
        <v>6</v>
      </c>
      <c r="B48" s="1"/>
      <c r="C48" s="155"/>
      <c r="D48" s="345"/>
      <c r="E48" s="269"/>
      <c r="F48" s="269"/>
      <c r="G48" s="1730"/>
      <c r="H48" s="1730"/>
      <c r="I48" s="1730"/>
      <c r="J48" s="1730"/>
      <c r="K48" s="1730"/>
      <c r="L48" s="1731"/>
      <c r="M48" s="1401"/>
      <c r="N48" s="1206"/>
      <c r="O48" s="1207"/>
      <c r="P48" s="3"/>
      <c r="Q48" s="3"/>
      <c r="R48" s="3"/>
      <c r="S48" s="3"/>
      <c r="T48" s="3"/>
      <c r="U48" s="1"/>
      <c r="V48" s="1"/>
      <c r="W48" s="1"/>
      <c r="X48" s="1"/>
      <c r="Y48" s="1"/>
      <c r="Z48" s="1"/>
      <c r="AA48" s="1"/>
      <c r="AB48" s="1"/>
      <c r="AC48" s="1"/>
      <c r="AD48" s="1"/>
      <c r="AE48" s="1"/>
      <c r="AF48" s="1"/>
      <c r="AG48" s="1"/>
      <c r="AH48" s="1"/>
    </row>
    <row r="49" spans="1:38">
      <c r="A49" s="68"/>
      <c r="B49" s="293" t="s">
        <v>162</v>
      </c>
      <c r="C49" s="294"/>
      <c r="D49" s="295">
        <v>9791</v>
      </c>
      <c r="E49" s="765">
        <f>'1st Interim-Unrestricted MYP'!E49+'1st Interim-Restricted MYP'!E49</f>
        <v>193690.83966911718</v>
      </c>
      <c r="F49" s="765">
        <f>'1st Interim-Unrestricted MYP'!F49+'1st Interim-Restricted MYP'!F49</f>
        <v>193690.83966911718</v>
      </c>
      <c r="G49" s="765">
        <f>'1st Interim-Unrestricted MYP'!G49+'1st Interim-Restricted MYP'!G49</f>
        <v>193690.83966911718</v>
      </c>
      <c r="H49" s="1213">
        <f>IF(E49&lt;1," ",IF(G49&lt;1," ",(G49-E49)/E49))</f>
        <v>0</v>
      </c>
      <c r="I49" s="1085"/>
      <c r="J49" s="1088" t="str">
        <f>IF(G49&lt;1," ",IF(I49&lt;1," ",(I49-G49)/G49))</f>
        <v xml:space="preserve"> </v>
      </c>
      <c r="K49" s="1086"/>
      <c r="L49" s="1089" t="str">
        <f>IF(I49&lt;1," ",IF(K49&lt;1," ",(K49-I49)/I49))</f>
        <v xml:space="preserve"> </v>
      </c>
      <c r="M49" s="1400"/>
      <c r="N49" s="1206"/>
      <c r="O49" s="1207"/>
      <c r="P49" s="3"/>
      <c r="Q49" s="3"/>
      <c r="R49" s="3"/>
      <c r="S49" s="3"/>
      <c r="T49" s="3"/>
      <c r="U49" s="1"/>
      <c r="V49" s="1"/>
      <c r="W49" s="1"/>
      <c r="X49" s="1"/>
      <c r="Y49" s="1"/>
      <c r="Z49" s="1"/>
      <c r="AA49" s="1"/>
      <c r="AB49" s="1"/>
      <c r="AC49" s="1"/>
      <c r="AD49" s="1"/>
      <c r="AE49" s="1"/>
      <c r="AF49" s="1"/>
      <c r="AG49" s="1"/>
      <c r="AH49" s="1"/>
    </row>
    <row r="50" spans="1:38">
      <c r="A50" s="68"/>
      <c r="B50" s="315" t="s">
        <v>136</v>
      </c>
      <c r="C50" s="316"/>
      <c r="D50" s="317">
        <v>9792</v>
      </c>
      <c r="E50" s="877"/>
      <c r="F50" s="765">
        <f>'1st Interim-Unrestricted MYP'!F50+'1st Interim-Restricted MYP'!F50</f>
        <v>0</v>
      </c>
      <c r="G50" s="765">
        <f>'1st Interim-Unrestricted MYP'!G50+'1st Interim-Restricted MYP'!G50</f>
        <v>0</v>
      </c>
      <c r="H50" s="624"/>
      <c r="I50" s="800"/>
      <c r="J50" s="597"/>
      <c r="K50" s="798"/>
      <c r="L50" s="599"/>
      <c r="M50" s="1400"/>
      <c r="N50" s="1206"/>
      <c r="O50" s="1207"/>
      <c r="P50" s="3"/>
      <c r="Q50" s="3"/>
      <c r="R50" s="3"/>
      <c r="S50" s="3"/>
      <c r="T50" s="3"/>
      <c r="U50" s="1"/>
      <c r="V50" s="1"/>
      <c r="W50" s="1"/>
      <c r="X50" s="1"/>
      <c r="Y50" s="1"/>
      <c r="Z50" s="1"/>
      <c r="AA50" s="1"/>
      <c r="AB50" s="1"/>
      <c r="AC50" s="1"/>
      <c r="AD50" s="1"/>
      <c r="AE50" s="1"/>
      <c r="AF50" s="1"/>
      <c r="AG50" s="1"/>
      <c r="AH50" s="1"/>
    </row>
    <row r="51" spans="1:38">
      <c r="A51" s="68"/>
      <c r="B51" s="315" t="str">
        <f>'Budget-Restricted MYP'!B51</f>
        <v xml:space="preserve">  Beg Fund Balance at Unaudited Actuals</v>
      </c>
      <c r="C51" s="316"/>
      <c r="D51" s="965"/>
      <c r="E51" s="877"/>
      <c r="F51" s="765">
        <f>'1st Interim-Unrestricted MYP'!F51+'1st Interim-Restricted MYP'!F51</f>
        <v>193690.83966911718</v>
      </c>
      <c r="G51" s="765">
        <f>'1st Interim-Unrestricted MYP'!G51+'1st Interim-Restricted MYP'!G51</f>
        <v>193690.83966911718</v>
      </c>
      <c r="H51" s="624"/>
      <c r="I51" s="800"/>
      <c r="J51" s="597"/>
      <c r="K51" s="798"/>
      <c r="L51" s="599"/>
      <c r="M51" s="1400"/>
      <c r="N51" s="1206"/>
      <c r="O51" s="1207"/>
      <c r="P51" s="3"/>
      <c r="Q51" s="3"/>
      <c r="R51" s="3"/>
      <c r="S51" s="3"/>
      <c r="T51" s="3"/>
      <c r="U51" s="1"/>
      <c r="V51" s="1"/>
      <c r="W51" s="1"/>
      <c r="X51" s="1"/>
      <c r="Y51" s="1"/>
      <c r="Z51" s="1"/>
      <c r="AA51" s="1"/>
      <c r="AB51" s="1"/>
      <c r="AC51" s="1"/>
      <c r="AD51" s="1"/>
      <c r="AE51" s="1"/>
      <c r="AF51" s="1"/>
      <c r="AG51" s="1"/>
      <c r="AH51" s="1"/>
    </row>
    <row r="52" spans="1:38">
      <c r="A52" s="68"/>
      <c r="B52" s="315" t="s">
        <v>302</v>
      </c>
      <c r="C52" s="316"/>
      <c r="D52" s="317">
        <v>9793</v>
      </c>
      <c r="E52" s="877"/>
      <c r="F52" s="765">
        <f>'1st Interim-Unrestricted MYP'!F52+'1st Interim-Restricted MYP'!F52</f>
        <v>0</v>
      </c>
      <c r="G52" s="765">
        <f>'1st Interim-Unrestricted MYP'!G52+'1st Interim-Restricted MYP'!G52</f>
        <v>0</v>
      </c>
      <c r="H52" s="624"/>
      <c r="I52" s="1008"/>
      <c r="J52" s="597"/>
      <c r="K52" s="798"/>
      <c r="L52" s="599"/>
      <c r="M52" s="1400"/>
      <c r="N52" s="1206"/>
      <c r="O52" s="1207"/>
      <c r="P52" s="3"/>
      <c r="Q52" s="3"/>
      <c r="R52" s="3"/>
      <c r="S52" s="3"/>
      <c r="T52" s="3"/>
      <c r="U52" s="1"/>
      <c r="V52" s="1"/>
      <c r="W52" s="1"/>
      <c r="X52" s="1"/>
      <c r="Y52" s="1"/>
      <c r="Z52" s="1"/>
      <c r="AA52" s="1"/>
      <c r="AB52" s="1"/>
      <c r="AC52" s="1"/>
      <c r="AD52" s="1"/>
      <c r="AE52" s="1"/>
      <c r="AF52" s="1"/>
      <c r="AG52" s="1"/>
      <c r="AH52" s="1"/>
    </row>
    <row r="53" spans="1:38">
      <c r="A53" s="68"/>
      <c r="B53" s="315" t="s">
        <v>301</v>
      </c>
      <c r="C53" s="316"/>
      <c r="D53" s="317">
        <v>9795</v>
      </c>
      <c r="E53" s="765">
        <f>'1st Interim-Unrestricted MYP'!E53+'1st Interim-Restricted MYP'!E53</f>
        <v>0</v>
      </c>
      <c r="F53" s="765">
        <f>'1st Interim-Unrestricted MYP'!F53+'1st Interim-Restricted MYP'!F53</f>
        <v>0</v>
      </c>
      <c r="G53" s="765">
        <f>'1st Interim-Unrestricted MYP'!G53+'1st Interim-Restricted MYP'!G53</f>
        <v>0</v>
      </c>
      <c r="H53" s="624"/>
      <c r="I53" s="801"/>
      <c r="J53" s="598"/>
      <c r="K53" s="799"/>
      <c r="L53" s="600"/>
      <c r="M53" s="1400"/>
      <c r="N53" s="1206"/>
      <c r="O53" s="1207"/>
      <c r="P53" s="3"/>
      <c r="Q53" s="3"/>
      <c r="R53" s="3"/>
      <c r="S53" s="3"/>
      <c r="T53" s="3"/>
      <c r="U53" s="1"/>
      <c r="V53" s="1"/>
      <c r="W53" s="1"/>
      <c r="X53" s="1"/>
      <c r="Y53" s="1"/>
      <c r="Z53" s="1"/>
      <c r="AA53" s="1"/>
      <c r="AB53" s="1"/>
      <c r="AC53" s="1"/>
      <c r="AD53" s="1"/>
      <c r="AE53" s="1"/>
      <c r="AF53" s="1"/>
      <c r="AG53" s="1"/>
      <c r="AH53" s="1"/>
    </row>
    <row r="54" spans="1:38" ht="16.5" thickBot="1">
      <c r="A54" s="68"/>
      <c r="B54" s="910" t="str">
        <f>'Budget-Restricted MYP'!B54</f>
        <v xml:space="preserve">  Beginning Fund Balance as per Audit Report +/- Restatements</v>
      </c>
      <c r="C54" s="504"/>
      <c r="D54" s="911"/>
      <c r="E54" s="815">
        <f>'1st Interim-Unrestricted MYP'!E54+'1st Interim-Restricted MYP'!E54</f>
        <v>0</v>
      </c>
      <c r="F54" s="815">
        <f>'1st Interim-Unrestricted MYP'!F54+'1st Interim-Restricted MYP'!F54</f>
        <v>193690.83966911718</v>
      </c>
      <c r="G54" s="815">
        <f>'1st Interim-Unrestricted MYP'!G54+'1st Interim-Restricted MYP'!G54</f>
        <v>193690.83966911718</v>
      </c>
      <c r="H54" s="1214" t="str">
        <f>IF(E54&lt;1," ",IF(G54&lt;1," ",(G54-E54)/E54))</f>
        <v xml:space="preserve"> </v>
      </c>
      <c r="I54" s="1108">
        <f>'1st Interim-Unrestricted MYP'!I54+'1st Interim-Restricted MYP'!I54</f>
        <v>33526.507302450424</v>
      </c>
      <c r="J54" s="1211">
        <f>IF(G54&lt;1," ",IF(I54&lt;1," ",(I54-G54)/G54))</f>
        <v>-0.82690710949612334</v>
      </c>
      <c r="K54" s="1109">
        <f>'1st Interim-Unrestricted MYP'!K54+'1st Interim-Restricted MYP'!K54</f>
        <v>77640.112233352324</v>
      </c>
      <c r="L54" s="1212">
        <f>IF(I54&lt;1," ",IF(K54&lt;1," ",(K54-I54)/I54))</f>
        <v>1.3157828977812334</v>
      </c>
      <c r="M54" s="1400"/>
      <c r="N54" s="1206"/>
      <c r="O54" s="1207"/>
      <c r="P54" s="3"/>
      <c r="Q54" s="3"/>
      <c r="R54" s="3"/>
      <c r="S54" s="3"/>
      <c r="T54" s="3"/>
      <c r="U54" s="1"/>
      <c r="V54" s="1"/>
      <c r="W54" s="1"/>
      <c r="X54" s="1"/>
      <c r="Y54" s="1"/>
      <c r="Z54" s="1"/>
      <c r="AA54" s="1"/>
      <c r="AB54" s="1"/>
      <c r="AC54" s="1"/>
      <c r="AD54" s="1"/>
      <c r="AE54" s="1"/>
      <c r="AF54" s="1"/>
      <c r="AG54" s="1"/>
      <c r="AH54" s="1"/>
      <c r="AI54" s="1"/>
      <c r="AJ54" s="1"/>
      <c r="AK54" s="1"/>
      <c r="AL54" s="1"/>
    </row>
    <row r="55" spans="1:38" ht="17.25" thickTop="1" thickBot="1">
      <c r="A55" s="68"/>
      <c r="B55" s="912" t="s">
        <v>33</v>
      </c>
      <c r="C55" s="913"/>
      <c r="D55" s="914">
        <v>9790</v>
      </c>
      <c r="E55" s="900">
        <f>'1st Interim-Unrestricted MYP'!E55+'1st Interim-Restricted MYP'!E55</f>
        <v>463256.05864251911</v>
      </c>
      <c r="F55" s="900">
        <f>'1st Interim-Unrestricted MYP'!F55+'1st Interim-Restricted MYP'!F55</f>
        <v>119829.46862985654</v>
      </c>
      <c r="G55" s="900">
        <f>'1st Interim-Unrestricted MYP'!G55+'1st Interim-Restricted MYP'!G55</f>
        <v>33526.507302450424</v>
      </c>
      <c r="H55" s="588">
        <f>IF(E55&lt;1," ",IF(G55&lt;1," ",(G55-E55)/E55))</f>
        <v>-0.92762856161947826</v>
      </c>
      <c r="I55" s="900">
        <f>'1st Interim-Unrestricted MYP'!I55+'1st Interim-Restricted MYP'!I55</f>
        <v>77640.112233352324</v>
      </c>
      <c r="J55" s="588">
        <f>IF(G55&lt;1," ",IF(I55&lt;1," ",(I55-G55)/G55))</f>
        <v>1.3157828977812334</v>
      </c>
      <c r="K55" s="900">
        <f>'1st Interim-Unrestricted MYP'!K55+'1st Interim-Restricted MYP'!K55</f>
        <v>98045.926839767431</v>
      </c>
      <c r="L55" s="591">
        <f>IF(I55&lt;1," ",IF(K55&lt;1," ",(K55-I55)/I55))</f>
        <v>0.26282567115673566</v>
      </c>
      <c r="M55" s="1400"/>
      <c r="N55" s="1206"/>
      <c r="O55" s="1207"/>
      <c r="P55" s="3"/>
      <c r="Q55" s="3"/>
      <c r="R55" s="3"/>
      <c r="S55" s="3"/>
      <c r="T55" s="3"/>
      <c r="U55" s="1"/>
      <c r="V55" s="1"/>
      <c r="W55" s="1"/>
      <c r="X55" s="1"/>
      <c r="Y55" s="1"/>
      <c r="Z55" s="1"/>
      <c r="AA55" s="1"/>
      <c r="AB55" s="1"/>
      <c r="AC55" s="1"/>
      <c r="AD55" s="1"/>
      <c r="AE55" s="1"/>
      <c r="AF55" s="1"/>
      <c r="AG55" s="1"/>
      <c r="AH55" s="1"/>
    </row>
    <row r="56" spans="1:38" ht="16.5" thickTop="1">
      <c r="A56" s="68"/>
      <c r="B56" s="1"/>
      <c r="C56" s="1"/>
      <c r="D56" s="168"/>
      <c r="E56" s="169"/>
      <c r="F56" s="169"/>
      <c r="G56" s="169"/>
      <c r="H56" s="52"/>
      <c r="I56" s="169"/>
      <c r="J56" s="52"/>
      <c r="K56" s="169"/>
      <c r="L56" s="313"/>
      <c r="M56" s="1222"/>
      <c r="N56" s="1206"/>
      <c r="O56" s="1207"/>
      <c r="P56" s="3"/>
      <c r="Q56" s="3"/>
      <c r="R56" s="3"/>
      <c r="S56" s="3"/>
      <c r="T56" s="3"/>
      <c r="U56" s="1"/>
      <c r="V56" s="1"/>
      <c r="W56" s="1"/>
      <c r="X56" s="1"/>
      <c r="Y56" s="1"/>
      <c r="Z56" s="1"/>
      <c r="AA56" s="1"/>
      <c r="AB56" s="1"/>
      <c r="AC56" s="1"/>
      <c r="AD56" s="1"/>
      <c r="AE56" s="1"/>
      <c r="AF56" s="1"/>
      <c r="AG56" s="1"/>
      <c r="AH56" s="1"/>
    </row>
    <row r="57" spans="1:38">
      <c r="A57" s="324" t="s">
        <v>142</v>
      </c>
      <c r="B57"/>
      <c r="C57" s="99"/>
      <c r="D57" s="557" t="s">
        <v>2</v>
      </c>
      <c r="E57" s="457"/>
      <c r="F57" s="269"/>
      <c r="G57" s="269"/>
      <c r="H57" s="52"/>
      <c r="I57" s="269"/>
      <c r="J57" s="52"/>
      <c r="K57" s="269"/>
      <c r="L57" s="313"/>
      <c r="M57" s="1222"/>
      <c r="N57" s="1206"/>
      <c r="O57" s="1207"/>
      <c r="P57" s="3"/>
      <c r="Q57" s="3"/>
      <c r="R57" s="3"/>
      <c r="S57" s="3"/>
      <c r="T57" s="3"/>
      <c r="U57" s="1"/>
      <c r="V57" s="1"/>
      <c r="W57" s="1"/>
      <c r="X57" s="1"/>
      <c r="Y57" s="1"/>
      <c r="Z57" s="1"/>
      <c r="AA57" s="1"/>
      <c r="AB57" s="1"/>
      <c r="AC57" s="1"/>
      <c r="AD57" s="1"/>
      <c r="AE57" s="1"/>
      <c r="AF57" s="1"/>
      <c r="AG57" s="1"/>
      <c r="AH57" s="1"/>
    </row>
    <row r="58" spans="1:38">
      <c r="A58" s="68"/>
      <c r="B58" s="510" t="s">
        <v>7</v>
      </c>
      <c r="C58" s="511" t="s">
        <v>143</v>
      </c>
      <c r="D58" s="355"/>
      <c r="E58" s="356"/>
      <c r="F58" s="356"/>
      <c r="G58" s="1765"/>
      <c r="H58" s="1765"/>
      <c r="I58" s="1765"/>
      <c r="J58" s="1765"/>
      <c r="K58" s="1765"/>
      <c r="L58" s="1766"/>
      <c r="M58" s="1401"/>
      <c r="N58" s="1206"/>
      <c r="O58" s="1207"/>
      <c r="P58" s="3"/>
      <c r="Q58" s="3"/>
      <c r="R58" s="3"/>
      <c r="S58" s="3"/>
      <c r="T58" s="3"/>
      <c r="U58" s="1"/>
      <c r="V58" s="1"/>
      <c r="W58" s="1"/>
      <c r="X58" s="1"/>
      <c r="Y58" s="1"/>
      <c r="Z58" s="1"/>
      <c r="AA58" s="1"/>
      <c r="AB58" s="1"/>
      <c r="AC58" s="1"/>
      <c r="AD58" s="1"/>
      <c r="AE58" s="1"/>
      <c r="AF58" s="1"/>
      <c r="AG58" s="1"/>
      <c r="AH58" s="1"/>
    </row>
    <row r="59" spans="1:38">
      <c r="A59" s="68"/>
      <c r="B59" s="351"/>
      <c r="C59" s="349" t="s">
        <v>34</v>
      </c>
      <c r="D59" s="289">
        <v>9711</v>
      </c>
      <c r="E59" s="765">
        <f>'1st Interim-Unrestricted MYP'!E59+'1st Interim-Restricted MYP'!E59</f>
        <v>0</v>
      </c>
      <c r="F59" s="765">
        <f>'1st Interim-Unrestricted MYP'!F59+'1st Interim-Restricted MYP'!F59</f>
        <v>0</v>
      </c>
      <c r="G59" s="765">
        <f>'1st Interim-Unrestricted MYP'!G59+'1st Interim-Restricted MYP'!G59</f>
        <v>0</v>
      </c>
      <c r="H59" s="31" t="str">
        <f>IF(E59&lt;1," ",IF(G59&lt;1," ",(G59-E59)/E59))</f>
        <v xml:space="preserve"> </v>
      </c>
      <c r="I59" s="765">
        <f>'1st Interim-Unrestricted MYP'!I59+'1st Interim-Restricted MYP'!I59</f>
        <v>0</v>
      </c>
      <c r="J59" s="31" t="str">
        <f>IF(G59&lt;1," ",IF(I59&lt;1," ",(I59-G59)/G59))</f>
        <v xml:space="preserve"> </v>
      </c>
      <c r="K59" s="765">
        <f>'1st Interim-Unrestricted MYP'!K59+'1st Interim-Restricted MYP'!K59</f>
        <v>0</v>
      </c>
      <c r="L59" s="311" t="str">
        <f>IF(I59&lt;1," ",IF(K59&lt;1," ",(K59-I59)/I59))</f>
        <v xml:space="preserve"> </v>
      </c>
      <c r="M59" s="1222"/>
      <c r="N59" s="1206"/>
      <c r="O59" s="1207"/>
      <c r="P59" s="3"/>
      <c r="Q59" s="3"/>
      <c r="R59" s="3"/>
      <c r="S59" s="3"/>
      <c r="T59" s="3"/>
      <c r="U59" s="1"/>
      <c r="V59" s="1"/>
      <c r="W59" s="1"/>
      <c r="X59" s="1"/>
      <c r="Y59" s="1"/>
      <c r="Z59" s="1"/>
      <c r="AA59" s="1"/>
      <c r="AB59" s="1"/>
      <c r="AC59" s="1"/>
      <c r="AD59" s="1"/>
      <c r="AE59" s="1"/>
      <c r="AF59" s="1"/>
      <c r="AG59" s="1"/>
      <c r="AH59" s="1"/>
    </row>
    <row r="60" spans="1:38">
      <c r="A60" s="68"/>
      <c r="B60" s="348"/>
      <c r="C60" s="349" t="s">
        <v>10</v>
      </c>
      <c r="D60" s="289">
        <v>9712</v>
      </c>
      <c r="E60" s="765">
        <f>'1st Interim-Unrestricted MYP'!E60+'1st Interim-Restricted MYP'!E60</f>
        <v>0</v>
      </c>
      <c r="F60" s="765">
        <f>'1st Interim-Unrestricted MYP'!F60+'1st Interim-Restricted MYP'!F60</f>
        <v>0</v>
      </c>
      <c r="G60" s="765">
        <f>'1st Interim-Unrestricted MYP'!G60+'1st Interim-Restricted MYP'!G60</f>
        <v>0</v>
      </c>
      <c r="H60" s="31" t="str">
        <f>IF(E60&lt;1," ",IF(G60&lt;1," ",(G60-E60)/E60))</f>
        <v xml:space="preserve"> </v>
      </c>
      <c r="I60" s="765">
        <f>'1st Interim-Unrestricted MYP'!I60+'1st Interim-Restricted MYP'!I60</f>
        <v>0</v>
      </c>
      <c r="J60" s="31" t="str">
        <f>IF(G60&lt;1," ",IF(I60&lt;1," ",(I60-G60)/G60))</f>
        <v xml:space="preserve"> </v>
      </c>
      <c r="K60" s="765">
        <f>'1st Interim-Unrestricted MYP'!K60+'1st Interim-Restricted MYP'!K60</f>
        <v>0</v>
      </c>
      <c r="L60" s="311" t="str">
        <f>IF(I60&lt;1," ",IF(K60&lt;1," ",(K60-I60)/I60))</f>
        <v xml:space="preserve"> </v>
      </c>
      <c r="M60" s="1222"/>
      <c r="N60" s="1206"/>
      <c r="O60" s="1207"/>
      <c r="P60" s="3"/>
      <c r="Q60" s="3"/>
      <c r="R60" s="3"/>
      <c r="S60" s="3"/>
      <c r="T60" s="3"/>
      <c r="U60" s="1"/>
      <c r="V60" s="1"/>
      <c r="W60" s="1"/>
      <c r="X60" s="1"/>
      <c r="Y60" s="1"/>
      <c r="Z60" s="1"/>
      <c r="AA60" s="1"/>
      <c r="AB60" s="1"/>
      <c r="AC60" s="1"/>
      <c r="AD60" s="1"/>
      <c r="AE60" s="1"/>
      <c r="AF60" s="1"/>
      <c r="AG60" s="1"/>
      <c r="AH60" s="1"/>
    </row>
    <row r="61" spans="1:38">
      <c r="A61" s="68"/>
      <c r="B61" s="348"/>
      <c r="C61" s="349" t="s">
        <v>11</v>
      </c>
      <c r="D61" s="289">
        <v>9713</v>
      </c>
      <c r="E61" s="765">
        <f>'1st Interim-Unrestricted MYP'!E61+'1st Interim-Restricted MYP'!E61</f>
        <v>0</v>
      </c>
      <c r="F61" s="765">
        <f>'1st Interim-Unrestricted MYP'!F61+'1st Interim-Restricted MYP'!F61</f>
        <v>0</v>
      </c>
      <c r="G61" s="765">
        <f>'1st Interim-Unrestricted MYP'!G61+'1st Interim-Restricted MYP'!G61</f>
        <v>0</v>
      </c>
      <c r="H61" s="31" t="str">
        <f>IF(E61&lt;1," ",IF(G61&lt;1," ",(G61-E61)/E61))</f>
        <v xml:space="preserve"> </v>
      </c>
      <c r="I61" s="765">
        <f>'1st Interim-Unrestricted MYP'!I61+'1st Interim-Restricted MYP'!I61</f>
        <v>0</v>
      </c>
      <c r="J61" s="31" t="str">
        <f>IF(G61&lt;1," ",IF(I61&lt;1," ",(I61-G61)/G61))</f>
        <v xml:space="preserve"> </v>
      </c>
      <c r="K61" s="765">
        <f>'1st Interim-Unrestricted MYP'!K61+'1st Interim-Restricted MYP'!K61</f>
        <v>0</v>
      </c>
      <c r="L61" s="311" t="str">
        <f>IF(I61&lt;1," ",IF(K61&lt;1," ",(K61-I61)/I61))</f>
        <v xml:space="preserve"> </v>
      </c>
      <c r="M61" s="1222"/>
      <c r="N61" s="1206"/>
      <c r="O61" s="1207"/>
      <c r="P61" s="3"/>
      <c r="Q61" s="3"/>
      <c r="R61" s="3"/>
      <c r="S61" s="3"/>
      <c r="T61" s="3"/>
      <c r="U61" s="1"/>
      <c r="V61" s="1"/>
      <c r="W61" s="1"/>
      <c r="X61" s="1"/>
      <c r="Y61" s="1"/>
      <c r="Z61" s="1"/>
      <c r="AA61" s="1"/>
      <c r="AB61" s="1"/>
      <c r="AC61" s="1"/>
      <c r="AD61" s="1"/>
      <c r="AE61" s="1"/>
      <c r="AF61" s="1"/>
      <c r="AG61" s="1"/>
      <c r="AH61" s="1"/>
    </row>
    <row r="62" spans="1:38">
      <c r="A62" s="68"/>
      <c r="B62" s="348"/>
      <c r="C62" s="349" t="s">
        <v>144</v>
      </c>
      <c r="D62" s="289">
        <v>9719</v>
      </c>
      <c r="E62" s="765">
        <f>'1st Interim-Unrestricted MYP'!E62+'1st Interim-Restricted MYP'!E62</f>
        <v>0</v>
      </c>
      <c r="F62" s="765">
        <f>'1st Interim-Unrestricted MYP'!F62+'1st Interim-Restricted MYP'!F62</f>
        <v>0</v>
      </c>
      <c r="G62" s="765">
        <f>'1st Interim-Unrestricted MYP'!G62+'1st Interim-Restricted MYP'!G62</f>
        <v>0</v>
      </c>
      <c r="H62" s="31" t="str">
        <f>IF(E62&lt;1," ",IF(G62&lt;1," ",(G62-E62)/E62))</f>
        <v xml:space="preserve"> </v>
      </c>
      <c r="I62" s="765">
        <f>'1st Interim-Unrestricted MYP'!I62+'1st Interim-Restricted MYP'!I62</f>
        <v>0</v>
      </c>
      <c r="J62" s="31" t="str">
        <f>IF(G62&lt;1," ",IF(I62&lt;1," ",(I62-G62)/G62))</f>
        <v xml:space="preserve"> </v>
      </c>
      <c r="K62" s="765">
        <f>'1st Interim-Unrestricted MYP'!K62+'1st Interim-Restricted MYP'!K62</f>
        <v>0</v>
      </c>
      <c r="L62" s="311" t="str">
        <f>IF(I62&lt;1," ",IF(K62&lt;1," ",(K62-I62)/I62))</f>
        <v xml:space="preserve"> </v>
      </c>
      <c r="M62" s="1222"/>
      <c r="N62" s="1206"/>
      <c r="O62" s="1207"/>
      <c r="P62" s="3"/>
      <c r="Q62" s="3"/>
      <c r="R62" s="3"/>
      <c r="S62" s="3"/>
      <c r="T62" s="3"/>
      <c r="U62" s="1"/>
      <c r="V62" s="1"/>
      <c r="W62" s="1"/>
      <c r="X62" s="1"/>
      <c r="Y62" s="1"/>
      <c r="Z62" s="1"/>
      <c r="AA62" s="1"/>
      <c r="AB62" s="1"/>
      <c r="AC62" s="1"/>
      <c r="AD62" s="1"/>
      <c r="AE62" s="1"/>
      <c r="AF62" s="1"/>
      <c r="AG62" s="1"/>
      <c r="AH62" s="1"/>
    </row>
    <row r="63" spans="1:38">
      <c r="A63" s="68"/>
      <c r="B63" s="348" t="s">
        <v>8</v>
      </c>
      <c r="C63" s="350" t="s">
        <v>145</v>
      </c>
      <c r="D63" s="289">
        <v>9740</v>
      </c>
      <c r="E63" s="765">
        <f>'1st Interim-Unrestricted MYP'!E63+'1st Interim-Restricted MYP'!E63</f>
        <v>78152</v>
      </c>
      <c r="F63" s="765">
        <f>'1st Interim-Unrestricted MYP'!F63+'1st Interim-Restricted MYP'!F63</f>
        <v>0</v>
      </c>
      <c r="G63" s="765">
        <f>'1st Interim-Unrestricted MYP'!G63+'1st Interim-Restricted MYP'!G63</f>
        <v>0</v>
      </c>
      <c r="H63" s="31" t="str">
        <f>IF(E63&lt;1," ",IF(G63&lt;1," ",(G63-E63)/E63))</f>
        <v xml:space="preserve"> </v>
      </c>
      <c r="I63" s="765">
        <f>'1st Interim-Unrestricted MYP'!I63+'1st Interim-Restricted MYP'!I63</f>
        <v>0</v>
      </c>
      <c r="J63" s="31" t="str">
        <f>IF(G63&lt;1," ",IF(I63&lt;1," ",(I63-G63)/G63))</f>
        <v xml:space="preserve"> </v>
      </c>
      <c r="K63" s="765">
        <f>'1st Interim-Unrestricted MYP'!K63+'1st Interim-Restricted MYP'!K63</f>
        <v>0</v>
      </c>
      <c r="L63" s="311" t="str">
        <f>IF(I63&lt;1," ",IF(K63&lt;1," ",(K63-I63)/I63))</f>
        <v xml:space="preserve"> </v>
      </c>
      <c r="M63" s="1222"/>
      <c r="N63" s="1206"/>
      <c r="O63" s="1207"/>
      <c r="P63" s="3"/>
      <c r="Q63" s="3"/>
      <c r="R63" s="3"/>
      <c r="S63" s="3"/>
      <c r="T63" s="3"/>
      <c r="U63" s="1"/>
      <c r="V63" s="1"/>
      <c r="W63" s="1"/>
      <c r="X63" s="1"/>
      <c r="Y63" s="1"/>
      <c r="Z63" s="1"/>
      <c r="AA63" s="1"/>
      <c r="AB63" s="1"/>
      <c r="AC63" s="1"/>
      <c r="AD63" s="1"/>
      <c r="AE63" s="1"/>
      <c r="AF63" s="1"/>
      <c r="AG63" s="1"/>
      <c r="AH63" s="1"/>
    </row>
    <row r="64" spans="1:38">
      <c r="A64" s="68"/>
      <c r="B64" s="348" t="s">
        <v>9</v>
      </c>
      <c r="C64" s="354" t="s">
        <v>349</v>
      </c>
      <c r="D64" s="989"/>
      <c r="E64" s="772"/>
      <c r="F64" s="832"/>
      <c r="G64" s="832"/>
      <c r="H64" s="81"/>
      <c r="I64" s="832"/>
      <c r="J64" s="636"/>
      <c r="K64" s="879"/>
      <c r="L64" s="865"/>
      <c r="M64" s="982"/>
      <c r="N64" s="1206"/>
      <c r="O64" s="1207"/>
      <c r="P64" s="3"/>
      <c r="Q64" s="3"/>
      <c r="R64" s="3"/>
      <c r="S64" s="3"/>
      <c r="T64" s="3"/>
      <c r="U64" s="1"/>
      <c r="V64" s="1"/>
      <c r="W64" s="1"/>
      <c r="X64" s="1"/>
      <c r="Y64" s="1"/>
      <c r="Z64" s="1"/>
      <c r="AA64" s="1"/>
      <c r="AB64" s="1"/>
      <c r="AC64" s="1"/>
      <c r="AD64" s="1"/>
      <c r="AE64" s="1"/>
      <c r="AF64" s="1"/>
      <c r="AG64" s="1"/>
      <c r="AH64" s="1"/>
    </row>
    <row r="65" spans="1:34">
      <c r="A65" s="68"/>
      <c r="B65" s="348"/>
      <c r="C65" s="349" t="s">
        <v>146</v>
      </c>
      <c r="D65" s="290">
        <v>9750</v>
      </c>
      <c r="E65" s="765">
        <f>'1st Interim-Unrestricted MYP'!E65+'1st Interim-Restricted MYP'!E65</f>
        <v>0</v>
      </c>
      <c r="F65" s="765">
        <f>'1st Interim-Unrestricted MYP'!F65+'1st Interim-Restricted MYP'!F65</f>
        <v>0</v>
      </c>
      <c r="G65" s="765">
        <f>'1st Interim-Unrestricted MYP'!G65+'1st Interim-Restricted MYP'!G65</f>
        <v>0</v>
      </c>
      <c r="H65" s="50" t="str">
        <f>IF(E65&lt;1," ",IF(G65&lt;1," ",(G65-E65)/E65))</f>
        <v xml:space="preserve"> </v>
      </c>
      <c r="I65" s="765">
        <f>'1st Interim-Unrestricted MYP'!I65+'1st Interim-Restricted MYP'!I65</f>
        <v>0</v>
      </c>
      <c r="J65" s="50" t="str">
        <f>IF(G65&lt;1," ",IF(I65&lt;1," ",(I65-G65)/G65))</f>
        <v xml:space="preserve"> </v>
      </c>
      <c r="K65" s="765">
        <f>'1st Interim-Unrestricted MYP'!K65+'1st Interim-Restricted MYP'!K65</f>
        <v>0</v>
      </c>
      <c r="L65" s="311" t="str">
        <f>IF(I65&lt;1," ",IF(K65&lt;1," ",(K65-I65)/I65))</f>
        <v xml:space="preserve"> </v>
      </c>
      <c r="M65" s="1222"/>
      <c r="N65" s="1206"/>
      <c r="O65" s="1207"/>
      <c r="P65" s="3"/>
      <c r="Q65" s="3"/>
      <c r="R65" s="3"/>
      <c r="S65" s="3"/>
      <c r="T65" s="3"/>
      <c r="U65" s="1"/>
      <c r="V65" s="1"/>
      <c r="W65" s="1"/>
      <c r="X65" s="1"/>
      <c r="Y65" s="1"/>
      <c r="Z65" s="1"/>
      <c r="AA65" s="1"/>
      <c r="AB65" s="1"/>
      <c r="AC65" s="1"/>
      <c r="AD65" s="1"/>
      <c r="AE65" s="1"/>
      <c r="AF65" s="1"/>
      <c r="AG65" s="1"/>
      <c r="AH65" s="1"/>
    </row>
    <row r="66" spans="1:34">
      <c r="A66" s="68"/>
      <c r="B66" s="348"/>
      <c r="C66" s="349" t="s">
        <v>147</v>
      </c>
      <c r="D66" s="290">
        <v>9760</v>
      </c>
      <c r="E66" s="765">
        <f>'1st Interim-Unrestricted MYP'!E66+'1st Interim-Restricted MYP'!E66</f>
        <v>0</v>
      </c>
      <c r="F66" s="765">
        <f>'1st Interim-Unrestricted MYP'!F66+'1st Interim-Restricted MYP'!F66</f>
        <v>0</v>
      </c>
      <c r="G66" s="765">
        <f>'1st Interim-Unrestricted MYP'!G66+'1st Interim-Restricted MYP'!G66</f>
        <v>0</v>
      </c>
      <c r="H66" s="50" t="str">
        <f>IF(E66&lt;1," ",IF(G66&lt;1," ",(G66-E66)/E66))</f>
        <v xml:space="preserve"> </v>
      </c>
      <c r="I66" s="765">
        <f>'1st Interim-Unrestricted MYP'!I66+'1st Interim-Restricted MYP'!I66</f>
        <v>0</v>
      </c>
      <c r="J66" s="50" t="str">
        <f>IF(G66&lt;1," ",IF(I66&lt;1," ",(I66-G66)/G66))</f>
        <v xml:space="preserve"> </v>
      </c>
      <c r="K66" s="765">
        <f>'1st Interim-Unrestricted MYP'!K66+'1st Interim-Restricted MYP'!K66</f>
        <v>0</v>
      </c>
      <c r="L66" s="311" t="str">
        <f>IF(I66&lt;1," ",IF(K66&lt;1," ",(K66-I66)/I66))</f>
        <v xml:space="preserve"> </v>
      </c>
      <c r="M66" s="1222"/>
      <c r="N66" s="1206"/>
      <c r="O66" s="1207"/>
      <c r="P66" s="3"/>
      <c r="Q66" s="3"/>
      <c r="R66" s="3"/>
      <c r="S66" s="3"/>
      <c r="T66" s="3"/>
      <c r="U66" s="1"/>
      <c r="V66" s="1"/>
      <c r="W66" s="1"/>
      <c r="X66" s="1"/>
      <c r="Y66" s="1"/>
      <c r="Z66" s="1"/>
      <c r="AA66" s="1"/>
      <c r="AB66" s="1"/>
      <c r="AC66" s="1"/>
      <c r="AD66" s="1"/>
      <c r="AE66" s="1"/>
      <c r="AF66" s="1"/>
      <c r="AG66" s="1"/>
      <c r="AH66" s="1"/>
    </row>
    <row r="67" spans="1:34">
      <c r="A67" s="68"/>
      <c r="B67" s="348" t="s">
        <v>38</v>
      </c>
      <c r="C67" s="350" t="s">
        <v>148</v>
      </c>
      <c r="D67" s="289">
        <v>9780</v>
      </c>
      <c r="E67" s="765">
        <f>'1st Interim-Unrestricted MYP'!E67+'1st Interim-Restricted MYP'!E67</f>
        <v>0</v>
      </c>
      <c r="F67" s="765">
        <f>'1st Interim-Unrestricted MYP'!F67+'1st Interim-Restricted MYP'!F67</f>
        <v>0</v>
      </c>
      <c r="G67" s="765">
        <f>'1st Interim-Unrestricted MYP'!G67+'1st Interim-Restricted MYP'!G67</f>
        <v>0</v>
      </c>
      <c r="H67" s="50" t="str">
        <f>IF(E67&lt;1," ",IF(G67&lt;1," ",(G67-E67)/E67))</f>
        <v xml:space="preserve"> </v>
      </c>
      <c r="I67" s="765">
        <f>'1st Interim-Unrestricted MYP'!I67+'1st Interim-Restricted MYP'!I67</f>
        <v>0</v>
      </c>
      <c r="J67" s="50" t="str">
        <f>IF(G67&lt;1," ",IF(I67&lt;1," ",(I67-G67)/G67))</f>
        <v xml:space="preserve"> </v>
      </c>
      <c r="K67" s="765">
        <f>'1st Interim-Unrestricted MYP'!K67+'1st Interim-Restricted MYP'!K67</f>
        <v>0</v>
      </c>
      <c r="L67" s="311" t="str">
        <f>IF(I67&lt;1," ",IF(K67&lt;1," ",(K67-I67)/I67))</f>
        <v xml:space="preserve"> </v>
      </c>
      <c r="M67" s="1222"/>
      <c r="N67" s="1206"/>
      <c r="O67" s="1207"/>
      <c r="P67" s="3"/>
      <c r="Q67" s="3"/>
      <c r="R67" s="3"/>
      <c r="S67" s="3"/>
      <c r="T67" s="3"/>
      <c r="U67" s="1"/>
      <c r="V67" s="1"/>
      <c r="W67" s="1"/>
      <c r="X67" s="1"/>
      <c r="Y67" s="1"/>
      <c r="Z67" s="1"/>
      <c r="AA67" s="1"/>
      <c r="AB67" s="1"/>
      <c r="AC67" s="1"/>
      <c r="AD67" s="1"/>
      <c r="AE67" s="1"/>
      <c r="AF67" s="1"/>
      <c r="AG67" s="1"/>
      <c r="AH67" s="1"/>
    </row>
    <row r="68" spans="1:34" customFormat="1">
      <c r="A68" s="68"/>
      <c r="B68" s="348" t="s">
        <v>40</v>
      </c>
      <c r="C68" s="354" t="s">
        <v>352</v>
      </c>
      <c r="D68" s="604"/>
      <c r="E68" s="772"/>
      <c r="F68" s="832"/>
      <c r="G68" s="832"/>
      <c r="H68" s="81"/>
      <c r="I68" s="832"/>
      <c r="J68" s="636"/>
      <c r="K68" s="879"/>
      <c r="L68" s="865"/>
      <c r="M68" s="982"/>
      <c r="N68" s="1203"/>
      <c r="O68" s="1203"/>
      <c r="P68" s="1203"/>
      <c r="Q68" s="1203"/>
      <c r="R68" s="1203"/>
      <c r="S68" s="1203"/>
      <c r="T68" s="1203"/>
    </row>
    <row r="69" spans="1:34">
      <c r="A69" s="68"/>
      <c r="B69" s="348"/>
      <c r="C69" s="349" t="s">
        <v>350</v>
      </c>
      <c r="D69" s="290">
        <v>9789</v>
      </c>
      <c r="E69" s="765">
        <f>'1st Interim-Unrestricted MYP'!E69+'1st Interim-Restricted MYP'!E69</f>
        <v>0</v>
      </c>
      <c r="F69" s="765">
        <f>'1st Interim-Unrestricted MYP'!F69+'1st Interim-Restricted MYP'!F69</f>
        <v>0</v>
      </c>
      <c r="G69" s="765">
        <f>'1st Interim-Unrestricted MYP'!G69+'1st Interim-Restricted MYP'!G69</f>
        <v>0</v>
      </c>
      <c r="H69" s="50" t="str">
        <f>IF(E69&lt;1," ",IF(G69&lt;1," ",(G69-E69)/E69))</f>
        <v xml:space="preserve"> </v>
      </c>
      <c r="I69" s="765">
        <f>'1st Interim-Unrestricted MYP'!I69+'1st Interim-Restricted MYP'!I69</f>
        <v>0</v>
      </c>
      <c r="J69" s="50" t="str">
        <f>IF(G69&lt;1," ",IF(I69&lt;1," ",(I69-G69)/G69))</f>
        <v xml:space="preserve"> </v>
      </c>
      <c r="K69" s="765">
        <f>'1st Interim-Unrestricted MYP'!K69+'1st Interim-Restricted MYP'!K69</f>
        <v>0</v>
      </c>
      <c r="L69" s="311" t="str">
        <f>IF(I69&lt;1," ",IF(K69&lt;1," ",(K69-I69)/I69))</f>
        <v xml:space="preserve"> </v>
      </c>
      <c r="M69" s="1222"/>
      <c r="N69" s="1783" t="s">
        <v>416</v>
      </c>
      <c r="O69" s="1783"/>
      <c r="P69" s="1783"/>
      <c r="Q69" s="1783"/>
      <c r="R69" s="1783" t="s">
        <v>417</v>
      </c>
      <c r="S69" s="1783"/>
      <c r="T69" s="1783"/>
      <c r="U69" s="1"/>
      <c r="V69" s="1"/>
      <c r="W69" s="1"/>
      <c r="X69" s="1"/>
      <c r="Y69" s="1"/>
      <c r="Z69" s="1"/>
      <c r="AA69" s="1"/>
      <c r="AB69" s="1"/>
      <c r="AC69" s="1"/>
      <c r="AD69" s="1"/>
      <c r="AE69" s="1"/>
      <c r="AF69" s="1"/>
      <c r="AG69" s="1"/>
      <c r="AH69" s="1"/>
    </row>
    <row r="70" spans="1:34" ht="16.5" thickBot="1">
      <c r="A70" s="68"/>
      <c r="B70" s="899"/>
      <c r="C70" s="905" t="s">
        <v>351</v>
      </c>
      <c r="D70" s="629">
        <v>9790</v>
      </c>
      <c r="E70" s="765">
        <f>'1st Interim-Unrestricted MYP'!E70+'1st Interim-Restricted MYP'!E70</f>
        <v>385104.05864251911</v>
      </c>
      <c r="F70" s="765">
        <f>'1st Interim-Unrestricted MYP'!F70+'1st Interim-Restricted MYP'!F70</f>
        <v>163698.46862985654</v>
      </c>
      <c r="G70" s="765">
        <f>'1st Interim-Unrestricted MYP'!G70+'1st Interim-Restricted MYP'!G70</f>
        <v>267338.50730245042</v>
      </c>
      <c r="H70" s="50">
        <f>IF(E70&lt;1," ",IF(G70&lt;1," ",(G70-E70)/E70))</f>
        <v>-0.30580189612955239</v>
      </c>
      <c r="I70" s="765">
        <f>'1st Interim-Unrestricted MYP'!I70+'1st Interim-Restricted MYP'!I70</f>
        <v>389604.11223335232</v>
      </c>
      <c r="J70" s="50">
        <f>IF(G70&lt;1," ",IF(I70&lt;1," ",(I70-G70)/G70))</f>
        <v>0.45734378546738153</v>
      </c>
      <c r="K70" s="765">
        <f>'1st Interim-Unrestricted MYP'!K70+'1st Interim-Restricted MYP'!K70</f>
        <v>410009.92683976743</v>
      </c>
      <c r="L70" s="311">
        <f>IF(I70&lt;1," ",IF(K70&lt;1," ",(K70-I70)/I70))</f>
        <v>5.237576803140389E-2</v>
      </c>
      <c r="M70" s="1222"/>
      <c r="N70" s="1334">
        <v>0.05</v>
      </c>
      <c r="O70" s="136" t="s">
        <v>414</v>
      </c>
      <c r="P70" s="1335">
        <v>71000</v>
      </c>
      <c r="Q70" s="136" t="s">
        <v>415</v>
      </c>
      <c r="R70" s="1336">
        <v>0</v>
      </c>
      <c r="S70" s="204" t="s">
        <v>418</v>
      </c>
      <c r="T70" s="1336">
        <v>300</v>
      </c>
      <c r="U70" s="1"/>
      <c r="V70" s="1"/>
      <c r="W70" s="1"/>
      <c r="X70" s="1"/>
      <c r="Y70" s="1"/>
      <c r="Z70" s="1"/>
      <c r="AA70" s="1"/>
      <c r="AB70" s="1"/>
      <c r="AC70" s="1"/>
      <c r="AD70" s="1"/>
      <c r="AE70" s="1"/>
      <c r="AF70" s="1"/>
      <c r="AG70" s="1"/>
      <c r="AH70" s="1"/>
    </row>
    <row r="71" spans="1:34" ht="17.25" thickTop="1" thickBot="1">
      <c r="A71" s="240"/>
      <c r="B71" s="1784" t="s">
        <v>318</v>
      </c>
      <c r="C71" s="1785"/>
      <c r="D71" s="1785"/>
      <c r="E71" s="944">
        <f>(E69+E70)/(+E37+E43)</f>
        <v>4.0550920051036034E-2</v>
      </c>
      <c r="F71" s="944">
        <f>(F69+F70)/(+F37+F43)</f>
        <v>7.5216629095530799E-2</v>
      </c>
      <c r="G71" s="944">
        <f>(G69+G70)/(+G37+G43)</f>
        <v>4.0498567666291965E-2</v>
      </c>
      <c r="H71" s="908"/>
      <c r="I71" s="944">
        <f>(I69+I70)/(+I37+I43)</f>
        <v>4.1050648784389909E-2</v>
      </c>
      <c r="J71" s="908"/>
      <c r="K71" s="944">
        <f>(K69+K70)/(+K37+K43)</f>
        <v>4.1688390000210948E-2</v>
      </c>
      <c r="L71" s="909"/>
      <c r="M71" s="1222"/>
      <c r="N71" s="1334">
        <v>0.04</v>
      </c>
      <c r="O71" s="136" t="s">
        <v>414</v>
      </c>
      <c r="P71" s="1335">
        <v>71000</v>
      </c>
      <c r="Q71" s="136" t="s">
        <v>415</v>
      </c>
      <c r="R71" s="1336">
        <v>301</v>
      </c>
      <c r="S71" s="204" t="s">
        <v>418</v>
      </c>
      <c r="T71" s="1336">
        <v>1000</v>
      </c>
      <c r="U71" s="1"/>
      <c r="V71" s="1"/>
      <c r="W71" s="1"/>
      <c r="X71" s="1"/>
      <c r="Y71" s="1"/>
      <c r="Z71" s="1"/>
      <c r="AA71" s="1"/>
      <c r="AB71" s="1"/>
      <c r="AC71" s="1"/>
      <c r="AD71" s="1"/>
      <c r="AE71" s="1"/>
      <c r="AF71" s="1"/>
      <c r="AG71" s="1"/>
      <c r="AH71" s="1"/>
    </row>
    <row r="72" spans="1:34">
      <c r="N72" s="1334">
        <v>0.03</v>
      </c>
      <c r="O72"/>
      <c r="P72"/>
      <c r="Q72"/>
      <c r="R72" s="1336">
        <v>1001</v>
      </c>
      <c r="S72" s="204" t="s">
        <v>418</v>
      </c>
      <c r="T72" s="1336">
        <v>30000</v>
      </c>
    </row>
    <row r="73" spans="1:34">
      <c r="A73" s="1"/>
      <c r="B73" s="136" t="s">
        <v>467</v>
      </c>
      <c r="C73" s="134"/>
      <c r="E73" s="1225">
        <f>'Budget-Summary MYP'!F73</f>
        <v>0.04</v>
      </c>
      <c r="F73" s="1225">
        <f>IF('1st Interim-ADA'!O76&lt;300.99,0.05,(IF(AND('1st Interim-ADA'!O76 &gt;=301,'1st Interim-ADA'!O76&lt;=1000.99),0.04,IF(AND('1st Interim-ADA'!O76 &gt;=1001,'1st Interim-ADA'!O76&lt;=30000.99),0.03,0.02))))</f>
        <v>0.04</v>
      </c>
      <c r="G73" s="1225">
        <f>IF('1st Interim-ADA'!O76&lt;300.99,0.05,(IF(AND('1st Interim-ADA'!O76 &gt;=301,'1st Interim-ADA'!O76&lt;=1000.99),0.04,IF(AND('1st Interim-ADA'!O76 &gt;=1001,'1st Interim-ADA'!O76&lt;=30000.99),0.03,0.02))))</f>
        <v>0.04</v>
      </c>
      <c r="I73" s="1225">
        <f>IF('1st Interim-ADA'!R76&lt;300.99,0.05,(IF(AND('1st Interim-ADA'!R76 &gt;=301,'1st Interim-ADA'!R76&lt;=1000.99),0.04,IF(AND('1st Interim-ADA'!R76 &gt;=1001,'1st Interim-ADA'!R76&lt;=30000.99),0.03,0.02))))</f>
        <v>0.04</v>
      </c>
      <c r="K73" s="1225">
        <f>IF('1st Interim-ADA'!U76&lt;300.99,0.05,(IF(AND('1st Interim-ADA'!U76 &gt;=301,'1st Interim-ADA'!U76&lt;=1000.99),0.04,IF(AND('1st Interim-ADA'!U76 &gt;=1001,'1st Interim-ADA'!U76&lt;=30000.99),0.03,0.02))))</f>
        <v>0.04</v>
      </c>
      <c r="N73" s="1334">
        <v>0.02</v>
      </c>
      <c r="O73"/>
      <c r="P73"/>
      <c r="Q73"/>
      <c r="R73" s="1336">
        <v>30001</v>
      </c>
      <c r="S73" s="204" t="s">
        <v>418</v>
      </c>
      <c r="T73" s="1336">
        <v>400000</v>
      </c>
    </row>
    <row r="74" spans="1:34">
      <c r="A74"/>
      <c r="B74" s="136" t="s">
        <v>466</v>
      </c>
      <c r="C74" s="134"/>
      <c r="E74" s="1260" t="str">
        <f>IF('Budget-Summary MYP'!F74="","",'Budget-Summary MYP'!F74)</f>
        <v/>
      </c>
      <c r="F74" s="1403"/>
      <c r="G74" s="1403"/>
      <c r="I74" s="1403"/>
      <c r="K74" s="1403"/>
      <c r="N74" s="1334">
        <v>0.01</v>
      </c>
      <c r="O74"/>
      <c r="P74"/>
      <c r="Q74"/>
      <c r="R74" s="1336">
        <v>400001</v>
      </c>
      <c r="S74" s="204" t="s">
        <v>419</v>
      </c>
      <c r="T74" s="1337"/>
    </row>
    <row r="75" spans="1:34">
      <c r="A75"/>
      <c r="B75" s="134" t="s">
        <v>420</v>
      </c>
      <c r="C75" s="134"/>
      <c r="E75" s="1226" t="str">
        <f>T('Budget-Summary MYP'!F75)</f>
        <v>Met</v>
      </c>
      <c r="F75" s="1226" t="str">
        <f>IF(F74="",IF(F71&gt;=F73,"Met","Not Met"),IF(F71&gt;=F74,"Met","Not Met"))</f>
        <v>Met</v>
      </c>
      <c r="G75" s="1226" t="str">
        <f>IF(G74="",IF(G71&gt;=G73,"Met","Not Met"),IF(G71&gt;=G74,"Met","Not Met"))</f>
        <v>Met</v>
      </c>
      <c r="I75" s="1226" t="str">
        <f>IF(I74="",IF(I71&gt;=I73,"Met","Not Met"),IF(I71&gt;=I74,"Met","Not Met"))</f>
        <v>Met</v>
      </c>
      <c r="K75" s="1226" t="str">
        <f>IF(K74="",IF(K71&gt;=K73,"Met","Not Met"),IF(K71&gt;=K74,"Met","Not Met"))</f>
        <v>Met</v>
      </c>
      <c r="N75" s="1334"/>
      <c r="O75"/>
      <c r="P75"/>
      <c r="Q75"/>
      <c r="R75" s="1336"/>
      <c r="S75" s="204"/>
      <c r="T75" s="1337"/>
    </row>
    <row r="76" spans="1:34" ht="16.5" thickBot="1">
      <c r="A76"/>
      <c r="B76" s="134"/>
      <c r="C76" s="134"/>
      <c r="E76" s="1226"/>
      <c r="F76" s="1226"/>
      <c r="G76" s="1226"/>
      <c r="I76" s="1226"/>
      <c r="K76" s="1226"/>
      <c r="N76" s="1334"/>
      <c r="O76"/>
      <c r="P76"/>
      <c r="Q76"/>
      <c r="R76" s="1336"/>
      <c r="S76" s="204"/>
      <c r="T76" s="1337"/>
    </row>
    <row r="77" spans="1:34" ht="16.5" thickBot="1">
      <c r="A77"/>
      <c r="B77" s="1797" t="s">
        <v>490</v>
      </c>
      <c r="C77" s="1798"/>
      <c r="D77" s="1798"/>
      <c r="E77" s="1798"/>
      <c r="F77" s="1798"/>
      <c r="G77" s="1798"/>
      <c r="H77" s="1798"/>
      <c r="I77" s="1798"/>
      <c r="J77" s="1798"/>
      <c r="K77" s="1798"/>
      <c r="L77" s="1799"/>
      <c r="M77" s="1334"/>
      <c r="N77"/>
      <c r="O77"/>
      <c r="P77"/>
      <c r="Q77" s="1336"/>
      <c r="R77" s="204"/>
      <c r="S77" s="1337"/>
    </row>
    <row r="78" spans="1:34" ht="42" customHeight="1">
      <c r="A78"/>
      <c r="B78" s="1857"/>
      <c r="C78" s="1858"/>
      <c r="D78" s="1858"/>
      <c r="E78" s="1858"/>
      <c r="F78" s="1858"/>
      <c r="G78" s="1858"/>
      <c r="H78" s="1858"/>
      <c r="I78" s="1858"/>
      <c r="J78" s="1858"/>
      <c r="K78" s="1858"/>
      <c r="L78" s="1859"/>
      <c r="M78" s="1559"/>
      <c r="N78"/>
      <c r="O78"/>
      <c r="P78"/>
      <c r="Q78" s="1336"/>
      <c r="R78" s="204"/>
      <c r="S78" s="1337"/>
    </row>
    <row r="79" spans="1:34" ht="9.75" customHeight="1">
      <c r="A79"/>
      <c r="B79"/>
      <c r="C79"/>
      <c r="E79"/>
      <c r="N79" s="1334"/>
      <c r="O79" s="136"/>
      <c r="P79" s="1335"/>
      <c r="Q79" s="136"/>
      <c r="R79" s="1336"/>
      <c r="S79" s="204"/>
      <c r="T79" s="1336"/>
    </row>
    <row r="80" spans="1:34">
      <c r="A80"/>
      <c r="B80" s="136" t="s">
        <v>423</v>
      </c>
      <c r="C80"/>
      <c r="E80" s="1258">
        <f>'Budget-Summary MYP'!F80</f>
        <v>0</v>
      </c>
      <c r="F80" s="1258">
        <f>ROUND(-MIN('1st Interim-Unrestricted MYP'!F46/('1st Interim-Unrestricted MYP'!F37+'1st Interim-Unrestricted MYP'!E43),0),3)</f>
        <v>2.1000000000000001E-2</v>
      </c>
      <c r="G80" s="1258">
        <f>ROUND(-MIN('1st Interim-Unrestricted MYP'!G46/('1st Interim-Unrestricted MYP'!G37+'1st Interim-Unrestricted MYP'!F43),0),3)</f>
        <v>0</v>
      </c>
      <c r="I80" s="1258">
        <f>ROUND(-MIN('1st Interim-Unrestricted MYP'!I46/('1st Interim-Unrestricted MYP'!I37+'1st Interim-Unrestricted MYP'!I43),0),3)</f>
        <v>0</v>
      </c>
      <c r="K80" s="1258">
        <f>ROUND(-MIN('1st Interim-Unrestricted MYP'!K46/('1st Interim-Unrestricted MYP'!K37+'1st Interim-Unrestricted MYP'!K43),0),3)</f>
        <v>0</v>
      </c>
      <c r="N80"/>
      <c r="O80" s="136"/>
      <c r="P80" s="1335"/>
      <c r="Q80" s="136"/>
      <c r="R80" s="1336"/>
      <c r="S80" s="204"/>
      <c r="T80" s="1336"/>
    </row>
    <row r="81" spans="1:20">
      <c r="A81"/>
      <c r="B81" s="134" t="s">
        <v>424</v>
      </c>
      <c r="C81"/>
      <c r="E81" s="1259">
        <f>'Budget-Summary MYP'!F81</f>
        <v>1.4E-2</v>
      </c>
      <c r="F81" s="1259">
        <f>ROUND(F71/3,3)</f>
        <v>2.5000000000000001E-2</v>
      </c>
      <c r="G81" s="1259">
        <f>ROUND(G71/3,3)</f>
        <v>1.2999999999999999E-2</v>
      </c>
      <c r="I81" s="1259">
        <f>ROUND(I71/3,3)</f>
        <v>1.4E-2</v>
      </c>
      <c r="K81" s="1259">
        <f>ROUND(K71/3,3)</f>
        <v>1.4E-2</v>
      </c>
      <c r="N81" s="1338" t="s">
        <v>421</v>
      </c>
      <c r="O81" s="136"/>
      <c r="P81" s="1335"/>
      <c r="Q81" s="136"/>
      <c r="R81" s="1336"/>
      <c r="S81" s="204"/>
      <c r="T81" s="1336"/>
    </row>
    <row r="82" spans="1:20" ht="15.75" customHeight="1">
      <c r="A82"/>
      <c r="B82" s="134" t="s">
        <v>425</v>
      </c>
      <c r="C82"/>
      <c r="E82" s="1226" t="str">
        <f>T('Budget-Summary MYP'!F82)</f>
        <v>Met</v>
      </c>
      <c r="F82" s="1226" t="str">
        <f>IF(F80&lt;=F81,"Met","Not Met")</f>
        <v>Met</v>
      </c>
      <c r="G82" s="1226" t="str">
        <f>IF(G80&lt;=G81,"Met","Not Met")</f>
        <v>Met</v>
      </c>
      <c r="I82" s="1226" t="str">
        <f>IF(I80&lt;=I81,"Met","Not Met")</f>
        <v>Met</v>
      </c>
      <c r="K82" s="1226" t="str">
        <f>IF(K80&lt;=K81,"Met","Not Met")</f>
        <v>Met</v>
      </c>
      <c r="N82" s="1855" t="s">
        <v>422</v>
      </c>
      <c r="O82" s="1856"/>
      <c r="P82" s="1856"/>
      <c r="Q82" s="1856"/>
      <c r="R82" s="1856"/>
      <c r="S82" s="1856"/>
      <c r="T82" s="1856"/>
    </row>
    <row r="83" spans="1:20" ht="8.25" customHeight="1" thickBot="1">
      <c r="A83"/>
      <c r="B83"/>
      <c r="C83"/>
      <c r="F83" s="136"/>
      <c r="G83" s="136"/>
      <c r="H83" s="136"/>
      <c r="I83" s="136"/>
      <c r="J83" s="136"/>
      <c r="K83" s="136"/>
      <c r="L83" s="136"/>
      <c r="M83" s="136"/>
      <c r="N83" s="1856"/>
      <c r="O83" s="1856"/>
      <c r="P83" s="1856"/>
      <c r="Q83" s="1856"/>
      <c r="R83" s="1856"/>
      <c r="S83" s="1856"/>
      <c r="T83" s="1856"/>
    </row>
    <row r="84" spans="1:20" ht="16.5" thickBot="1">
      <c r="B84" s="1797" t="s">
        <v>493</v>
      </c>
      <c r="C84" s="1798"/>
      <c r="D84" s="1798"/>
      <c r="E84" s="1798"/>
      <c r="F84" s="1798"/>
      <c r="G84" s="1798"/>
      <c r="H84" s="1798"/>
      <c r="I84" s="1798"/>
      <c r="J84" s="1798"/>
      <c r="K84" s="1798"/>
      <c r="L84" s="1799"/>
      <c r="N84" s="1856"/>
      <c r="O84" s="1856"/>
      <c r="P84" s="1856"/>
      <c r="Q84" s="1856"/>
      <c r="R84" s="1856"/>
      <c r="S84" s="1856"/>
      <c r="T84" s="1856"/>
    </row>
    <row r="85" spans="1:20" ht="47.25" customHeight="1">
      <c r="B85" s="1791"/>
      <c r="C85" s="1792"/>
      <c r="D85" s="1792"/>
      <c r="E85" s="1792"/>
      <c r="F85" s="1792"/>
      <c r="G85" s="1792"/>
      <c r="H85" s="1792"/>
      <c r="I85" s="1792"/>
      <c r="J85" s="1792"/>
      <c r="K85" s="1792"/>
      <c r="L85" s="1793"/>
      <c r="N85" s="1856"/>
      <c r="O85" s="1856"/>
      <c r="P85" s="1856"/>
      <c r="Q85" s="1856"/>
      <c r="R85" s="1856"/>
      <c r="S85" s="1856"/>
      <c r="T85" s="1856"/>
    </row>
    <row r="86" spans="1:20">
      <c r="E86" s="1560"/>
      <c r="F86" s="1560"/>
      <c r="G86" s="1560"/>
      <c r="H86" s="1560"/>
      <c r="I86" s="1560"/>
      <c r="J86" s="1560"/>
      <c r="K86" s="1560"/>
      <c r="L86" s="1560"/>
      <c r="M86" s="1206"/>
      <c r="N86" s="1856"/>
      <c r="O86" s="1856"/>
      <c r="P86" s="1856"/>
      <c r="Q86" s="1856"/>
      <c r="R86" s="1856"/>
      <c r="S86" s="1856"/>
      <c r="T86" s="1856"/>
    </row>
    <row r="87" spans="1:20" ht="78.75" customHeight="1">
      <c r="E87" s="1206"/>
      <c r="F87" s="1206"/>
      <c r="G87" s="1206"/>
      <c r="H87" s="1206"/>
      <c r="I87" s="1206"/>
      <c r="J87" s="1206"/>
      <c r="K87" s="1206"/>
      <c r="L87" s="1206"/>
      <c r="M87" s="1206"/>
    </row>
  </sheetData>
  <sheetProtection password="D94D" sheet="1"/>
  <mergeCells count="23">
    <mergeCell ref="G48:L48"/>
    <mergeCell ref="G58:L58"/>
    <mergeCell ref="A1:C1"/>
    <mergeCell ref="A2:C2"/>
    <mergeCell ref="A3:C3"/>
    <mergeCell ref="G38:L38"/>
    <mergeCell ref="G40:L40"/>
    <mergeCell ref="N69:Q69"/>
    <mergeCell ref="R69:T69"/>
    <mergeCell ref="N82:T86"/>
    <mergeCell ref="A28:C28"/>
    <mergeCell ref="A8:C8"/>
    <mergeCell ref="G11:L11"/>
    <mergeCell ref="G12:L12"/>
    <mergeCell ref="G27:L27"/>
    <mergeCell ref="G28:L28"/>
    <mergeCell ref="B71:D71"/>
    <mergeCell ref="G41:L41"/>
    <mergeCell ref="B77:L77"/>
    <mergeCell ref="B78:L78"/>
    <mergeCell ref="B84:L84"/>
    <mergeCell ref="B85:L85"/>
    <mergeCell ref="G47:L47"/>
  </mergeCells>
  <phoneticPr fontId="5" type="noConversion"/>
  <conditionalFormatting sqref="A1:A3">
    <cfRule type="containsText" dxfId="192" priority="21" stopIfTrue="1" operator="containsText" text="Enter">
      <formula>NOT(ISERROR(SEARCH("Enter",A1)))</formula>
    </cfRule>
  </conditionalFormatting>
  <conditionalFormatting sqref="B73">
    <cfRule type="expression" dxfId="191" priority="20" stopIfTrue="1">
      <formula>$E$74=""</formula>
    </cfRule>
  </conditionalFormatting>
  <conditionalFormatting sqref="B74">
    <cfRule type="expression" dxfId="190" priority="19" stopIfTrue="1">
      <formula>$E$74&lt;&gt;0</formula>
    </cfRule>
  </conditionalFormatting>
  <conditionalFormatting sqref="E75:E76">
    <cfRule type="containsText" dxfId="189" priority="18" stopIfTrue="1" operator="containsText" text="Met">
      <formula>NOT(ISERROR(SEARCH("Met",E75)))</formula>
    </cfRule>
  </conditionalFormatting>
  <conditionalFormatting sqref="E75:E76">
    <cfRule type="containsText" dxfId="188" priority="17" stopIfTrue="1" operator="containsText" text="Not Met">
      <formula>NOT(ISERROR(SEARCH("Not Met",E75)))</formula>
    </cfRule>
  </conditionalFormatting>
  <conditionalFormatting sqref="E73">
    <cfRule type="expression" dxfId="187" priority="16" stopIfTrue="1">
      <formula>$E$74=""</formula>
    </cfRule>
  </conditionalFormatting>
  <conditionalFormatting sqref="E82">
    <cfRule type="containsText" dxfId="186" priority="15" stopIfTrue="1" operator="containsText" text="Met">
      <formula>NOT(ISERROR(SEARCH("Met",E82)))</formula>
    </cfRule>
  </conditionalFormatting>
  <conditionalFormatting sqref="E82">
    <cfRule type="containsText" dxfId="185" priority="14" stopIfTrue="1" operator="containsText" text="Not Met">
      <formula>NOT(ISERROR(SEARCH("Not Met",E82)))</formula>
    </cfRule>
  </conditionalFormatting>
  <conditionalFormatting sqref="F75:F76">
    <cfRule type="containsText" dxfId="184" priority="9" stopIfTrue="1" operator="containsText" text="Met">
      <formula>NOT(ISERROR(SEARCH("Met",F75)))</formula>
    </cfRule>
  </conditionalFormatting>
  <conditionalFormatting sqref="F75:F76">
    <cfRule type="containsText" dxfId="183" priority="8" stopIfTrue="1" operator="containsText" text="Not Met">
      <formula>NOT(ISERROR(SEARCH("Not Met",F75)))</formula>
    </cfRule>
  </conditionalFormatting>
  <conditionalFormatting sqref="K75:K76 I75:I76 G75:G76">
    <cfRule type="containsText" dxfId="182" priority="7" stopIfTrue="1" operator="containsText" text="Met">
      <formula>NOT(ISERROR(SEARCH("Met",G75)))</formula>
    </cfRule>
  </conditionalFormatting>
  <conditionalFormatting sqref="K75:K76 I75:I76 G75:G76">
    <cfRule type="containsText" dxfId="181" priority="6" stopIfTrue="1" operator="containsText" text="Not Met">
      <formula>NOT(ISERROR(SEARCH("Not Met",G75)))</formula>
    </cfRule>
  </conditionalFormatting>
  <conditionalFormatting sqref="K82 I82 F82:G82">
    <cfRule type="containsText" dxfId="180" priority="5" stopIfTrue="1" operator="containsText" text="Met">
      <formula>NOT(ISERROR(SEARCH("Met",F82)))</formula>
    </cfRule>
  </conditionalFormatting>
  <conditionalFormatting sqref="K82 I82 F82:G82">
    <cfRule type="containsText" dxfId="179" priority="4" stopIfTrue="1" operator="containsText" text="Not Met">
      <formula>NOT(ISERROR(SEARCH("Not Met",F82)))</formula>
    </cfRule>
  </conditionalFormatting>
  <conditionalFormatting sqref="K73 I73 F73:G73">
    <cfRule type="expression" dxfId="178" priority="3" stopIfTrue="1">
      <formula>$E$74=""</formula>
    </cfRule>
  </conditionalFormatting>
  <conditionalFormatting sqref="B78">
    <cfRule type="containsText" dxfId="177" priority="2" stopIfTrue="1" operator="containsText" text="Met">
      <formula>NOT(ISERROR(SEARCH("Met",B78)))</formula>
    </cfRule>
  </conditionalFormatting>
  <conditionalFormatting sqref="B78">
    <cfRule type="containsText" dxfId="176" priority="1" stopIfTrue="1" operator="containsText" text="Not Met">
      <formula>NOT(ISERROR(SEARCH("Not Met",B78)))</formula>
    </cfRule>
  </conditionalFormatting>
  <printOptions horizontalCentered="1"/>
  <pageMargins left="0.25" right="0.25" top="0.5" bottom="0.25" header="0.5" footer="0.5"/>
  <pageSetup scale="65" fitToHeight="0" orientation="landscape" horizontalDpi="1200" verticalDpi="1200" r:id="rId1"/>
  <headerFooter alignWithMargins="0">
    <oddFooter>Page &amp;P of &amp;N</oddFooter>
  </headerFooter>
  <rowBreaks count="1" manualBreakCount="1">
    <brk id="46"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theme="4"/>
    <pageSetUpPr fitToPage="1"/>
  </sheetPr>
  <dimension ref="A1:L34"/>
  <sheetViews>
    <sheetView showGridLines="0" topLeftCell="A5" zoomScaleNormal="100" workbookViewId="0">
      <selection activeCell="A33" sqref="A33:K33"/>
    </sheetView>
  </sheetViews>
  <sheetFormatPr defaultColWidth="9.28515625" defaultRowHeight="12.75"/>
  <cols>
    <col min="1" max="1" width="3.7109375" customWidth="1"/>
    <col min="2" max="2" width="25.7109375" customWidth="1"/>
    <col min="4" max="4" width="16.7109375" customWidth="1"/>
    <col min="5" max="10" width="14.7109375" customWidth="1"/>
    <col min="11" max="11" width="11.7109375" customWidth="1"/>
    <col min="12" max="12" width="83.42578125" style="1203" customWidth="1"/>
  </cols>
  <sheetData>
    <row r="1" spans="1:11" ht="18">
      <c r="A1" s="137" t="s">
        <v>119</v>
      </c>
      <c r="B1" s="137"/>
      <c r="H1" s="136"/>
      <c r="I1" s="136"/>
    </row>
    <row r="2" spans="1:11">
      <c r="A2" s="170" t="str">
        <f>'1st Interim-ADA'!J4</f>
        <v>Fiscal Year 2022-23 First Interim Report</v>
      </c>
    </row>
    <row r="3" spans="1:11" ht="13.5" customHeight="1">
      <c r="A3" s="1645" t="str">
        <f>IF('INTERIM-CERTIFICATION'!$M$1="","CHARTER NAME: Enter Charter Name on INTERIM-CERTIFICATION Worksheet",(CONCATENATE("CHARTER NAME: ",'INTERIM-CERTIFICATION'!$M$1)))</f>
        <v>CHARTER NAME: Elite Academic Academy - Virtual Prep Lucerne</v>
      </c>
      <c r="B3" s="1645"/>
      <c r="C3" s="1645"/>
      <c r="D3" s="1645"/>
      <c r="E3" s="1645"/>
      <c r="F3" s="1645"/>
      <c r="G3" s="171"/>
      <c r="H3" s="171"/>
      <c r="I3" s="171"/>
    </row>
    <row r="4" spans="1:11">
      <c r="A4" s="1591" t="str">
        <f>Instructions!H1</f>
        <v>Form Orignated 5/16/2022</v>
      </c>
    </row>
    <row r="5" spans="1:11" ht="12.75" customHeight="1">
      <c r="A5" s="1814" t="s">
        <v>325</v>
      </c>
      <c r="B5" s="1814"/>
      <c r="C5" s="1814"/>
      <c r="D5" s="1814"/>
      <c r="E5" s="1814"/>
      <c r="F5" s="1814"/>
      <c r="G5" s="1814"/>
      <c r="H5" s="1814"/>
      <c r="I5" s="369"/>
      <c r="J5" s="369"/>
      <c r="K5" s="369"/>
    </row>
    <row r="6" spans="1:11">
      <c r="A6" s="1814"/>
      <c r="B6" s="1814"/>
      <c r="C6" s="1814"/>
      <c r="D6" s="1814"/>
      <c r="E6" s="1814"/>
      <c r="F6" s="1814"/>
      <c r="G6" s="1814"/>
      <c r="H6" s="1814"/>
      <c r="I6" s="369"/>
      <c r="J6" s="369"/>
      <c r="K6" s="369"/>
    </row>
    <row r="7" spans="1:11">
      <c r="A7" s="1814"/>
      <c r="B7" s="1814"/>
      <c r="C7" s="1814"/>
      <c r="D7" s="1814"/>
      <c r="E7" s="1814"/>
      <c r="F7" s="1814"/>
      <c r="G7" s="1814"/>
      <c r="H7" s="1814"/>
    </row>
    <row r="8" spans="1:11" ht="12.75" customHeight="1">
      <c r="A8" s="1815" t="s">
        <v>326</v>
      </c>
      <c r="B8" s="1815"/>
      <c r="C8" s="1815"/>
      <c r="D8" s="1815"/>
      <c r="E8" s="1815"/>
      <c r="F8" s="1815"/>
      <c r="G8" s="1815"/>
      <c r="H8" s="1815"/>
    </row>
    <row r="10" spans="1:11" ht="19.5" customHeight="1" thickBot="1">
      <c r="A10" s="1277"/>
      <c r="B10" s="134" t="s">
        <v>248</v>
      </c>
    </row>
    <row r="11" spans="1:11" ht="19.5" customHeight="1" thickBot="1">
      <c r="A11" s="204"/>
      <c r="B11" s="134"/>
    </row>
    <row r="12" spans="1:11" ht="13.5" thickTop="1">
      <c r="A12" s="1339"/>
      <c r="B12" s="1340"/>
      <c r="C12" s="1341"/>
      <c r="D12" s="1342" t="s">
        <v>241</v>
      </c>
      <c r="E12" s="1808" t="str">
        <f>'1st Interim-Assumptions'!G6</f>
        <v>2022-23</v>
      </c>
      <c r="F12" s="1809"/>
      <c r="G12" s="1810" t="str">
        <f>'1st Interim-Assumptions'!H6</f>
        <v>2023-24</v>
      </c>
      <c r="H12" s="1811"/>
      <c r="I12" s="1810" t="str">
        <f>'1st Interim-Assumptions'!J6</f>
        <v>2024-25</v>
      </c>
      <c r="J12" s="1811"/>
      <c r="K12" s="1343" t="s">
        <v>120</v>
      </c>
    </row>
    <row r="13" spans="1:11">
      <c r="A13" s="1344"/>
      <c r="C13" s="1345" t="s">
        <v>123</v>
      </c>
      <c r="D13" s="1346" t="str">
        <f>'Budget-DEBT'!D13</f>
        <v>2022</v>
      </c>
      <c r="E13" s="1812" t="s">
        <v>121</v>
      </c>
      <c r="F13" s="1813"/>
      <c r="G13" s="1812" t="s">
        <v>121</v>
      </c>
      <c r="H13" s="1813"/>
      <c r="I13" s="1812" t="s">
        <v>121</v>
      </c>
      <c r="J13" s="1813"/>
      <c r="K13" s="1347" t="s">
        <v>237</v>
      </c>
    </row>
    <row r="14" spans="1:11" ht="13.5" thickBot="1">
      <c r="A14" s="1344" t="s">
        <v>122</v>
      </c>
      <c r="C14" s="1348" t="s">
        <v>243</v>
      </c>
      <c r="D14" s="1349" t="s">
        <v>240</v>
      </c>
      <c r="E14" s="1350" t="s">
        <v>238</v>
      </c>
      <c r="F14" s="1351" t="s">
        <v>239</v>
      </c>
      <c r="G14" s="1350" t="s">
        <v>238</v>
      </c>
      <c r="H14" s="1351" t="s">
        <v>239</v>
      </c>
      <c r="I14" s="1350" t="s">
        <v>238</v>
      </c>
      <c r="J14" s="1351" t="s">
        <v>239</v>
      </c>
      <c r="K14" s="1352"/>
    </row>
    <row r="15" spans="1:11" ht="18" customHeight="1" thickBot="1">
      <c r="A15" s="172" t="s">
        <v>131</v>
      </c>
      <c r="B15" s="173"/>
      <c r="C15" s="202"/>
      <c r="D15" s="29"/>
      <c r="E15" s="210"/>
      <c r="F15" s="212"/>
      <c r="G15" s="210"/>
      <c r="H15" s="212"/>
      <c r="I15" s="210"/>
      <c r="J15" s="212"/>
      <c r="K15" s="213"/>
    </row>
    <row r="16" spans="1:11" ht="18" customHeight="1" thickBot="1">
      <c r="A16" s="172" t="s">
        <v>132</v>
      </c>
      <c r="B16" s="173"/>
      <c r="C16" s="202">
        <v>1</v>
      </c>
      <c r="D16" s="29">
        <v>62498</v>
      </c>
      <c r="E16" s="210">
        <v>62498</v>
      </c>
      <c r="F16" s="212">
        <v>1102</v>
      </c>
      <c r="G16" s="210"/>
      <c r="H16" s="212"/>
      <c r="I16" s="210"/>
      <c r="J16" s="212"/>
      <c r="K16" s="213" t="s">
        <v>533</v>
      </c>
    </row>
    <row r="17" spans="1:12" ht="18" customHeight="1" thickBot="1">
      <c r="A17" s="172" t="s">
        <v>134</v>
      </c>
      <c r="B17" s="173"/>
      <c r="C17" s="202"/>
      <c r="D17" s="29"/>
      <c r="E17" s="210"/>
      <c r="F17" s="212"/>
      <c r="G17" s="210"/>
      <c r="H17" s="212"/>
      <c r="I17" s="210"/>
      <c r="J17" s="212"/>
      <c r="K17" s="213"/>
    </row>
    <row r="18" spans="1:12" ht="18" customHeight="1" thickBot="1">
      <c r="A18" s="172" t="s">
        <v>133</v>
      </c>
      <c r="B18" s="173"/>
      <c r="C18" s="202"/>
      <c r="D18" s="194"/>
      <c r="E18" s="211"/>
      <c r="F18" s="212"/>
      <c r="G18" s="211"/>
      <c r="H18" s="212"/>
      <c r="I18" s="211"/>
      <c r="J18" s="212"/>
      <c r="K18" s="213"/>
    </row>
    <row r="19" spans="1:12" ht="18" customHeight="1" thickBot="1">
      <c r="A19" s="172" t="s">
        <v>126</v>
      </c>
      <c r="B19" s="173"/>
      <c r="C19" s="202"/>
      <c r="D19" s="29"/>
      <c r="E19" s="210"/>
      <c r="F19" s="212"/>
      <c r="G19" s="210"/>
      <c r="H19" s="212"/>
      <c r="I19" s="210"/>
      <c r="J19" s="212"/>
      <c r="K19" s="213"/>
    </row>
    <row r="20" spans="1:12" ht="18" customHeight="1" thickBot="1">
      <c r="A20" s="172" t="s">
        <v>130</v>
      </c>
      <c r="B20" s="173"/>
      <c r="C20" s="202"/>
      <c r="D20" s="29"/>
      <c r="E20" s="210"/>
      <c r="F20" s="212"/>
      <c r="G20" s="210"/>
      <c r="H20" s="212"/>
      <c r="I20" s="210"/>
      <c r="J20" s="212"/>
      <c r="K20" s="213"/>
    </row>
    <row r="21" spans="1:12" ht="18" customHeight="1" thickBot="1">
      <c r="A21" s="174" t="s">
        <v>468</v>
      </c>
      <c r="B21" s="173"/>
      <c r="C21" s="202"/>
      <c r="D21" s="29"/>
      <c r="E21" s="210"/>
      <c r="F21" s="212"/>
      <c r="G21" s="210"/>
      <c r="H21" s="212"/>
      <c r="I21" s="210"/>
      <c r="J21" s="212"/>
      <c r="K21" s="213"/>
    </row>
    <row r="22" spans="1:12" ht="18" customHeight="1" thickBot="1">
      <c r="A22" s="174" t="s">
        <v>468</v>
      </c>
      <c r="B22" s="174"/>
      <c r="C22" s="202"/>
      <c r="D22" s="29"/>
      <c r="E22" s="210"/>
      <c r="F22" s="212"/>
      <c r="G22" s="210"/>
      <c r="H22" s="212"/>
      <c r="I22" s="210"/>
      <c r="J22" s="212"/>
      <c r="K22" s="213"/>
    </row>
    <row r="23" spans="1:12" ht="18" customHeight="1" thickBot="1">
      <c r="A23" s="174" t="s">
        <v>468</v>
      </c>
      <c r="B23" s="173"/>
      <c r="C23" s="202"/>
      <c r="D23" s="29"/>
      <c r="E23" s="210"/>
      <c r="F23" s="212"/>
      <c r="G23" s="210"/>
      <c r="H23" s="212"/>
      <c r="I23" s="210"/>
      <c r="J23" s="212"/>
      <c r="K23" s="213"/>
    </row>
    <row r="24" spans="1:12" ht="18" customHeight="1" thickBot="1">
      <c r="A24" s="174" t="s">
        <v>469</v>
      </c>
      <c r="B24" s="173"/>
      <c r="C24" s="202"/>
      <c r="D24" s="29"/>
      <c r="E24" s="210"/>
      <c r="F24" s="212"/>
      <c r="G24" s="210"/>
      <c r="H24" s="212"/>
      <c r="I24" s="210"/>
      <c r="J24" s="212"/>
      <c r="K24" s="213"/>
    </row>
    <row r="25" spans="1:12" ht="18" customHeight="1" thickBot="1">
      <c r="A25" s="174" t="s">
        <v>161</v>
      </c>
      <c r="B25" s="173"/>
      <c r="C25" s="202"/>
      <c r="D25" s="1363"/>
      <c r="E25" s="1364"/>
      <c r="F25" s="1365"/>
      <c r="G25" s="1364"/>
      <c r="H25" s="1365"/>
      <c r="I25" s="1364"/>
      <c r="J25" s="1365"/>
      <c r="K25" s="213"/>
    </row>
    <row r="26" spans="1:12" s="134" customFormat="1" ht="18" customHeight="1" thickBot="1">
      <c r="A26" s="1360"/>
      <c r="B26" s="1361" t="s">
        <v>0</v>
      </c>
      <c r="C26" s="1362"/>
      <c r="D26" s="1366">
        <f>SUM(D15:D25)</f>
        <v>62498</v>
      </c>
      <c r="E26" s="1367">
        <f t="shared" ref="E26:J26" si="0">SUM(E15:E25)</f>
        <v>62498</v>
      </c>
      <c r="F26" s="1368">
        <f t="shared" si="0"/>
        <v>1102</v>
      </c>
      <c r="G26" s="1367">
        <f t="shared" si="0"/>
        <v>0</v>
      </c>
      <c r="H26" s="1368">
        <f t="shared" si="0"/>
        <v>0</v>
      </c>
      <c r="I26" s="1367">
        <f t="shared" si="0"/>
        <v>0</v>
      </c>
      <c r="J26" s="1368">
        <f t="shared" si="0"/>
        <v>0</v>
      </c>
      <c r="K26" s="1369"/>
      <c r="L26" s="1224"/>
    </row>
    <row r="27" spans="1:12" ht="9.75" customHeight="1">
      <c r="A27" s="1344"/>
      <c r="C27" s="175"/>
      <c r="D27" s="175"/>
      <c r="E27" s="175"/>
      <c r="F27" s="175"/>
      <c r="G27" s="175"/>
      <c r="H27" s="175"/>
      <c r="I27" s="175"/>
      <c r="J27" s="175"/>
      <c r="K27" s="1353"/>
    </row>
    <row r="28" spans="1:12" ht="18" customHeight="1" thickBot="1">
      <c r="A28" s="1354" t="s">
        <v>124</v>
      </c>
      <c r="B28" s="176"/>
      <c r="C28" s="1355"/>
      <c r="D28" s="1355"/>
      <c r="E28" s="1355"/>
      <c r="F28" s="1355"/>
      <c r="G28" s="1355"/>
      <c r="H28" s="1355"/>
      <c r="I28" s="1355"/>
      <c r="J28" s="1355"/>
      <c r="K28" s="1356"/>
    </row>
    <row r="29" spans="1:12" ht="18" customHeight="1" thickBot="1">
      <c r="A29" s="1800"/>
      <c r="B29" s="1801"/>
      <c r="C29" s="1801"/>
      <c r="D29" s="1801"/>
      <c r="E29" s="1801"/>
      <c r="F29" s="1801"/>
      <c r="G29" s="1801"/>
      <c r="H29" s="1801"/>
      <c r="I29" s="1801"/>
      <c r="J29" s="1801"/>
      <c r="K29" s="1802"/>
    </row>
    <row r="30" spans="1:12" ht="18" customHeight="1" thickBot="1">
      <c r="A30" s="1800"/>
      <c r="B30" s="1803"/>
      <c r="C30" s="1803"/>
      <c r="D30" s="1803"/>
      <c r="E30" s="1803"/>
      <c r="F30" s="1803"/>
      <c r="G30" s="1803"/>
      <c r="H30" s="1803"/>
      <c r="I30" s="1803"/>
      <c r="J30" s="1803"/>
      <c r="K30" s="1804"/>
    </row>
    <row r="31" spans="1:12" ht="18" customHeight="1" thickBot="1">
      <c r="A31" s="1800"/>
      <c r="B31" s="1801"/>
      <c r="C31" s="1801"/>
      <c r="D31" s="1801"/>
      <c r="E31" s="1801"/>
      <c r="F31" s="1801"/>
      <c r="G31" s="1801"/>
      <c r="H31" s="1801"/>
      <c r="I31" s="1801"/>
      <c r="J31" s="1801"/>
      <c r="K31" s="1802"/>
    </row>
    <row r="32" spans="1:12" ht="18" customHeight="1">
      <c r="A32" s="1357" t="s">
        <v>125</v>
      </c>
      <c r="B32" s="1358"/>
      <c r="C32" s="1358"/>
      <c r="D32" s="1358"/>
      <c r="E32" s="1358"/>
      <c r="F32" s="1358"/>
      <c r="G32" s="1358"/>
      <c r="H32" s="1358"/>
      <c r="I32" s="1358"/>
      <c r="J32" s="1358"/>
      <c r="K32" s="1359"/>
    </row>
    <row r="33" spans="1:11" ht="81" customHeight="1" thickBot="1">
      <c r="A33" s="1805" t="s">
        <v>535</v>
      </c>
      <c r="B33" s="1806"/>
      <c r="C33" s="1806"/>
      <c r="D33" s="1806"/>
      <c r="E33" s="1806"/>
      <c r="F33" s="1806"/>
      <c r="G33" s="1806"/>
      <c r="H33" s="1806"/>
      <c r="I33" s="1806"/>
      <c r="J33" s="1806"/>
      <c r="K33" s="1807"/>
    </row>
    <row r="34" spans="1:11" ht="13.5" thickTop="1"/>
  </sheetData>
  <sheetProtection password="D94D" sheet="1"/>
  <mergeCells count="13">
    <mergeCell ref="A3:F3"/>
    <mergeCell ref="A8:H8"/>
    <mergeCell ref="A5:H7"/>
    <mergeCell ref="A33:K33"/>
    <mergeCell ref="A29:K29"/>
    <mergeCell ref="A30:K30"/>
    <mergeCell ref="A31:K31"/>
    <mergeCell ref="E12:F12"/>
    <mergeCell ref="G12:H12"/>
    <mergeCell ref="I12:J12"/>
    <mergeCell ref="E13:F13"/>
    <mergeCell ref="G13:H13"/>
    <mergeCell ref="I13:J13"/>
  </mergeCells>
  <phoneticPr fontId="5" type="noConversion"/>
  <conditionalFormatting sqref="A3">
    <cfRule type="containsText" dxfId="175" priority="1" stopIfTrue="1" operator="containsText" text="Enter">
      <formula>NOT(ISERROR(SEARCH("Enter",A3)))</formula>
    </cfRule>
  </conditionalFormatting>
  <printOptions horizontalCentered="1"/>
  <pageMargins left="0.5" right="0.5" top="0.75" bottom="0.75" header="0.5" footer="0.5"/>
  <pageSetup scale="83" fitToHeight="0" orientation="landscape"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tabColor theme="4"/>
    <pageSetUpPr autoPageBreaks="0"/>
  </sheetPr>
  <dimension ref="A1:AG64"/>
  <sheetViews>
    <sheetView showGridLines="0" zoomScale="70" zoomScaleNormal="70" zoomScaleSheetLayoutView="85" workbookViewId="0">
      <pane xSplit="4" ySplit="7" topLeftCell="L44" activePane="bottomRight" state="frozen"/>
      <selection pane="topRight" activeCell="E1" sqref="E1"/>
      <selection pane="bottomLeft" activeCell="A8" sqref="A8"/>
      <selection pane="bottomRight" activeCell="AA70" sqref="AA70"/>
    </sheetView>
  </sheetViews>
  <sheetFormatPr defaultRowHeight="12.75"/>
  <cols>
    <col min="1" max="1" width="2.5703125" customWidth="1"/>
    <col min="2" max="2" width="45.7109375" customWidth="1"/>
    <col min="3" max="3" width="14.7109375" customWidth="1"/>
    <col min="4" max="4" width="12.7109375" customWidth="1"/>
    <col min="5" max="5" width="13.42578125" customWidth="1"/>
    <col min="6" max="6" width="9" bestFit="1" customWidth="1"/>
    <col min="7" max="7" width="13.42578125" customWidth="1"/>
    <col min="8" max="8" width="8.7109375" customWidth="1"/>
    <col min="9" max="9" width="13.42578125" customWidth="1"/>
    <col min="10" max="10" width="8.7109375" customWidth="1"/>
    <col min="11" max="11" width="13.28515625" customWidth="1"/>
    <col min="12" max="12" width="8.7109375" customWidth="1"/>
    <col min="13" max="13" width="13.42578125" customWidth="1"/>
    <col min="14" max="14" width="8.7109375" customWidth="1"/>
    <col min="15" max="15" width="13.42578125" customWidth="1"/>
    <col min="16" max="16" width="8.7109375" customWidth="1"/>
    <col min="17" max="17" width="13.42578125" customWidth="1"/>
    <col min="18" max="18" width="8.7109375" customWidth="1"/>
    <col min="19" max="19" width="13.42578125" customWidth="1"/>
    <col min="20" max="20" width="9.28515625" customWidth="1"/>
    <col min="21" max="21" width="13.42578125" customWidth="1"/>
    <col min="22" max="22" width="9.28515625" customWidth="1"/>
    <col min="23" max="23" width="13.42578125" customWidth="1"/>
    <col min="24" max="24" width="9.28515625" customWidth="1"/>
    <col min="25" max="25" width="13.42578125" customWidth="1"/>
    <col min="26" max="26" width="9.28515625" customWidth="1"/>
    <col min="27" max="27" width="13.7109375" customWidth="1"/>
    <col min="28" max="28" width="9.28515625" customWidth="1"/>
    <col min="29" max="29" width="13.42578125" style="175" customWidth="1"/>
    <col min="30" max="30" width="17.28515625" style="175" customWidth="1"/>
    <col min="31" max="32" width="13.7109375" style="175" customWidth="1"/>
    <col min="33" max="33" width="70.5703125" hidden="1" customWidth="1"/>
  </cols>
  <sheetData>
    <row r="1" spans="1:33" ht="16.5" thickBot="1">
      <c r="A1" s="177"/>
      <c r="B1" s="177"/>
      <c r="C1" s="177"/>
      <c r="D1" s="177"/>
      <c r="E1" s="178"/>
      <c r="F1" s="1825" t="str">
        <f>IF('INTERIM-CERTIFICATION'!$M$1="","CHARTER NAME: Enter Charter Name on INTERIM-CERTIFICATION Worksheet",(CONCATENATE("CHARTER NAME: ",'INTERIM-CERTIFICATION'!$M$1)))</f>
        <v>CHARTER NAME: Elite Academic Academy - Virtual Prep Lucerne</v>
      </c>
      <c r="G1" s="1825" t="str">
        <f>IF('INTERIM-CERTIFICATION'!$H$1="","CHARTER NAME: Enter Charter Name on INTERIM-CERTIFICATION Worksheet",(CONCATENATE("CHARTER NAME: ",'INTERIM-CERTIFICATION'!$H$1)))</f>
        <v>CHARTER NAME: Enter Charter Name on INTERIM-CERTIFICATION Worksheet</v>
      </c>
      <c r="H1" s="1825"/>
      <c r="I1" s="1825"/>
      <c r="J1" s="1825"/>
      <c r="K1" s="1825"/>
      <c r="L1" s="1825"/>
      <c r="M1" s="180"/>
      <c r="N1" s="179"/>
      <c r="O1" s="180"/>
      <c r="P1" s="179"/>
      <c r="Q1" s="180"/>
      <c r="R1" s="179"/>
      <c r="S1" s="180"/>
      <c r="T1" s="1825" t="str">
        <f>IF('INTERIM-CERTIFICATION'!$M$1="","CHARTER NAME: Enter Charter Name on INTERIM-CERTIFICATION Worksheet",(CONCATENATE("CHARTER NAME: ",'INTERIM-CERTIFICATION'!$M$1)))</f>
        <v>CHARTER NAME: Elite Academic Academy - Virtual Prep Lucerne</v>
      </c>
      <c r="U1" s="1825" t="str">
        <f>IF('INTERIM-CERTIFICATION'!$H$1="","CHARTER NAME: Enter Charter Name on INTERIM-CERTIFICATION Worksheet",(CONCATENATE("CHARTER NAME: ",'INTERIM-CERTIFICATION'!$H$1)))</f>
        <v>CHARTER NAME: Enter Charter Name on INTERIM-CERTIFICATION Worksheet</v>
      </c>
      <c r="V1" s="1825"/>
      <c r="W1" s="1825"/>
      <c r="X1" s="1825"/>
      <c r="Y1" s="1825"/>
      <c r="Z1" s="1825"/>
      <c r="AA1" s="180"/>
      <c r="AB1" s="179"/>
      <c r="AD1" s="1024"/>
      <c r="AE1" s="1024"/>
      <c r="AF1" s="1024"/>
      <c r="AG1" s="1203"/>
    </row>
    <row r="2" spans="1:33" ht="15.75">
      <c r="B2" s="184" t="s">
        <v>117</v>
      </c>
      <c r="C2" s="97">
        <v>44873</v>
      </c>
      <c r="D2" s="185"/>
      <c r="G2" s="1860" t="str">
        <f>""&amp;'Budget-ADA'!K7&amp;"  First Interim Cash Flow"</f>
        <v>2022-23  First Interim Cash Flow</v>
      </c>
      <c r="H2" s="1860"/>
      <c r="I2" s="1860"/>
      <c r="J2" s="1860"/>
      <c r="K2" s="1860"/>
      <c r="M2" s="180"/>
      <c r="O2" s="180"/>
      <c r="Q2" s="180"/>
      <c r="S2" s="180"/>
      <c r="U2" s="179"/>
      <c r="W2" s="218" t="str">
        <f>+G2</f>
        <v>2022-23  First Interim Cash Flow</v>
      </c>
      <c r="Y2" s="179"/>
      <c r="AA2" s="180"/>
      <c r="AC2" s="1024"/>
      <c r="AD2" s="1024"/>
      <c r="AE2" s="1024"/>
      <c r="AF2" s="1024"/>
      <c r="AG2" s="1203"/>
    </row>
    <row r="3" spans="1:33" ht="16.5" thickBot="1">
      <c r="A3" s="1586" t="str">
        <f>Instructions!H1</f>
        <v>Form Orignated 5/16/2022</v>
      </c>
      <c r="B3" s="183"/>
      <c r="C3" s="23"/>
      <c r="D3" s="23"/>
      <c r="E3" s="26"/>
      <c r="F3" s="25"/>
      <c r="G3" s="27"/>
      <c r="H3" s="25"/>
      <c r="I3" s="27"/>
      <c r="J3" s="25"/>
      <c r="K3" s="27"/>
      <c r="L3" s="25"/>
      <c r="M3" s="27"/>
      <c r="N3" s="25"/>
      <c r="O3" s="27"/>
      <c r="P3" s="25"/>
      <c r="Q3" s="27"/>
      <c r="R3" s="25"/>
      <c r="S3" s="27"/>
      <c r="T3" s="25"/>
      <c r="U3" s="27"/>
      <c r="V3" s="25"/>
      <c r="W3" s="27"/>
      <c r="X3" s="25"/>
      <c r="Y3" s="27"/>
      <c r="Z3" s="25"/>
      <c r="AA3" s="27"/>
      <c r="AB3" s="25"/>
      <c r="AC3" s="1024"/>
      <c r="AD3" s="1024"/>
      <c r="AE3" s="1024"/>
      <c r="AF3" s="1024"/>
      <c r="AG3" s="1203"/>
    </row>
    <row r="4" spans="1:33" ht="15.75">
      <c r="A4" s="404"/>
      <c r="B4" s="72"/>
      <c r="C4" s="72"/>
      <c r="D4" s="72"/>
      <c r="E4" s="628" t="s">
        <v>79</v>
      </c>
      <c r="F4" s="405" t="s">
        <v>80</v>
      </c>
      <c r="G4" s="543" t="s">
        <v>81</v>
      </c>
      <c r="H4" s="405" t="s">
        <v>80</v>
      </c>
      <c r="I4" s="543" t="s">
        <v>83</v>
      </c>
      <c r="J4" s="405" t="s">
        <v>80</v>
      </c>
      <c r="K4" s="543" t="s">
        <v>84</v>
      </c>
      <c r="L4" s="544" t="s">
        <v>80</v>
      </c>
      <c r="M4" s="543" t="s">
        <v>85</v>
      </c>
      <c r="N4" s="405" t="s">
        <v>80</v>
      </c>
      <c r="O4" s="543" t="s">
        <v>86</v>
      </c>
      <c r="P4" s="405" t="s">
        <v>80</v>
      </c>
      <c r="Q4" s="543" t="s">
        <v>87</v>
      </c>
      <c r="R4" s="405" t="s">
        <v>80</v>
      </c>
      <c r="S4" s="543" t="s">
        <v>88</v>
      </c>
      <c r="T4" s="405" t="s">
        <v>80</v>
      </c>
      <c r="U4" s="543" t="s">
        <v>89</v>
      </c>
      <c r="V4" s="405" t="s">
        <v>80</v>
      </c>
      <c r="W4" s="543" t="s">
        <v>90</v>
      </c>
      <c r="X4" s="405" t="s">
        <v>80</v>
      </c>
      <c r="Y4" s="543" t="s">
        <v>91</v>
      </c>
      <c r="Z4" s="405" t="s">
        <v>80</v>
      </c>
      <c r="AA4" s="543" t="s">
        <v>92</v>
      </c>
      <c r="AB4" s="405" t="s">
        <v>80</v>
      </c>
      <c r="AC4" s="1025" t="s">
        <v>93</v>
      </c>
      <c r="AD4" s="1033"/>
      <c r="AE4" s="1033" t="s">
        <v>19</v>
      </c>
      <c r="AF4" s="1033"/>
      <c r="AG4" s="1203"/>
    </row>
    <row r="5" spans="1:33" ht="16.5" thickBot="1">
      <c r="A5" s="187"/>
      <c r="B5" s="23"/>
      <c r="C5" s="23"/>
      <c r="D5" s="23"/>
      <c r="E5" s="220" t="s">
        <v>61</v>
      </c>
      <c r="F5" s="1046" t="s">
        <v>94</v>
      </c>
      <c r="G5" s="188" t="s">
        <v>61</v>
      </c>
      <c r="H5" s="1046" t="s">
        <v>94</v>
      </c>
      <c r="I5" s="188" t="s">
        <v>61</v>
      </c>
      <c r="J5" s="1046" t="s">
        <v>94</v>
      </c>
      <c r="K5" s="188" t="s">
        <v>61</v>
      </c>
      <c r="L5" s="64" t="s">
        <v>94</v>
      </c>
      <c r="M5" s="188" t="s">
        <v>93</v>
      </c>
      <c r="N5" s="1046" t="s">
        <v>94</v>
      </c>
      <c r="O5" s="188" t="s">
        <v>93</v>
      </c>
      <c r="P5" s="61" t="s">
        <v>94</v>
      </c>
      <c r="Q5" s="188" t="s">
        <v>93</v>
      </c>
      <c r="R5" s="1046" t="s">
        <v>94</v>
      </c>
      <c r="S5" s="188" t="s">
        <v>93</v>
      </c>
      <c r="T5" s="61" t="s">
        <v>94</v>
      </c>
      <c r="U5" s="188" t="s">
        <v>93</v>
      </c>
      <c r="V5" s="61" t="s">
        <v>94</v>
      </c>
      <c r="W5" s="188" t="s">
        <v>93</v>
      </c>
      <c r="X5" s="61" t="s">
        <v>94</v>
      </c>
      <c r="Y5" s="188" t="s">
        <v>93</v>
      </c>
      <c r="Z5" s="61" t="s">
        <v>94</v>
      </c>
      <c r="AA5" s="188" t="s">
        <v>93</v>
      </c>
      <c r="AB5" s="61" t="s">
        <v>94</v>
      </c>
      <c r="AC5" s="1026" t="s">
        <v>95</v>
      </c>
      <c r="AD5" s="1034" t="s">
        <v>0</v>
      </c>
      <c r="AE5" s="1034" t="s">
        <v>16</v>
      </c>
      <c r="AF5" s="1034" t="s">
        <v>96</v>
      </c>
      <c r="AG5" s="1203"/>
    </row>
    <row r="6" spans="1:33" ht="17.25" thickTop="1" thickBot="1">
      <c r="A6" s="190" t="s">
        <v>97</v>
      </c>
      <c r="B6" s="181"/>
      <c r="D6" s="414" t="s">
        <v>118</v>
      </c>
      <c r="E6" s="1056">
        <v>1065621.8400000003</v>
      </c>
      <c r="F6" s="62"/>
      <c r="G6" s="191">
        <f>E60</f>
        <v>1022274.7985817401</v>
      </c>
      <c r="H6" s="62"/>
      <c r="I6" s="191">
        <f>G60</f>
        <v>978927.75716347992</v>
      </c>
      <c r="J6" s="62"/>
      <c r="K6" s="191">
        <f>I60</f>
        <v>935580.71574521973</v>
      </c>
      <c r="L6" s="546"/>
      <c r="M6" s="516">
        <f>K60</f>
        <v>892233.67432695953</v>
      </c>
      <c r="N6" s="1047"/>
      <c r="O6" s="516">
        <f>M60</f>
        <v>848886.63290869934</v>
      </c>
      <c r="P6" s="62"/>
      <c r="Q6" s="516">
        <f>O60</f>
        <v>805539.59149043914</v>
      </c>
      <c r="R6" s="62"/>
      <c r="S6" s="516">
        <f>Q60</f>
        <v>762192.55007217894</v>
      </c>
      <c r="T6" s="62"/>
      <c r="U6" s="191">
        <f>S60</f>
        <v>718845.50865391875</v>
      </c>
      <c r="V6" s="62"/>
      <c r="W6" s="191">
        <f>U60</f>
        <v>675498.46723565855</v>
      </c>
      <c r="X6" s="62"/>
      <c r="Y6" s="191">
        <f>W60</f>
        <v>632151.42581739835</v>
      </c>
      <c r="Z6" s="62"/>
      <c r="AA6" s="191">
        <f>Y60</f>
        <v>588804.38439913816</v>
      </c>
      <c r="AB6" s="62"/>
      <c r="AC6" s="391">
        <f>+AA60</f>
        <v>905457.34298087796</v>
      </c>
      <c r="AD6" s="58"/>
      <c r="AE6" s="58"/>
      <c r="AF6" s="58"/>
      <c r="AG6" s="1203"/>
    </row>
    <row r="7" spans="1:33" ht="17.25" thickTop="1" thickBot="1">
      <c r="A7" s="406"/>
      <c r="B7" s="370"/>
      <c r="C7" s="65"/>
      <c r="D7" s="1070"/>
      <c r="E7" s="1864" t="s">
        <v>366</v>
      </c>
      <c r="F7" s="1864"/>
      <c r="G7" s="1864"/>
      <c r="H7" s="1864"/>
      <c r="I7" s="1864"/>
      <c r="J7" s="1864"/>
      <c r="K7" s="1864"/>
      <c r="L7" s="1865"/>
      <c r="M7" s="66"/>
      <c r="N7" s="63"/>
      <c r="O7" s="66"/>
      <c r="P7" s="63"/>
      <c r="Q7" s="66"/>
      <c r="R7" s="63"/>
      <c r="S7" s="66"/>
      <c r="T7" s="63"/>
      <c r="U7" s="66"/>
      <c r="V7" s="63"/>
      <c r="W7" s="66"/>
      <c r="X7" s="63"/>
      <c r="Y7" s="66"/>
      <c r="Z7" s="63"/>
      <c r="AA7" s="66"/>
      <c r="AB7" s="63"/>
      <c r="AC7" s="1027"/>
      <c r="AD7" s="1027"/>
      <c r="AE7" s="1027"/>
      <c r="AF7" s="1039"/>
      <c r="AG7" s="1203"/>
    </row>
    <row r="8" spans="1:33" ht="15.75">
      <c r="A8" s="67" t="s">
        <v>98</v>
      </c>
      <c r="B8" s="525"/>
      <c r="C8" s="375"/>
      <c r="D8" s="1071"/>
      <c r="E8" s="526"/>
      <c r="F8" s="166"/>
      <c r="G8" s="377"/>
      <c r="H8" s="166"/>
      <c r="I8" s="377"/>
      <c r="J8" s="166"/>
      <c r="K8" s="377"/>
      <c r="L8" s="1066"/>
      <c r="M8" s="377"/>
      <c r="N8" s="166"/>
      <c r="O8" s="377"/>
      <c r="P8" s="166"/>
      <c r="Q8" s="377"/>
      <c r="R8" s="166"/>
      <c r="S8" s="377"/>
      <c r="T8" s="166"/>
      <c r="U8" s="377"/>
      <c r="V8" s="166"/>
      <c r="W8" s="377"/>
      <c r="X8" s="166"/>
      <c r="Y8" s="377"/>
      <c r="Z8" s="166"/>
      <c r="AA8" s="377"/>
      <c r="AB8" s="166"/>
      <c r="AC8" s="1028"/>
      <c r="AD8" s="1028"/>
      <c r="AE8" s="1028"/>
      <c r="AF8" s="1036"/>
      <c r="AG8" s="1203"/>
    </row>
    <row r="9" spans="1:33" ht="15.75">
      <c r="A9" s="407" t="s">
        <v>306</v>
      </c>
      <c r="B9" s="147"/>
      <c r="C9" s="141"/>
      <c r="D9" s="1068"/>
      <c r="E9" s="784"/>
      <c r="F9" s="388"/>
      <c r="G9" s="512"/>
      <c r="H9" s="388"/>
      <c r="I9" s="512"/>
      <c r="J9" s="388"/>
      <c r="K9" s="512"/>
      <c r="L9" s="517"/>
      <c r="M9" s="512"/>
      <c r="N9" s="388"/>
      <c r="O9" s="512"/>
      <c r="P9" s="388"/>
      <c r="Q9" s="512"/>
      <c r="R9" s="388"/>
      <c r="S9" s="512"/>
      <c r="T9" s="388"/>
      <c r="U9" s="512"/>
      <c r="V9" s="388"/>
      <c r="W9" s="512"/>
      <c r="X9" s="388"/>
      <c r="Y9" s="512"/>
      <c r="Z9" s="388"/>
      <c r="AA9" s="512"/>
      <c r="AB9" s="388"/>
      <c r="AC9" s="1029"/>
      <c r="AD9" s="1032"/>
      <c r="AE9" s="1032"/>
      <c r="AF9" s="389"/>
      <c r="AG9" s="1203"/>
    </row>
    <row r="10" spans="1:33" ht="15.75">
      <c r="A10" s="408"/>
      <c r="B10" s="141" t="s">
        <v>155</v>
      </c>
      <c r="C10" s="279">
        <v>8011</v>
      </c>
      <c r="D10" s="1068"/>
      <c r="E10" s="380">
        <f>+'1st Interim-Summary MYP'!G13/12</f>
        <v>430569.58333333331</v>
      </c>
      <c r="F10" s="534">
        <f>IF($AE10&lt;1," ",IF(E10&lt;1," ",(E10)/$AE10))</f>
        <v>8.3333333333333329E-2</v>
      </c>
      <c r="G10" s="392">
        <f>+E10</f>
        <v>430569.58333333331</v>
      </c>
      <c r="H10" s="534">
        <f>IF($AE10&lt;1," ",IF(G10&lt;1," ",(G10)/$AE10))</f>
        <v>8.3333333333333329E-2</v>
      </c>
      <c r="I10" s="392">
        <f>+G10</f>
        <v>430569.58333333331</v>
      </c>
      <c r="J10" s="534">
        <f>IF($AE10&lt;1," ",IF(I10&lt;1," ",(I10)/$AE10))</f>
        <v>8.3333333333333329E-2</v>
      </c>
      <c r="K10" s="392">
        <f>+I10</f>
        <v>430569.58333333331</v>
      </c>
      <c r="L10" s="342">
        <f>IF($AE10&lt;1," ",IF(K10&lt;1," ",(K10)/$AE10))</f>
        <v>8.3333333333333329E-2</v>
      </c>
      <c r="M10" s="380">
        <f>+K10</f>
        <v>430569.58333333331</v>
      </c>
      <c r="N10" s="341">
        <f>IF($AE10&lt;1," ",IF(M10&lt;1," ",(M10)/$AE10))</f>
        <v>8.3333333333333329E-2</v>
      </c>
      <c r="O10" s="392">
        <f>+M10</f>
        <v>430569.58333333331</v>
      </c>
      <c r="P10" s="341">
        <f>IF($AE10&lt;1," ",IF(O10&lt;1," ",(O10)/$AE10))</f>
        <v>8.3333333333333329E-2</v>
      </c>
      <c r="Q10" s="392">
        <f>+O10</f>
        <v>430569.58333333331</v>
      </c>
      <c r="R10" s="534">
        <f>IF($AE10&lt;1," ",IF(Q10&lt;1," ",(Q10)/$AE10))</f>
        <v>8.3333333333333329E-2</v>
      </c>
      <c r="S10" s="392">
        <f>+Q10</f>
        <v>430569.58333333331</v>
      </c>
      <c r="T10" s="341">
        <f>IF($AE10&lt;1," ",IF(S10&lt;1," ",(S10)/$AE10))</f>
        <v>8.3333333333333329E-2</v>
      </c>
      <c r="U10" s="392">
        <f>+S10</f>
        <v>430569.58333333331</v>
      </c>
      <c r="V10" s="341">
        <f>IF($AE10&lt;1," ",IF(U10&lt;1," ",(U10)/$AE10))</f>
        <v>8.3333333333333329E-2</v>
      </c>
      <c r="W10" s="392">
        <f>+U10</f>
        <v>430569.58333333331</v>
      </c>
      <c r="X10" s="341">
        <f>IF($AE10&lt;1," ",IF(W10&lt;1," ",(W10)/$AE10))</f>
        <v>8.3333333333333329E-2</v>
      </c>
      <c r="Y10" s="392">
        <f>+W10</f>
        <v>430569.58333333331</v>
      </c>
      <c r="Z10" s="341">
        <f>IF($AE10&lt;1," ",IF(Y10&lt;1," ",(Y10)/$AE10))</f>
        <v>8.3333333333333329E-2</v>
      </c>
      <c r="AA10" s="392">
        <f>+Y10</f>
        <v>430569.58333333331</v>
      </c>
      <c r="AB10" s="341">
        <f>IF($AE10&lt;1," ",IF(AA10&lt;1," ",(AA10)/$AE10))</f>
        <v>8.3333333333333329E-2</v>
      </c>
      <c r="AC10" s="1562">
        <f>AE10-(E10+G10+I10+K10+M10+O10+Q10+S10+U10+W10+Y10+AA10)</f>
        <v>0</v>
      </c>
      <c r="AD10" s="381">
        <f>+E10+G10+I10+K10+M10+O10+Q10+S10+U10+W10+Y10+AA10+AC10</f>
        <v>5166835</v>
      </c>
      <c r="AE10" s="381">
        <f>'1st Interim-Summary MYP'!G13</f>
        <v>5166835</v>
      </c>
      <c r="AF10" s="381">
        <f>+AE10-AD10</f>
        <v>0</v>
      </c>
      <c r="AG10" s="1203"/>
    </row>
    <row r="11" spans="1:33" ht="15.75">
      <c r="A11" s="408"/>
      <c r="B11" s="141" t="s">
        <v>156</v>
      </c>
      <c r="C11" s="279">
        <v>8012</v>
      </c>
      <c r="D11" s="1068"/>
      <c r="E11" s="380">
        <f>+'1st Interim-Summary MYP'!G14/12</f>
        <v>8500</v>
      </c>
      <c r="F11" s="534">
        <f>IF($AE11&lt;1," ",IF(E11&lt;1," ",(E11)/$AE11))</f>
        <v>8.3333333333333329E-2</v>
      </c>
      <c r="G11" s="392">
        <f t="shared" ref="G11:AA22" si="0">+E11</f>
        <v>8500</v>
      </c>
      <c r="H11" s="534">
        <f>IF($AE11&lt;1," ",IF(G11&lt;1," ",(G11)/$AE11))</f>
        <v>8.3333333333333329E-2</v>
      </c>
      <c r="I11" s="392">
        <f t="shared" si="0"/>
        <v>8500</v>
      </c>
      <c r="J11" s="534">
        <f>IF($AE11&lt;1," ",IF(I11&lt;1," ",(I11)/$AE11))</f>
        <v>8.3333333333333329E-2</v>
      </c>
      <c r="K11" s="392">
        <f t="shared" si="0"/>
        <v>8500</v>
      </c>
      <c r="L11" s="342">
        <f>IF($AE11&lt;1," ",IF(K11&lt;1," ",(K11)/$AE11))</f>
        <v>8.3333333333333329E-2</v>
      </c>
      <c r="M11" s="380">
        <f t="shared" si="0"/>
        <v>8500</v>
      </c>
      <c r="N11" s="341">
        <f>IF($AE11&lt;1," ",IF(M11&lt;1," ",(M11)/$AE11))</f>
        <v>8.3333333333333329E-2</v>
      </c>
      <c r="O11" s="392">
        <f t="shared" si="0"/>
        <v>8500</v>
      </c>
      <c r="P11" s="341">
        <f>IF($AE11&lt;1," ",IF(O11&lt;1," ",(O11)/$AE11))</f>
        <v>8.3333333333333329E-2</v>
      </c>
      <c r="Q11" s="392">
        <f t="shared" si="0"/>
        <v>8500</v>
      </c>
      <c r="R11" s="534">
        <f>IF($AE11&lt;1," ",IF(Q11&lt;1," ",(Q11)/$AE11))</f>
        <v>8.3333333333333329E-2</v>
      </c>
      <c r="S11" s="392">
        <f t="shared" si="0"/>
        <v>8500</v>
      </c>
      <c r="T11" s="341">
        <f>IF($AE11&lt;1," ",IF(S11&lt;1," ",(S11)/$AE11))</f>
        <v>8.3333333333333329E-2</v>
      </c>
      <c r="U11" s="392">
        <f t="shared" si="0"/>
        <v>8500</v>
      </c>
      <c r="V11" s="341">
        <f>IF($AE11&lt;1," ",IF(U11&lt;1," ",(U11)/$AE11))</f>
        <v>8.3333333333333329E-2</v>
      </c>
      <c r="W11" s="392">
        <f t="shared" si="0"/>
        <v>8500</v>
      </c>
      <c r="X11" s="341">
        <f>IF($AE11&lt;1," ",IF(W11&lt;1," ",(W11)/$AE11))</f>
        <v>8.3333333333333329E-2</v>
      </c>
      <c r="Y11" s="392">
        <f t="shared" si="0"/>
        <v>8500</v>
      </c>
      <c r="Z11" s="341">
        <f>IF($AE11&lt;1," ",IF(Y11&lt;1," ",(Y11)/$AE11))</f>
        <v>8.3333333333333329E-2</v>
      </c>
      <c r="AA11" s="392">
        <f t="shared" si="0"/>
        <v>8500</v>
      </c>
      <c r="AB11" s="341">
        <f>IF($AE11&lt;1," ",IF(AA11&lt;1," ",(AA11)/$AE11))</f>
        <v>8.3333333333333329E-2</v>
      </c>
      <c r="AC11" s="1562">
        <f t="shared" ref="AC11:AC22" si="1">AE11-(E11+G11+I11+K11+M11+O11+Q11+S11+U11+W11+Y11+AA11)</f>
        <v>0</v>
      </c>
      <c r="AD11" s="381">
        <f>+E11+G11+I11+K11+M11+O11+Q11+S11+U11+W11+Y11+AA11+AC11</f>
        <v>102000</v>
      </c>
      <c r="AE11" s="381">
        <f>'1st Interim-Summary MYP'!G14</f>
        <v>102000</v>
      </c>
      <c r="AF11" s="381">
        <f>+AE11-AD11</f>
        <v>0</v>
      </c>
      <c r="AG11" s="1203"/>
    </row>
    <row r="12" spans="1:33" ht="15.75">
      <c r="A12" s="408"/>
      <c r="B12" s="141" t="s">
        <v>304</v>
      </c>
      <c r="C12" s="279">
        <v>8019</v>
      </c>
      <c r="D12" s="1072"/>
      <c r="E12" s="380">
        <f>+'1st Interim-Summary MYP'!G15/12</f>
        <v>0</v>
      </c>
      <c r="F12" s="534" t="str">
        <f>IF($AE12&lt;1," ",IF(E12&lt;1," ",(E12)/$AE12))</f>
        <v xml:space="preserve"> </v>
      </c>
      <c r="G12" s="392">
        <f t="shared" si="0"/>
        <v>0</v>
      </c>
      <c r="H12" s="534" t="str">
        <f>IF($AE12&lt;1," ",IF(G12&lt;1," ",(G12)/$AE12))</f>
        <v xml:space="preserve"> </v>
      </c>
      <c r="I12" s="392">
        <f t="shared" si="0"/>
        <v>0</v>
      </c>
      <c r="J12" s="534" t="str">
        <f>IF($AE12&lt;1," ",IF(I12&lt;1," ",(I12)/$AE12))</f>
        <v xml:space="preserve"> </v>
      </c>
      <c r="K12" s="392">
        <f t="shared" si="0"/>
        <v>0</v>
      </c>
      <c r="L12" s="342" t="str">
        <f>IF($AE12&lt;1," ",IF(K12&lt;1," ",(K12)/$AE12))</f>
        <v xml:space="preserve"> </v>
      </c>
      <c r="M12" s="380">
        <f t="shared" si="0"/>
        <v>0</v>
      </c>
      <c r="N12" s="341" t="str">
        <f>IF($AE12&lt;1," ",IF(M12&lt;1," ",(M12)/$AE12))</f>
        <v xml:space="preserve"> </v>
      </c>
      <c r="O12" s="392">
        <f t="shared" si="0"/>
        <v>0</v>
      </c>
      <c r="P12" s="341" t="str">
        <f>IF($AE12&lt;1," ",IF(O12&lt;1," ",(O12)/$AE12))</f>
        <v xml:space="preserve"> </v>
      </c>
      <c r="Q12" s="392">
        <f t="shared" si="0"/>
        <v>0</v>
      </c>
      <c r="R12" s="534" t="str">
        <f>IF($AE12&lt;1," ",IF(Q12&lt;1," ",(Q12)/$AE12))</f>
        <v xml:space="preserve"> </v>
      </c>
      <c r="S12" s="392">
        <f t="shared" si="0"/>
        <v>0</v>
      </c>
      <c r="T12" s="341" t="str">
        <f>IF($AE12&lt;1," ",IF(S12&lt;1," ",(S12)/$AE12))</f>
        <v xml:space="preserve"> </v>
      </c>
      <c r="U12" s="392">
        <f t="shared" si="0"/>
        <v>0</v>
      </c>
      <c r="V12" s="341" t="str">
        <f>IF($AE12&lt;1," ",IF(U12&lt;1," ",(U12)/$AE12))</f>
        <v xml:space="preserve"> </v>
      </c>
      <c r="W12" s="392">
        <f t="shared" si="0"/>
        <v>0</v>
      </c>
      <c r="X12" s="341" t="str">
        <f>IF($AE12&lt;1," ",IF(W12&lt;1," ",(W12)/$AE12))</f>
        <v xml:space="preserve"> </v>
      </c>
      <c r="Y12" s="392">
        <f t="shared" si="0"/>
        <v>0</v>
      </c>
      <c r="Z12" s="341" t="str">
        <f>IF($AE12&lt;1," ",IF(Y12&lt;1," ",(Y12)/$AE12))</f>
        <v xml:space="preserve"> </v>
      </c>
      <c r="AA12" s="392">
        <f t="shared" si="0"/>
        <v>0</v>
      </c>
      <c r="AB12" s="341" t="str">
        <f>IF($AE12&lt;1," ",IF(AA12&lt;1," ",(AA12)/$AE12))</f>
        <v xml:space="preserve"> </v>
      </c>
      <c r="AC12" s="1562">
        <f t="shared" si="1"/>
        <v>0</v>
      </c>
      <c r="AD12" s="381">
        <f>+E12+G12+I12+K12+M12+O12+Q12+S12+U12+W12+Y12+AA12+AC12</f>
        <v>0</v>
      </c>
      <c r="AE12" s="382">
        <f>'1st Interim-Summary MYP'!G15</f>
        <v>0</v>
      </c>
      <c r="AF12" s="381">
        <f>+AE12-AD12</f>
        <v>0</v>
      </c>
      <c r="AG12" s="1203"/>
    </row>
    <row r="13" spans="1:33" ht="15.75">
      <c r="A13" s="408"/>
      <c r="B13" s="141" t="s">
        <v>305</v>
      </c>
      <c r="C13" s="279">
        <v>8096</v>
      </c>
      <c r="D13" s="1072"/>
      <c r="E13" s="380">
        <f>+'1st Interim-Summary MYP'!G16/12</f>
        <v>11023.65</v>
      </c>
      <c r="F13" s="534">
        <f>IF($AE13&lt;1," ",IF(E13&lt;1," ",(E13)/$AE13))</f>
        <v>8.3333333333333343E-2</v>
      </c>
      <c r="G13" s="392">
        <f t="shared" si="0"/>
        <v>11023.65</v>
      </c>
      <c r="H13" s="534">
        <f>IF($AE13&lt;1," ",IF(G13&lt;1," ",(G13)/$AE13))</f>
        <v>8.3333333333333343E-2</v>
      </c>
      <c r="I13" s="392">
        <f t="shared" si="0"/>
        <v>11023.65</v>
      </c>
      <c r="J13" s="534">
        <f>IF($AE13&lt;1," ",IF(I13&lt;1," ",(I13)/$AE13))</f>
        <v>8.3333333333333343E-2</v>
      </c>
      <c r="K13" s="392">
        <f t="shared" si="0"/>
        <v>11023.65</v>
      </c>
      <c r="L13" s="342">
        <f>IF($AE13&lt;1," ",IF(K13&lt;1," ",(K13)/$AE13))</f>
        <v>8.3333333333333343E-2</v>
      </c>
      <c r="M13" s="380">
        <f t="shared" si="0"/>
        <v>11023.65</v>
      </c>
      <c r="N13" s="341">
        <f>IF($AE13&lt;1," ",IF(M13&lt;1," ",(M13)/$AE13))</f>
        <v>8.3333333333333343E-2</v>
      </c>
      <c r="O13" s="392">
        <f t="shared" si="0"/>
        <v>11023.65</v>
      </c>
      <c r="P13" s="341">
        <f>IF($AE13&lt;1," ",IF(O13&lt;1," ",(O13)/$AE13))</f>
        <v>8.3333333333333343E-2</v>
      </c>
      <c r="Q13" s="392">
        <f t="shared" si="0"/>
        <v>11023.65</v>
      </c>
      <c r="R13" s="534">
        <f>IF($AE13&lt;1," ",IF(Q13&lt;1," ",(Q13)/$AE13))</f>
        <v>8.3333333333333343E-2</v>
      </c>
      <c r="S13" s="392">
        <f t="shared" si="0"/>
        <v>11023.65</v>
      </c>
      <c r="T13" s="341">
        <f>IF($AE13&lt;1," ",IF(S13&lt;1," ",(S13)/$AE13))</f>
        <v>8.3333333333333343E-2</v>
      </c>
      <c r="U13" s="392">
        <f t="shared" si="0"/>
        <v>11023.65</v>
      </c>
      <c r="V13" s="341">
        <f>IF($AE13&lt;1," ",IF(U13&lt;1," ",(U13)/$AE13))</f>
        <v>8.3333333333333343E-2</v>
      </c>
      <c r="W13" s="392">
        <f t="shared" si="0"/>
        <v>11023.65</v>
      </c>
      <c r="X13" s="341">
        <f>IF($AE13&lt;1," ",IF(W13&lt;1," ",(W13)/$AE13))</f>
        <v>8.3333333333333343E-2</v>
      </c>
      <c r="Y13" s="392">
        <f t="shared" si="0"/>
        <v>11023.65</v>
      </c>
      <c r="Z13" s="341">
        <f>IF($AE13&lt;1," ",IF(Y13&lt;1," ",(Y13)/$AE13))</f>
        <v>8.3333333333333343E-2</v>
      </c>
      <c r="AA13" s="392">
        <f t="shared" si="0"/>
        <v>11023.65</v>
      </c>
      <c r="AB13" s="341">
        <f>IF($AE13&lt;1," ",IF(AA13&lt;1," ",(AA13)/$AE13))</f>
        <v>8.3333333333333343E-2</v>
      </c>
      <c r="AC13" s="1562">
        <f t="shared" si="1"/>
        <v>0</v>
      </c>
      <c r="AD13" s="381">
        <f>+E13+G13+I13+K13+M13+O13+Q13+S13+U13+W13+Y13+AA13+AC13</f>
        <v>132283.79999999996</v>
      </c>
      <c r="AE13" s="381">
        <f>'1st Interim-Summary MYP'!G16</f>
        <v>132283.79999999999</v>
      </c>
      <c r="AF13" s="381">
        <f>+AE13-AD13</f>
        <v>0</v>
      </c>
      <c r="AG13" s="1203"/>
    </row>
    <row r="14" spans="1:33" ht="15.75">
      <c r="A14" s="407" t="s">
        <v>307</v>
      </c>
      <c r="B14" s="147"/>
      <c r="C14" s="279" t="s">
        <v>99</v>
      </c>
      <c r="D14" s="1068"/>
      <c r="E14" s="380">
        <f>+'1st Interim-Summary MYP'!G17/12</f>
        <v>44572.916666666664</v>
      </c>
      <c r="F14" s="534">
        <f>IF($AE14&lt;1," ",IF(E14&lt;1," ",(E14)/$AE14))</f>
        <v>8.3333333333333329E-2</v>
      </c>
      <c r="G14" s="392">
        <f t="shared" si="0"/>
        <v>44572.916666666664</v>
      </c>
      <c r="H14" s="534">
        <f>IF($AE14&lt;1," ",IF(G14&lt;1," ",(G14)/$AE14))</f>
        <v>8.3333333333333329E-2</v>
      </c>
      <c r="I14" s="392">
        <f t="shared" si="0"/>
        <v>44572.916666666664</v>
      </c>
      <c r="J14" s="534">
        <f>IF($AE14&lt;1," ",IF(I14&lt;1," ",(I14)/$AE14))</f>
        <v>8.3333333333333329E-2</v>
      </c>
      <c r="K14" s="392">
        <f t="shared" si="0"/>
        <v>44572.916666666664</v>
      </c>
      <c r="L14" s="342">
        <f>IF($AE14&lt;1," ",IF(K14&lt;1," ",(K14)/$AE14))</f>
        <v>8.3333333333333329E-2</v>
      </c>
      <c r="M14" s="380">
        <f t="shared" si="0"/>
        <v>44572.916666666664</v>
      </c>
      <c r="N14" s="341">
        <f>IF($AE14&lt;1," ",IF(M14&lt;1," ",(M14)/$AE14))</f>
        <v>8.3333333333333329E-2</v>
      </c>
      <c r="O14" s="392">
        <f t="shared" si="0"/>
        <v>44572.916666666664</v>
      </c>
      <c r="P14" s="341">
        <f>IF($AE14&lt;1," ",IF(O14&lt;1," ",(O14)/$AE14))</f>
        <v>8.3333333333333329E-2</v>
      </c>
      <c r="Q14" s="392">
        <f t="shared" si="0"/>
        <v>44572.916666666664</v>
      </c>
      <c r="R14" s="534">
        <f>IF($AE14&lt;1," ",IF(Q14&lt;1," ",(Q14)/$AE14))</f>
        <v>8.3333333333333329E-2</v>
      </c>
      <c r="S14" s="392">
        <f t="shared" si="0"/>
        <v>44572.916666666664</v>
      </c>
      <c r="T14" s="341">
        <f>IF($AE14&lt;1," ",IF(S14&lt;1," ",(S14)/$AE14))</f>
        <v>8.3333333333333329E-2</v>
      </c>
      <c r="U14" s="392">
        <f t="shared" si="0"/>
        <v>44572.916666666664</v>
      </c>
      <c r="V14" s="341">
        <f>IF($AE14&lt;1," ",IF(U14&lt;1," ",(U14)/$AE14))</f>
        <v>8.3333333333333329E-2</v>
      </c>
      <c r="W14" s="392">
        <f t="shared" si="0"/>
        <v>44572.916666666664</v>
      </c>
      <c r="X14" s="341">
        <f>IF($AE14&lt;1," ",IF(W14&lt;1," ",(W14)/$AE14))</f>
        <v>8.3333333333333329E-2</v>
      </c>
      <c r="Y14" s="392">
        <f t="shared" si="0"/>
        <v>44572.916666666664</v>
      </c>
      <c r="Z14" s="341">
        <f>IF($AE14&lt;1," ",IF(Y14&lt;1," ",(Y14)/$AE14))</f>
        <v>8.3333333333333329E-2</v>
      </c>
      <c r="AA14" s="392">
        <f t="shared" si="0"/>
        <v>44572.916666666664</v>
      </c>
      <c r="AB14" s="341">
        <f>IF($AE14&lt;1," ",IF(AA14&lt;1," ",(AA14)/$AE14))</f>
        <v>8.3333333333333329E-2</v>
      </c>
      <c r="AC14" s="1562">
        <f t="shared" si="1"/>
        <v>0</v>
      </c>
      <c r="AD14" s="381">
        <f>+E14+G14+I14+K14+M14+O14+Q14+S14+U14+W14+Y14+AA14+AC14</f>
        <v>534875.00000000012</v>
      </c>
      <c r="AE14" s="381">
        <f>'1st Interim-Summary MYP'!G17</f>
        <v>534875</v>
      </c>
      <c r="AF14" s="381">
        <f t="shared" ref="AF14:AF22" si="2">+AE14-AD14</f>
        <v>0</v>
      </c>
      <c r="AG14" s="1203"/>
    </row>
    <row r="15" spans="1:33" ht="15.75">
      <c r="A15" s="408" t="s">
        <v>308</v>
      </c>
      <c r="B15" s="141"/>
      <c r="C15" s="141"/>
      <c r="D15" s="1068"/>
      <c r="E15" s="513"/>
      <c r="F15" s="534"/>
      <c r="G15" s="393"/>
      <c r="H15" s="534"/>
      <c r="I15" s="393"/>
      <c r="J15" s="534"/>
      <c r="K15" s="393"/>
      <c r="L15" s="342"/>
      <c r="M15" s="513"/>
      <c r="N15" s="341"/>
      <c r="O15" s="393"/>
      <c r="P15" s="341"/>
      <c r="Q15" s="393"/>
      <c r="R15" s="534"/>
      <c r="S15" s="393"/>
      <c r="T15" s="341"/>
      <c r="U15" s="393"/>
      <c r="V15" s="341"/>
      <c r="W15" s="393"/>
      <c r="X15" s="341"/>
      <c r="Y15" s="393"/>
      <c r="Z15" s="341"/>
      <c r="AA15" s="393"/>
      <c r="AB15" s="341"/>
      <c r="AC15" s="1563"/>
      <c r="AD15" s="381"/>
      <c r="AE15" s="381"/>
      <c r="AF15" s="381"/>
      <c r="AG15" s="1203"/>
    </row>
    <row r="16" spans="1:33" ht="15.75">
      <c r="A16" s="408"/>
      <c r="B16" s="141" t="s">
        <v>309</v>
      </c>
      <c r="C16" s="279">
        <v>8560</v>
      </c>
      <c r="D16" s="1068"/>
      <c r="E16" s="380">
        <f>+'1st Interim-Summary MYP'!G19/12</f>
        <v>7235.496650000001</v>
      </c>
      <c r="F16" s="534">
        <f>IF($AE16&lt;1," ",IF(E16&lt;1," ",(E16)/$AE16))</f>
        <v>8.3333333333333329E-2</v>
      </c>
      <c r="G16" s="392">
        <f t="shared" si="0"/>
        <v>7235.496650000001</v>
      </c>
      <c r="H16" s="534">
        <f>IF($AE16&lt;1," ",IF(G16&lt;1," ",(G16)/$AE16))</f>
        <v>8.3333333333333329E-2</v>
      </c>
      <c r="I16" s="392">
        <f t="shared" si="0"/>
        <v>7235.496650000001</v>
      </c>
      <c r="J16" s="534">
        <f>IF($AE16&lt;1," ",IF(I16&lt;1," ",(I16)/$AE16))</f>
        <v>8.3333333333333329E-2</v>
      </c>
      <c r="K16" s="392">
        <f t="shared" si="0"/>
        <v>7235.496650000001</v>
      </c>
      <c r="L16" s="342">
        <f>IF($AE16&lt;1," ",IF(K16&lt;1," ",(K16)/$AE16))</f>
        <v>8.3333333333333329E-2</v>
      </c>
      <c r="M16" s="380">
        <f t="shared" si="0"/>
        <v>7235.496650000001</v>
      </c>
      <c r="N16" s="341">
        <f>IF($AE16&lt;1," ",IF(M16&lt;1," ",(M16)/$AE16))</f>
        <v>8.3333333333333329E-2</v>
      </c>
      <c r="O16" s="392">
        <f t="shared" si="0"/>
        <v>7235.496650000001</v>
      </c>
      <c r="P16" s="341">
        <f>IF($AE16&lt;1," ",IF(O16&lt;1," ",(O16)/$AE16))</f>
        <v>8.3333333333333329E-2</v>
      </c>
      <c r="Q16" s="392">
        <f t="shared" si="0"/>
        <v>7235.496650000001</v>
      </c>
      <c r="R16" s="534">
        <f>IF($AE16&lt;1," ",IF(Q16&lt;1," ",(Q16)/$AE16))</f>
        <v>8.3333333333333329E-2</v>
      </c>
      <c r="S16" s="392">
        <f t="shared" si="0"/>
        <v>7235.496650000001</v>
      </c>
      <c r="T16" s="341">
        <f>IF($AE16&lt;1," ",IF(S16&lt;1," ",(S16)/$AE16))</f>
        <v>8.3333333333333329E-2</v>
      </c>
      <c r="U16" s="392">
        <f t="shared" si="0"/>
        <v>7235.496650000001</v>
      </c>
      <c r="V16" s="341">
        <f>IF($AE16&lt;1," ",IF(U16&lt;1," ",(U16)/$AE16))</f>
        <v>8.3333333333333329E-2</v>
      </c>
      <c r="W16" s="392">
        <f t="shared" si="0"/>
        <v>7235.496650000001</v>
      </c>
      <c r="X16" s="341">
        <f>IF($AE16&lt;1," ",IF(W16&lt;1," ",(W16)/$AE16))</f>
        <v>8.3333333333333329E-2</v>
      </c>
      <c r="Y16" s="392">
        <f t="shared" si="0"/>
        <v>7235.496650000001</v>
      </c>
      <c r="Z16" s="341">
        <f>IF($AE16&lt;1," ",IF(Y16&lt;1," ",(Y16)/$AE16))</f>
        <v>8.3333333333333329E-2</v>
      </c>
      <c r="AA16" s="392">
        <f t="shared" si="0"/>
        <v>7235.496650000001</v>
      </c>
      <c r="AB16" s="341">
        <f>IF($AE16&lt;1," ",IF(AA16&lt;1," ",(AA16)/$AE16))</f>
        <v>8.3333333333333329E-2</v>
      </c>
      <c r="AC16" s="1562">
        <f t="shared" si="1"/>
        <v>0</v>
      </c>
      <c r="AD16" s="381">
        <f>+E16+G16+I16+K16+M16+O16+Q16+S16+U16+W16+Y16+AA16+AC16</f>
        <v>86825.959800000011</v>
      </c>
      <c r="AE16" s="381">
        <f>'1st Interim-Summary MYP'!G19</f>
        <v>86825.959800000011</v>
      </c>
      <c r="AF16" s="381">
        <f t="shared" si="2"/>
        <v>0</v>
      </c>
      <c r="AG16" s="1203"/>
    </row>
    <row r="17" spans="1:33" ht="15.75">
      <c r="A17" s="408"/>
      <c r="B17" s="141" t="s">
        <v>310</v>
      </c>
      <c r="C17" s="279">
        <v>8560</v>
      </c>
      <c r="D17" s="1068"/>
      <c r="E17" s="380">
        <f>+'1st Interim-Summary MYP'!G20/12</f>
        <v>0</v>
      </c>
      <c r="F17" s="534" t="str">
        <f>IF($AE17&lt;1," ",IF(E17&lt;1," ",(E17)/$AE17))</f>
        <v xml:space="preserve"> </v>
      </c>
      <c r="G17" s="392">
        <f t="shared" si="0"/>
        <v>0</v>
      </c>
      <c r="H17" s="534" t="str">
        <f>IF($AE17&lt;1," ",IF(G17&lt;1," ",(G17)/$AE17))</f>
        <v xml:space="preserve"> </v>
      </c>
      <c r="I17" s="392">
        <f t="shared" si="0"/>
        <v>0</v>
      </c>
      <c r="J17" s="534" t="str">
        <f>IF($AE17&lt;1," ",IF(I17&lt;1," ",(I17)/$AE17))</f>
        <v xml:space="preserve"> </v>
      </c>
      <c r="K17" s="392">
        <f t="shared" si="0"/>
        <v>0</v>
      </c>
      <c r="L17" s="342" t="str">
        <f>IF($AE17&lt;1," ",IF(K17&lt;1," ",(K17)/$AE17))</f>
        <v xml:space="preserve"> </v>
      </c>
      <c r="M17" s="380">
        <f t="shared" si="0"/>
        <v>0</v>
      </c>
      <c r="N17" s="341" t="str">
        <f>IF($AE17&lt;1," ",IF(M17&lt;1," ",(M17)/$AE17))</f>
        <v xml:space="preserve"> </v>
      </c>
      <c r="O17" s="392">
        <f t="shared" si="0"/>
        <v>0</v>
      </c>
      <c r="P17" s="341" t="str">
        <f>IF($AE17&lt;1," ",IF(O17&lt;1," ",(O17)/$AE17))</f>
        <v xml:space="preserve"> </v>
      </c>
      <c r="Q17" s="392">
        <f t="shared" si="0"/>
        <v>0</v>
      </c>
      <c r="R17" s="534" t="str">
        <f>IF($AE17&lt;1," ",IF(Q17&lt;1," ",(Q17)/$AE17))</f>
        <v xml:space="preserve"> </v>
      </c>
      <c r="S17" s="392">
        <f t="shared" si="0"/>
        <v>0</v>
      </c>
      <c r="T17" s="341" t="str">
        <f>IF($AE17&lt;1," ",IF(S17&lt;1," ",(S17)/$AE17))</f>
        <v xml:space="preserve"> </v>
      </c>
      <c r="U17" s="392">
        <f t="shared" si="0"/>
        <v>0</v>
      </c>
      <c r="V17" s="341" t="str">
        <f>IF($AE17&lt;1," ",IF(U17&lt;1," ",(U17)/$AE17))</f>
        <v xml:space="preserve"> </v>
      </c>
      <c r="W17" s="392">
        <f t="shared" si="0"/>
        <v>0</v>
      </c>
      <c r="X17" s="341" t="str">
        <f>IF($AE17&lt;1," ",IF(W17&lt;1," ",(W17)/$AE17))</f>
        <v xml:space="preserve"> </v>
      </c>
      <c r="Y17" s="392">
        <f t="shared" si="0"/>
        <v>0</v>
      </c>
      <c r="Z17" s="341" t="str">
        <f>IF($AE17&lt;1," ",IF(Y17&lt;1," ",(Y17)/$AE17))</f>
        <v xml:space="preserve"> </v>
      </c>
      <c r="AA17" s="392">
        <f t="shared" si="0"/>
        <v>0</v>
      </c>
      <c r="AB17" s="341" t="str">
        <f>IF($AE17&lt;1," ",IF(AA17&lt;1," ",(AA17)/$AE17))</f>
        <v xml:space="preserve"> </v>
      </c>
      <c r="AC17" s="1562">
        <f t="shared" si="1"/>
        <v>0</v>
      </c>
      <c r="AD17" s="381">
        <f>+E17+G17+I17+K17+M17+O17+Q17+S17+U17+W17+Y17+AA17+AC17</f>
        <v>0</v>
      </c>
      <c r="AE17" s="381">
        <f>'1st Interim-Summary MYP'!G20</f>
        <v>0</v>
      </c>
      <c r="AF17" s="381">
        <f>+AE17-AD17</f>
        <v>0</v>
      </c>
      <c r="AG17" s="1203"/>
    </row>
    <row r="18" spans="1:33" ht="15.75">
      <c r="A18" s="408"/>
      <c r="B18" s="141" t="s">
        <v>311</v>
      </c>
      <c r="C18" s="279" t="s">
        <v>100</v>
      </c>
      <c r="D18" s="1068"/>
      <c r="E18" s="380">
        <f>+'1st Interim-Summary MYP'!G21/12</f>
        <v>0</v>
      </c>
      <c r="F18" s="534" t="str">
        <f>IF($AE18&lt;1," ",IF(E18&lt;1," ",(E18)/$AE18))</f>
        <v xml:space="preserve"> </v>
      </c>
      <c r="G18" s="392">
        <f t="shared" si="0"/>
        <v>0</v>
      </c>
      <c r="H18" s="534" t="str">
        <f>IF($AE18&lt;1," ",IF(G18&lt;1," ",(G18)/$AE18))</f>
        <v xml:space="preserve"> </v>
      </c>
      <c r="I18" s="392">
        <f t="shared" si="0"/>
        <v>0</v>
      </c>
      <c r="J18" s="534" t="str">
        <f>IF($AE18&lt;1," ",IF(I18&lt;1," ",(I18)/$AE18))</f>
        <v xml:space="preserve"> </v>
      </c>
      <c r="K18" s="392">
        <f t="shared" si="0"/>
        <v>0</v>
      </c>
      <c r="L18" s="342" t="str">
        <f>IF($AE18&lt;1," ",IF(K18&lt;1," ",(K18)/$AE18))</f>
        <v xml:space="preserve"> </v>
      </c>
      <c r="M18" s="380">
        <f t="shared" si="0"/>
        <v>0</v>
      </c>
      <c r="N18" s="341" t="str">
        <f>IF($AE18&lt;1," ",IF(M18&lt;1," ",(M18)/$AE18))</f>
        <v xml:space="preserve"> </v>
      </c>
      <c r="O18" s="392">
        <f t="shared" si="0"/>
        <v>0</v>
      </c>
      <c r="P18" s="341" t="str">
        <f>IF($AE18&lt;1," ",IF(O18&lt;1," ",(O18)/$AE18))</f>
        <v xml:space="preserve"> </v>
      </c>
      <c r="Q18" s="392">
        <f t="shared" si="0"/>
        <v>0</v>
      </c>
      <c r="R18" s="534" t="str">
        <f>IF($AE18&lt;1," ",IF(Q18&lt;1," ",(Q18)/$AE18))</f>
        <v xml:space="preserve"> </v>
      </c>
      <c r="S18" s="392">
        <f t="shared" si="0"/>
        <v>0</v>
      </c>
      <c r="T18" s="341" t="str">
        <f>IF($AE18&lt;1," ",IF(S18&lt;1," ",(S18)/$AE18))</f>
        <v xml:space="preserve"> </v>
      </c>
      <c r="U18" s="392">
        <f t="shared" si="0"/>
        <v>0</v>
      </c>
      <c r="V18" s="341" t="str">
        <f>IF($AE18&lt;1," ",IF(U18&lt;1," ",(U18)/$AE18))</f>
        <v xml:space="preserve"> </v>
      </c>
      <c r="W18" s="392">
        <f t="shared" si="0"/>
        <v>0</v>
      </c>
      <c r="X18" s="341" t="str">
        <f>IF($AE18&lt;1," ",IF(W18&lt;1," ",(W18)/$AE18))</f>
        <v xml:space="preserve"> </v>
      </c>
      <c r="Y18" s="392">
        <f t="shared" si="0"/>
        <v>0</v>
      </c>
      <c r="Z18" s="341" t="str">
        <f>IF($AE18&lt;1," ",IF(Y18&lt;1," ",(Y18)/$AE18))</f>
        <v xml:space="preserve"> </v>
      </c>
      <c r="AA18" s="392">
        <f t="shared" si="0"/>
        <v>0</v>
      </c>
      <c r="AB18" s="341" t="str">
        <f>IF($AE18&lt;1," ",IF(AA18&lt;1," ",(AA18)/$AE18))</f>
        <v xml:space="preserve"> </v>
      </c>
      <c r="AC18" s="1562">
        <f t="shared" si="1"/>
        <v>0</v>
      </c>
      <c r="AD18" s="381">
        <f>+E18+G18+I18+K18+M18+O18+Q18+S18+U18+W18+Y18+AA18+AC18</f>
        <v>0</v>
      </c>
      <c r="AE18" s="381">
        <f>'1st Interim-Summary MYP'!G21</f>
        <v>0</v>
      </c>
      <c r="AF18" s="381">
        <f t="shared" si="2"/>
        <v>0</v>
      </c>
      <c r="AG18" s="1203"/>
    </row>
    <row r="19" spans="1:33" ht="15.75">
      <c r="A19" s="408" t="s">
        <v>312</v>
      </c>
      <c r="B19" s="141"/>
      <c r="C19" s="141"/>
      <c r="D19" s="1068"/>
      <c r="E19" s="513"/>
      <c r="F19" s="534"/>
      <c r="G19" s="393"/>
      <c r="H19" s="534"/>
      <c r="I19" s="393"/>
      <c r="J19" s="534"/>
      <c r="K19" s="393"/>
      <c r="L19" s="342"/>
      <c r="M19" s="513"/>
      <c r="N19" s="341"/>
      <c r="O19" s="393"/>
      <c r="P19" s="341"/>
      <c r="Q19" s="393"/>
      <c r="R19" s="534"/>
      <c r="S19" s="393"/>
      <c r="T19" s="341"/>
      <c r="U19" s="393"/>
      <c r="V19" s="341"/>
      <c r="W19" s="393"/>
      <c r="X19" s="341"/>
      <c r="Y19" s="393"/>
      <c r="Z19" s="341"/>
      <c r="AA19" s="393"/>
      <c r="AB19" s="341"/>
      <c r="AC19" s="1563"/>
      <c r="AD19" s="381"/>
      <c r="AE19" s="381"/>
      <c r="AF19" s="381"/>
      <c r="AG19" s="1203"/>
    </row>
    <row r="20" spans="1:33" ht="15.75">
      <c r="A20" s="408"/>
      <c r="B20" s="141" t="s">
        <v>239</v>
      </c>
      <c r="C20" s="279">
        <v>8660</v>
      </c>
      <c r="D20" s="1068"/>
      <c r="E20" s="380">
        <f>+'1st Interim-Summary MYP'!G23/12</f>
        <v>0</v>
      </c>
      <c r="F20" s="534" t="str">
        <f>IF($AE20&lt;1," ",IF(E20&lt;1," ",(E20)/$AE20))</f>
        <v xml:space="preserve"> </v>
      </c>
      <c r="G20" s="392">
        <f t="shared" si="0"/>
        <v>0</v>
      </c>
      <c r="H20" s="534" t="str">
        <f>IF($AE20&lt;1," ",IF(G20&lt;1," ",(G20)/$AE20))</f>
        <v xml:space="preserve"> </v>
      </c>
      <c r="I20" s="392">
        <f t="shared" si="0"/>
        <v>0</v>
      </c>
      <c r="J20" s="534" t="str">
        <f>IF($AE20&lt;1," ",IF(I20&lt;1," ",(I20)/$AE20))</f>
        <v xml:space="preserve"> </v>
      </c>
      <c r="K20" s="392">
        <f t="shared" si="0"/>
        <v>0</v>
      </c>
      <c r="L20" s="342" t="str">
        <f>IF($AE20&lt;1," ",IF(K20&lt;1," ",(K20)/$AE20))</f>
        <v xml:space="preserve"> </v>
      </c>
      <c r="M20" s="380">
        <f t="shared" si="0"/>
        <v>0</v>
      </c>
      <c r="N20" s="341" t="str">
        <f>IF($AE20&lt;1," ",IF(M20&lt;1," ",(M20)/$AE20))</f>
        <v xml:space="preserve"> </v>
      </c>
      <c r="O20" s="392">
        <f t="shared" si="0"/>
        <v>0</v>
      </c>
      <c r="P20" s="341" t="str">
        <f>IF($AE20&lt;1," ",IF(O20&lt;1," ",(O20)/$AE20))</f>
        <v xml:space="preserve"> </v>
      </c>
      <c r="Q20" s="392">
        <f t="shared" si="0"/>
        <v>0</v>
      </c>
      <c r="R20" s="534" t="str">
        <f>IF($AE20&lt;1," ",IF(Q20&lt;1," ",(Q20)/$AE20))</f>
        <v xml:space="preserve"> </v>
      </c>
      <c r="S20" s="392">
        <f t="shared" si="0"/>
        <v>0</v>
      </c>
      <c r="T20" s="341" t="str">
        <f>IF($AE20&lt;1," ",IF(S20&lt;1," ",(S20)/$AE20))</f>
        <v xml:space="preserve"> </v>
      </c>
      <c r="U20" s="392">
        <f t="shared" si="0"/>
        <v>0</v>
      </c>
      <c r="V20" s="341" t="str">
        <f>IF($AE20&lt;1," ",IF(U20&lt;1," ",(U20)/$AE20))</f>
        <v xml:space="preserve"> </v>
      </c>
      <c r="W20" s="392">
        <f t="shared" si="0"/>
        <v>0</v>
      </c>
      <c r="X20" s="341" t="str">
        <f>IF($AE20&lt;1," ",IF(W20&lt;1," ",(W20)/$AE20))</f>
        <v xml:space="preserve"> </v>
      </c>
      <c r="Y20" s="392">
        <f t="shared" si="0"/>
        <v>0</v>
      </c>
      <c r="Z20" s="341" t="str">
        <f>IF($AE20&lt;1," ",IF(Y20&lt;1," ",(Y20)/$AE20))</f>
        <v xml:space="preserve"> </v>
      </c>
      <c r="AA20" s="392">
        <f t="shared" si="0"/>
        <v>0</v>
      </c>
      <c r="AB20" s="341" t="str">
        <f>IF($AE20&lt;1," ",IF(AA20&lt;1," ",(AA20)/$AE20))</f>
        <v xml:space="preserve"> </v>
      </c>
      <c r="AC20" s="1562">
        <f t="shared" si="1"/>
        <v>0</v>
      </c>
      <c r="AD20" s="381">
        <f>+E20+G20+I20+K20+M20+O20+Q20+S20+U20+W20+Y20+AA20+AC20</f>
        <v>0</v>
      </c>
      <c r="AE20" s="381">
        <f>'1st Interim-Summary MYP'!G23</f>
        <v>0</v>
      </c>
      <c r="AF20" s="381">
        <f t="shared" si="2"/>
        <v>0</v>
      </c>
      <c r="AG20" s="1203"/>
    </row>
    <row r="21" spans="1:33" ht="15.75">
      <c r="A21" s="408"/>
      <c r="B21" s="141" t="s">
        <v>313</v>
      </c>
      <c r="C21" s="279">
        <v>8792</v>
      </c>
      <c r="D21" s="1068"/>
      <c r="E21" s="380">
        <f>+'1st Interim-Summary MYP'!G24/12</f>
        <v>34850.000000000007</v>
      </c>
      <c r="F21" s="534">
        <f>IF($AE21&lt;1," ",IF(E21&lt;1," ",(E21)/$AE21))</f>
        <v>8.3333333333333343E-2</v>
      </c>
      <c r="G21" s="392">
        <f t="shared" si="0"/>
        <v>34850.000000000007</v>
      </c>
      <c r="H21" s="534">
        <f>IF($AE21&lt;1," ",IF(G21&lt;1," ",(G21)/$AE21))</f>
        <v>8.3333333333333343E-2</v>
      </c>
      <c r="I21" s="392">
        <f t="shared" si="0"/>
        <v>34850.000000000007</v>
      </c>
      <c r="J21" s="534">
        <f>IF($AE21&lt;1," ",IF(I21&lt;1," ",(I21)/$AE21))</f>
        <v>8.3333333333333343E-2</v>
      </c>
      <c r="K21" s="392">
        <f t="shared" si="0"/>
        <v>34850.000000000007</v>
      </c>
      <c r="L21" s="342">
        <f>IF($AE21&lt;1," ",IF(K21&lt;1," ",(K21)/$AE21))</f>
        <v>8.3333333333333343E-2</v>
      </c>
      <c r="M21" s="380">
        <f t="shared" si="0"/>
        <v>34850.000000000007</v>
      </c>
      <c r="N21" s="341">
        <f>IF($AE21&lt;1," ",IF(M21&lt;1," ",(M21)/$AE21))</f>
        <v>8.3333333333333343E-2</v>
      </c>
      <c r="O21" s="392">
        <f t="shared" si="0"/>
        <v>34850.000000000007</v>
      </c>
      <c r="P21" s="341">
        <f>IF($AE21&lt;1," ",IF(O21&lt;1," ",(O21)/$AE21))</f>
        <v>8.3333333333333343E-2</v>
      </c>
      <c r="Q21" s="392">
        <f t="shared" si="0"/>
        <v>34850.000000000007</v>
      </c>
      <c r="R21" s="534">
        <f>IF($AE21&lt;1," ",IF(Q21&lt;1," ",(Q21)/$AE21))</f>
        <v>8.3333333333333343E-2</v>
      </c>
      <c r="S21" s="392">
        <f t="shared" si="0"/>
        <v>34850.000000000007</v>
      </c>
      <c r="T21" s="341">
        <f>IF($AE21&lt;1," ",IF(S21&lt;1," ",(S21)/$AE21))</f>
        <v>8.3333333333333343E-2</v>
      </c>
      <c r="U21" s="392">
        <f t="shared" si="0"/>
        <v>34850.000000000007</v>
      </c>
      <c r="V21" s="341">
        <f>IF($AE21&lt;1," ",IF(U21&lt;1," ",(U21)/$AE21))</f>
        <v>8.3333333333333343E-2</v>
      </c>
      <c r="W21" s="392">
        <f t="shared" si="0"/>
        <v>34850.000000000007</v>
      </c>
      <c r="X21" s="341">
        <f>IF($AE21&lt;1," ",IF(W21&lt;1," ",(W21)/$AE21))</f>
        <v>8.3333333333333343E-2</v>
      </c>
      <c r="Y21" s="392">
        <f t="shared" si="0"/>
        <v>34850.000000000007</v>
      </c>
      <c r="Z21" s="341">
        <f>IF($AE21&lt;1," ",IF(Y21&lt;1," ",(Y21)/$AE21))</f>
        <v>8.3333333333333343E-2</v>
      </c>
      <c r="AA21" s="392">
        <f t="shared" si="0"/>
        <v>34850.000000000007</v>
      </c>
      <c r="AB21" s="341">
        <f>IF($AE21&lt;1," ",IF(AA21&lt;1," ",(AA21)/$AE21))</f>
        <v>8.3333333333333343E-2</v>
      </c>
      <c r="AC21" s="1562">
        <f t="shared" si="1"/>
        <v>0</v>
      </c>
      <c r="AD21" s="381">
        <f>+E21+G21+I21+K21+M21+O21+Q21+S21+U21+W21+Y21+AA21+AC21</f>
        <v>418200.00000000006</v>
      </c>
      <c r="AE21" s="381">
        <f>'1st Interim-Summary MYP'!G24</f>
        <v>418200.00000000006</v>
      </c>
      <c r="AF21" s="381">
        <f t="shared" si="2"/>
        <v>0</v>
      </c>
      <c r="AG21" s="1203"/>
    </row>
    <row r="22" spans="1:33" ht="15.75">
      <c r="A22" s="408"/>
      <c r="B22" s="141" t="s">
        <v>314</v>
      </c>
      <c r="C22" s="279" t="s">
        <v>101</v>
      </c>
      <c r="D22" s="1068"/>
      <c r="E22" s="380">
        <f>+'1st Interim-Summary MYP'!G25/12</f>
        <v>0</v>
      </c>
      <c r="F22" s="534" t="str">
        <f>IF($AE22&lt;1," ",IF(E22&lt;1," ",(E22)/$AE22))</f>
        <v xml:space="preserve"> </v>
      </c>
      <c r="G22" s="392">
        <f t="shared" si="0"/>
        <v>0</v>
      </c>
      <c r="H22" s="534" t="str">
        <f>IF($AE22&lt;1," ",IF(G22&lt;1," ",(G22)/$AE22))</f>
        <v xml:space="preserve"> </v>
      </c>
      <c r="I22" s="392">
        <f t="shared" si="0"/>
        <v>0</v>
      </c>
      <c r="J22" s="534" t="str">
        <f>IF($AE22&lt;1," ",IF(I22&lt;1," ",(I22)/$AE22))</f>
        <v xml:space="preserve"> </v>
      </c>
      <c r="K22" s="392">
        <f t="shared" si="0"/>
        <v>0</v>
      </c>
      <c r="L22" s="342" t="str">
        <f>IF($AE22&lt;1," ",IF(K22&lt;1," ",(K22)/$AE22))</f>
        <v xml:space="preserve"> </v>
      </c>
      <c r="M22" s="380">
        <f t="shared" si="0"/>
        <v>0</v>
      </c>
      <c r="N22" s="341" t="str">
        <f>IF($AE22&lt;1," ",IF(M22&lt;1," ",(M22)/$AE22))</f>
        <v xml:space="preserve"> </v>
      </c>
      <c r="O22" s="392">
        <f t="shared" si="0"/>
        <v>0</v>
      </c>
      <c r="P22" s="341" t="str">
        <f>IF($AE22&lt;1," ",IF(O22&lt;1," ",(O22)/$AE22))</f>
        <v xml:space="preserve"> </v>
      </c>
      <c r="Q22" s="392">
        <f t="shared" si="0"/>
        <v>0</v>
      </c>
      <c r="R22" s="534" t="str">
        <f>IF($AE22&lt;1," ",IF(Q22&lt;1," ",(Q22)/$AE22))</f>
        <v xml:space="preserve"> </v>
      </c>
      <c r="S22" s="392">
        <f t="shared" si="0"/>
        <v>0</v>
      </c>
      <c r="T22" s="341" t="str">
        <f>IF($AE22&lt;1," ",IF(S22&lt;1," ",(S22)/$AE22))</f>
        <v xml:space="preserve"> </v>
      </c>
      <c r="U22" s="392">
        <f t="shared" si="0"/>
        <v>0</v>
      </c>
      <c r="V22" s="341" t="str">
        <f>IF($AE22&lt;1," ",IF(U22&lt;1," ",(U22)/$AE22))</f>
        <v xml:space="preserve"> </v>
      </c>
      <c r="W22" s="392">
        <f t="shared" si="0"/>
        <v>0</v>
      </c>
      <c r="X22" s="341" t="str">
        <f>IF($AE22&lt;1," ",IF(W22&lt;1," ",(W22)/$AE22))</f>
        <v xml:space="preserve"> </v>
      </c>
      <c r="Y22" s="392">
        <f t="shared" si="0"/>
        <v>0</v>
      </c>
      <c r="Z22" s="341" t="str">
        <f>IF($AE22&lt;1," ",IF(Y22&lt;1," ",(Y22)/$AE22))</f>
        <v xml:space="preserve"> </v>
      </c>
      <c r="AA22" s="392">
        <f t="shared" si="0"/>
        <v>0</v>
      </c>
      <c r="AB22" s="341" t="str">
        <f>IF($AE22&lt;1," ",IF(AA22&lt;1," ",(AA22)/$AE22))</f>
        <v xml:space="preserve"> </v>
      </c>
      <c r="AC22" s="1562">
        <f t="shared" si="1"/>
        <v>0</v>
      </c>
      <c r="AD22" s="381">
        <f>+E22+G22+I22+K22+M22+O22+Q22+S22+U22+W22+Y22+AA22+AC22</f>
        <v>0</v>
      </c>
      <c r="AE22" s="381">
        <f>'1st Interim-Summary MYP'!G25</f>
        <v>0</v>
      </c>
      <c r="AF22" s="381">
        <f t="shared" si="2"/>
        <v>0</v>
      </c>
      <c r="AG22" s="1203"/>
    </row>
    <row r="23" spans="1:33" ht="16.5" thickBot="1">
      <c r="A23" s="407" t="s">
        <v>315</v>
      </c>
      <c r="B23" s="384"/>
      <c r="C23" s="385"/>
      <c r="D23" s="1073"/>
      <c r="E23" s="775">
        <f>SUM(E10:E22)</f>
        <v>536751.64665000001</v>
      </c>
      <c r="F23" s="536">
        <f>IF($AE23&lt;1," ",IF(E23&lt;1," ",(E23)/$AE23))</f>
        <v>8.3333333333333329E-2</v>
      </c>
      <c r="G23" s="774">
        <f>SUM(G10:G22)</f>
        <v>536751.64665000001</v>
      </c>
      <c r="H23" s="536">
        <f>IF($AE23&lt;1," ",IF(G23&lt;1," ",(G23)/$AE23))</f>
        <v>8.3333333333333329E-2</v>
      </c>
      <c r="I23" s="774">
        <f>SUM(I10:I22)</f>
        <v>536751.64665000001</v>
      </c>
      <c r="J23" s="536">
        <f>IF($AE23&lt;1," ",IF(I23&lt;1," ",(I23)/$AE23))</f>
        <v>8.3333333333333329E-2</v>
      </c>
      <c r="K23" s="774">
        <f>SUM(K10:K22)</f>
        <v>536751.64665000001</v>
      </c>
      <c r="L23" s="518">
        <f>IF($AE23&lt;1," ",IF(K23&lt;1," ",(K23)/$AE23))</f>
        <v>8.3333333333333329E-2</v>
      </c>
      <c r="M23" s="775">
        <f>SUM(M10:M22)</f>
        <v>536751.64665000001</v>
      </c>
      <c r="N23" s="386">
        <f>IF($AE23&lt;1," ",IF(M23&lt;1," ",(M23)/$AE23))</f>
        <v>8.3333333333333329E-2</v>
      </c>
      <c r="O23" s="774">
        <f>SUM(O10:O22)</f>
        <v>536751.64665000001</v>
      </c>
      <c r="P23" s="386">
        <f>IF($AE23&lt;1," ",IF(O23&lt;1," ",(O23)/$AE23))</f>
        <v>8.3333333333333329E-2</v>
      </c>
      <c r="Q23" s="774">
        <f>SUM(Q10:Q22)</f>
        <v>536751.64665000001</v>
      </c>
      <c r="R23" s="536">
        <f>IF($AE23&lt;1," ",IF(Q23&lt;1," ",(Q23)/$AE23))</f>
        <v>8.3333333333333329E-2</v>
      </c>
      <c r="S23" s="774">
        <f>SUM(S10:S22)</f>
        <v>536751.64665000001</v>
      </c>
      <c r="T23" s="386">
        <f>IF($AE23&lt;1," ",IF(S23&lt;1," ",(S23)/$AE23))</f>
        <v>8.3333333333333329E-2</v>
      </c>
      <c r="U23" s="774">
        <f>SUM(U10:U22)</f>
        <v>536751.64665000001</v>
      </c>
      <c r="V23" s="386">
        <f>IF($AE23&lt;1," ",IF(U23&lt;1," ",(U23)/$AE23))</f>
        <v>8.3333333333333329E-2</v>
      </c>
      <c r="W23" s="774">
        <f>SUM(W10:W22)</f>
        <v>536751.64665000001</v>
      </c>
      <c r="X23" s="386">
        <f>IF($AE23&lt;1," ",IF(W23&lt;1," ",(W23)/$AE23))</f>
        <v>8.3333333333333329E-2</v>
      </c>
      <c r="Y23" s="774">
        <f>SUM(Y10:Y22)</f>
        <v>536751.64665000001</v>
      </c>
      <c r="Z23" s="386">
        <f>IF($AE23&lt;1," ",IF(Y23&lt;1," ",(Y23)/$AE23))</f>
        <v>8.3333333333333329E-2</v>
      </c>
      <c r="AA23" s="774">
        <f>SUM(AA10:AA22)</f>
        <v>536751.64665000001</v>
      </c>
      <c r="AB23" s="386">
        <f>IF($AE23&lt;1," ",IF(AA23&lt;1," ",(AA23)/$AE23))</f>
        <v>8.3333333333333329E-2</v>
      </c>
      <c r="AC23" s="1564">
        <f>SUM(AC10:AC22)</f>
        <v>0</v>
      </c>
      <c r="AD23" s="776">
        <f>SUM(AD10:AD22)</f>
        <v>6441019.7598000001</v>
      </c>
      <c r="AE23" s="776">
        <f>SUM(AE10:AE22)</f>
        <v>6441019.7598000001</v>
      </c>
      <c r="AF23" s="776">
        <f>SUM(AF10:AF22)</f>
        <v>0</v>
      </c>
      <c r="AG23" s="1203"/>
    </row>
    <row r="24" spans="1:33" ht="15.75">
      <c r="A24" s="409"/>
      <c r="B24" s="372"/>
      <c r="C24" s="72"/>
      <c r="D24" s="530"/>
      <c r="E24" s="74"/>
      <c r="F24" s="196"/>
      <c r="G24" s="74"/>
      <c r="H24" s="196"/>
      <c r="I24" s="74"/>
      <c r="J24" s="196"/>
      <c r="K24" s="74"/>
      <c r="L24" s="519"/>
      <c r="M24" s="74"/>
      <c r="N24" s="196"/>
      <c r="O24" s="74"/>
      <c r="P24" s="196"/>
      <c r="Q24" s="74"/>
      <c r="R24" s="196"/>
      <c r="S24" s="74"/>
      <c r="T24" s="196"/>
      <c r="U24" s="74"/>
      <c r="V24" s="196"/>
      <c r="W24" s="74"/>
      <c r="X24" s="196"/>
      <c r="Y24" s="74"/>
      <c r="Z24" s="196"/>
      <c r="AA24" s="74"/>
      <c r="AB24" s="196"/>
      <c r="AC24" s="1024"/>
      <c r="AD24" s="1024"/>
      <c r="AE24" s="1024"/>
      <c r="AF24" s="1040"/>
      <c r="AG24" s="1203"/>
    </row>
    <row r="25" spans="1:33" ht="15.75">
      <c r="A25" s="67" t="s">
        <v>3</v>
      </c>
      <c r="B25" s="181"/>
      <c r="C25" s="375"/>
      <c r="D25" s="1071"/>
      <c r="E25" s="528"/>
      <c r="F25" s="484"/>
      <c r="G25" s="528"/>
      <c r="H25" s="484"/>
      <c r="I25" s="528"/>
      <c r="J25" s="484"/>
      <c r="K25" s="528"/>
      <c r="L25" s="549"/>
      <c r="M25" s="528"/>
      <c r="N25" s="484"/>
      <c r="O25" s="528"/>
      <c r="P25" s="484"/>
      <c r="Q25" s="528"/>
      <c r="R25" s="484"/>
      <c r="S25" s="528"/>
      <c r="T25" s="484"/>
      <c r="U25" s="528"/>
      <c r="V25" s="484"/>
      <c r="W25" s="528"/>
      <c r="X25" s="484"/>
      <c r="Y25" s="528"/>
      <c r="Z25" s="484"/>
      <c r="AA25" s="528"/>
      <c r="AB25" s="484"/>
      <c r="AC25" s="1028"/>
      <c r="AD25" s="1028"/>
      <c r="AE25" s="1028"/>
      <c r="AF25" s="1036"/>
      <c r="AG25" s="1203"/>
    </row>
    <row r="26" spans="1:33" ht="15.75">
      <c r="A26" s="408" t="s">
        <v>4</v>
      </c>
      <c r="B26" s="141"/>
      <c r="C26" s="279" t="s">
        <v>102</v>
      </c>
      <c r="D26" s="1068"/>
      <c r="E26" s="380">
        <f>+'1st Interim-Summary MYP'!G29/12</f>
        <v>249597.42194444445</v>
      </c>
      <c r="F26" s="534">
        <f>IF($AE$26&lt;1," ",IF(E26&lt;1," ",(E26)/$AE$26))</f>
        <v>8.3333333333333329E-2</v>
      </c>
      <c r="G26" s="392">
        <f t="shared" ref="G26:AA33" si="3">+E26</f>
        <v>249597.42194444445</v>
      </c>
      <c r="H26" s="534">
        <f>IF($AE$26&lt;1," ",IF(G26&lt;1," ",(G26)/$AE$26))</f>
        <v>8.3333333333333329E-2</v>
      </c>
      <c r="I26" s="392">
        <f t="shared" si="3"/>
        <v>249597.42194444445</v>
      </c>
      <c r="J26" s="534">
        <f>IF($AE$26&lt;1," ",IF(I26&lt;1," ",(I26)/$AE$26))</f>
        <v>8.3333333333333329E-2</v>
      </c>
      <c r="K26" s="392">
        <f t="shared" si="3"/>
        <v>249597.42194444445</v>
      </c>
      <c r="L26" s="342">
        <f>IF($AE$26&lt;1," ",IF(K26&lt;1," ",(K26)/$AE$26))</f>
        <v>8.3333333333333329E-2</v>
      </c>
      <c r="M26" s="380">
        <f t="shared" si="3"/>
        <v>249597.42194444445</v>
      </c>
      <c r="N26" s="341">
        <f>IF($AE$26&lt;1," ",IF(M26&lt;1," ",(M26)/$AE$26))</f>
        <v>8.3333333333333329E-2</v>
      </c>
      <c r="O26" s="392">
        <f t="shared" si="3"/>
        <v>249597.42194444445</v>
      </c>
      <c r="P26" s="534">
        <f>IF($AE$26&lt;1," ",IF(O26&lt;1," ",(O26)/$AE$26))</f>
        <v>8.3333333333333329E-2</v>
      </c>
      <c r="Q26" s="392">
        <f t="shared" si="3"/>
        <v>249597.42194444445</v>
      </c>
      <c r="R26" s="534">
        <f>IF($AE$26&lt;1," ",IF(Q26&lt;1," ",(Q26)/$AE$26))</f>
        <v>8.3333333333333329E-2</v>
      </c>
      <c r="S26" s="392">
        <f t="shared" si="3"/>
        <v>249597.42194444445</v>
      </c>
      <c r="T26" s="341">
        <f>IF($AE$26&lt;1," ",IF(S26&lt;1," ",(S26)/$AE$26))</f>
        <v>8.3333333333333329E-2</v>
      </c>
      <c r="U26" s="392">
        <f t="shared" si="3"/>
        <v>249597.42194444445</v>
      </c>
      <c r="V26" s="341">
        <f>IF($AE$26&lt;1," ",IF(U26&lt;1," ",(U26)/$AE$26))</f>
        <v>8.3333333333333329E-2</v>
      </c>
      <c r="W26" s="392">
        <f t="shared" si="3"/>
        <v>249597.42194444445</v>
      </c>
      <c r="X26" s="341">
        <f>IF($AE$26&lt;1," ",IF(W26&lt;1," ",(W26)/$AE$26))</f>
        <v>8.3333333333333329E-2</v>
      </c>
      <c r="Y26" s="392">
        <f t="shared" si="3"/>
        <v>249597.42194444445</v>
      </c>
      <c r="Z26" s="341">
        <f>IF($AE$26&lt;1," ",IF(Y26&lt;1," ",(Y26)/$AE$26))</f>
        <v>8.3333333333333329E-2</v>
      </c>
      <c r="AA26" s="392">
        <f t="shared" si="3"/>
        <v>249597.42194444445</v>
      </c>
      <c r="AB26" s="341">
        <f>IF($AE$26&lt;1," ",IF(AA26&lt;1," ",(AA26)/$AE$26))</f>
        <v>8.3333333333333329E-2</v>
      </c>
      <c r="AC26" s="1565">
        <f t="shared" ref="AC26:AC33" si="4">AE26-(E26+G26+I26+K26+M26+O26+Q26+S26+U26+W26+Y26+AA26)</f>
        <v>0</v>
      </c>
      <c r="AD26" s="389">
        <f t="shared" ref="AD26:AD33" si="5">+E26+G26+I26+K26+M26+O26+Q26+S26+U26+W26+Y26+AA26+AC26</f>
        <v>2995169.0633333339</v>
      </c>
      <c r="AE26" s="389">
        <f>'1st Interim-Summary MYP'!G29</f>
        <v>2995169.0633333335</v>
      </c>
      <c r="AF26" s="389">
        <f t="shared" ref="AF26:AF33" si="6">+AE26-AD26</f>
        <v>0</v>
      </c>
      <c r="AG26" s="1203"/>
    </row>
    <row r="27" spans="1:33" ht="15.75">
      <c r="A27" s="408" t="s">
        <v>23</v>
      </c>
      <c r="B27" s="141"/>
      <c r="C27" s="279" t="s">
        <v>103</v>
      </c>
      <c r="D27" s="1068"/>
      <c r="E27" s="380">
        <f>+'1st Interim-Summary MYP'!G30/12</f>
        <v>9266.1111111111113</v>
      </c>
      <c r="F27" s="534">
        <f>IF($AE$27&lt;1," ",IF(E27&lt;1," ",(E27)/$AE$27))</f>
        <v>8.3333333333333329E-2</v>
      </c>
      <c r="G27" s="392">
        <f t="shared" si="3"/>
        <v>9266.1111111111113</v>
      </c>
      <c r="H27" s="534">
        <f>IF($AE$27&lt;1," ",IF(G27&lt;1," ",(G27)/$AE$27))</f>
        <v>8.3333333333333329E-2</v>
      </c>
      <c r="I27" s="392">
        <f t="shared" si="3"/>
        <v>9266.1111111111113</v>
      </c>
      <c r="J27" s="534">
        <f>IF($AE$27&lt;1," ",IF(I27&lt;1," ",(I27)/$AE$27))</f>
        <v>8.3333333333333329E-2</v>
      </c>
      <c r="K27" s="392">
        <f t="shared" si="3"/>
        <v>9266.1111111111113</v>
      </c>
      <c r="L27" s="342">
        <f>IF($AE$27&lt;1," ",IF(K27&lt;1," ",(K27)/$AE$27))</f>
        <v>8.3333333333333329E-2</v>
      </c>
      <c r="M27" s="380">
        <f t="shared" si="3"/>
        <v>9266.1111111111113</v>
      </c>
      <c r="N27" s="341">
        <f>IF($AE$27&lt;1," ",IF(M27&lt;1," ",(M27)/$AE$27))</f>
        <v>8.3333333333333329E-2</v>
      </c>
      <c r="O27" s="392">
        <f t="shared" si="3"/>
        <v>9266.1111111111113</v>
      </c>
      <c r="P27" s="534">
        <f>IF($AE$27&lt;1," ",IF(O27&lt;1," ",(O27)/$AE$27))</f>
        <v>8.3333333333333329E-2</v>
      </c>
      <c r="Q27" s="392">
        <f t="shared" si="3"/>
        <v>9266.1111111111113</v>
      </c>
      <c r="R27" s="534">
        <f>IF($AE$27&lt;1," ",IF(Q27&lt;1," ",(Q27)/$AE$27))</f>
        <v>8.3333333333333329E-2</v>
      </c>
      <c r="S27" s="392">
        <f t="shared" si="3"/>
        <v>9266.1111111111113</v>
      </c>
      <c r="T27" s="341">
        <f>IF($AE$27&lt;1," ",IF(S27&lt;1," ",(S27)/$AE$27))</f>
        <v>8.3333333333333329E-2</v>
      </c>
      <c r="U27" s="392">
        <f t="shared" si="3"/>
        <v>9266.1111111111113</v>
      </c>
      <c r="V27" s="341">
        <f>IF($AE$27&lt;1," ",IF(U27&lt;1," ",(U27)/$AE$27))</f>
        <v>8.3333333333333329E-2</v>
      </c>
      <c r="W27" s="392">
        <f t="shared" si="3"/>
        <v>9266.1111111111113</v>
      </c>
      <c r="X27" s="341">
        <f>IF($AE$27&lt;1," ",IF(W27&lt;1," ",(W27)/$AE$27))</f>
        <v>8.3333333333333329E-2</v>
      </c>
      <c r="Y27" s="392">
        <f t="shared" si="3"/>
        <v>9266.1111111111113</v>
      </c>
      <c r="Z27" s="341">
        <f>IF($AE$27&lt;1," ",IF(Y27&lt;1," ",(Y27)/$AE$27))</f>
        <v>8.3333333333333329E-2</v>
      </c>
      <c r="AA27" s="392">
        <f t="shared" si="3"/>
        <v>9266.1111111111113</v>
      </c>
      <c r="AB27" s="341">
        <f>IF($AE$27&lt;1," ",IF(AA27&lt;1," ",(AA27)/$AE$27))</f>
        <v>8.3333333333333329E-2</v>
      </c>
      <c r="AC27" s="1565">
        <f t="shared" si="4"/>
        <v>0</v>
      </c>
      <c r="AD27" s="389">
        <f t="shared" si="5"/>
        <v>111193.33333333333</v>
      </c>
      <c r="AE27" s="389">
        <f>'1st Interim-Summary MYP'!G30</f>
        <v>111193.33333333334</v>
      </c>
      <c r="AF27" s="389">
        <f t="shared" si="6"/>
        <v>0</v>
      </c>
      <c r="AG27" s="1203"/>
    </row>
    <row r="28" spans="1:33" ht="15.75">
      <c r="A28" s="408" t="s">
        <v>24</v>
      </c>
      <c r="B28" s="141"/>
      <c r="C28" s="279" t="s">
        <v>104</v>
      </c>
      <c r="D28" s="1068"/>
      <c r="E28" s="380">
        <f>+'1st Interim-Summary MYP'!G31/12</f>
        <v>64758.155012704585</v>
      </c>
      <c r="F28" s="534">
        <f>IF($AE$28&lt;1," ",IF(E28&lt;1," ",(E28)/$AE$28))</f>
        <v>8.3333333333333329E-2</v>
      </c>
      <c r="G28" s="392">
        <f t="shared" si="3"/>
        <v>64758.155012704585</v>
      </c>
      <c r="H28" s="534">
        <f>IF($AE$28&lt;1," ",IF(G28&lt;1," ",(G28)/$AE$28))</f>
        <v>8.3333333333333329E-2</v>
      </c>
      <c r="I28" s="392">
        <f t="shared" si="3"/>
        <v>64758.155012704585</v>
      </c>
      <c r="J28" s="534">
        <f>IF($AE$28&lt;1," ",IF(I28&lt;1," ",(I28)/$AE$28))</f>
        <v>8.3333333333333329E-2</v>
      </c>
      <c r="K28" s="392">
        <f t="shared" si="3"/>
        <v>64758.155012704585</v>
      </c>
      <c r="L28" s="342">
        <f>IF($AE$28&lt;1," ",IF(K28&lt;1," ",(K28)/$AE$28))</f>
        <v>8.3333333333333329E-2</v>
      </c>
      <c r="M28" s="380">
        <f t="shared" si="3"/>
        <v>64758.155012704585</v>
      </c>
      <c r="N28" s="341">
        <f>IF($AE$28&lt;1," ",IF(M28&lt;1," ",(M28)/$AE$28))</f>
        <v>8.3333333333333329E-2</v>
      </c>
      <c r="O28" s="392">
        <f t="shared" si="3"/>
        <v>64758.155012704585</v>
      </c>
      <c r="P28" s="534">
        <f>IF($AE$28&lt;1," ",IF(O28&lt;1," ",(O28)/$AE$28))</f>
        <v>8.3333333333333329E-2</v>
      </c>
      <c r="Q28" s="392">
        <f t="shared" si="3"/>
        <v>64758.155012704585</v>
      </c>
      <c r="R28" s="534">
        <f>IF($AE$28&lt;1," ",IF(Q28&lt;1," ",(Q28)/$AE$28))</f>
        <v>8.3333333333333329E-2</v>
      </c>
      <c r="S28" s="392">
        <f t="shared" si="3"/>
        <v>64758.155012704585</v>
      </c>
      <c r="T28" s="341">
        <f>IF($AE$28&lt;1," ",IF(S28&lt;1," ",(S28)/$AE$28))</f>
        <v>8.3333333333333329E-2</v>
      </c>
      <c r="U28" s="392">
        <f t="shared" si="3"/>
        <v>64758.155012704585</v>
      </c>
      <c r="V28" s="341">
        <f>IF($AE$28&lt;1," ",IF(U28&lt;1," ",(U28)/$AE$28))</f>
        <v>8.3333333333333329E-2</v>
      </c>
      <c r="W28" s="392">
        <f t="shared" si="3"/>
        <v>64758.155012704585</v>
      </c>
      <c r="X28" s="341">
        <f>IF($AE$28&lt;1," ",IF(W28&lt;1," ",(W28)/$AE$28))</f>
        <v>8.3333333333333329E-2</v>
      </c>
      <c r="Y28" s="392">
        <f t="shared" si="3"/>
        <v>64758.155012704585</v>
      </c>
      <c r="Z28" s="341">
        <f>IF($AE$28&lt;1," ",IF(Y28&lt;1," ",(Y28)/$AE$28))</f>
        <v>8.3333333333333329E-2</v>
      </c>
      <c r="AA28" s="392">
        <f t="shared" si="3"/>
        <v>64758.155012704585</v>
      </c>
      <c r="AB28" s="341">
        <f>IF($AE$28&lt;1," ",IF(AA28&lt;1," ",(AA28)/$AE$28))</f>
        <v>8.3333333333333329E-2</v>
      </c>
      <c r="AC28" s="1565">
        <f t="shared" si="4"/>
        <v>0</v>
      </c>
      <c r="AD28" s="389">
        <f t="shared" si="5"/>
        <v>777097.86015245493</v>
      </c>
      <c r="AE28" s="389">
        <f>'1st Interim-Summary MYP'!G31</f>
        <v>777097.86015245505</v>
      </c>
      <c r="AF28" s="389">
        <f t="shared" si="6"/>
        <v>0</v>
      </c>
      <c r="AG28" s="1203"/>
    </row>
    <row r="29" spans="1:33" ht="15.75">
      <c r="A29" s="408" t="s">
        <v>25</v>
      </c>
      <c r="B29" s="141"/>
      <c r="C29" s="279" t="s">
        <v>105</v>
      </c>
      <c r="D29" s="1068"/>
      <c r="E29" s="380">
        <f>+'1st Interim-Summary MYP'!G32/12</f>
        <v>30859.416666666668</v>
      </c>
      <c r="F29" s="534">
        <f>IF($AE$29&lt;1," ",IF(E29&lt;1," ",(E29)/$AE$29))</f>
        <v>8.3333333333333343E-2</v>
      </c>
      <c r="G29" s="392">
        <f t="shared" si="3"/>
        <v>30859.416666666668</v>
      </c>
      <c r="H29" s="534">
        <f>IF($AE$29&lt;1," ",IF(G29&lt;1," ",(G29)/$AE$29))</f>
        <v>8.3333333333333343E-2</v>
      </c>
      <c r="I29" s="392">
        <f t="shared" si="3"/>
        <v>30859.416666666668</v>
      </c>
      <c r="J29" s="534">
        <f>IF($AE$29&lt;1," ",IF(I29&lt;1," ",(I29)/$AE$29))</f>
        <v>8.3333333333333343E-2</v>
      </c>
      <c r="K29" s="392">
        <f t="shared" si="3"/>
        <v>30859.416666666668</v>
      </c>
      <c r="L29" s="342">
        <f>IF($AE$29&lt;1," ",IF(K29&lt;1," ",(K29)/$AE$29))</f>
        <v>8.3333333333333343E-2</v>
      </c>
      <c r="M29" s="380">
        <f t="shared" si="3"/>
        <v>30859.416666666668</v>
      </c>
      <c r="N29" s="341">
        <f>IF($AE$29&lt;1," ",IF(M29&lt;1," ",(M29)/$AE$29))</f>
        <v>8.3333333333333343E-2</v>
      </c>
      <c r="O29" s="392">
        <f t="shared" si="3"/>
        <v>30859.416666666668</v>
      </c>
      <c r="P29" s="534">
        <f>IF($AE$29&lt;1," ",IF(O29&lt;1," ",(O29)/$AE$29))</f>
        <v>8.3333333333333343E-2</v>
      </c>
      <c r="Q29" s="392">
        <f t="shared" si="3"/>
        <v>30859.416666666668</v>
      </c>
      <c r="R29" s="534">
        <f>IF($AE$29&lt;1," ",IF(Q29&lt;1," ",(Q29)/$AE$29))</f>
        <v>8.3333333333333343E-2</v>
      </c>
      <c r="S29" s="392">
        <f t="shared" si="3"/>
        <v>30859.416666666668</v>
      </c>
      <c r="T29" s="341">
        <f>IF($AE$29&lt;1," ",IF(S29&lt;1," ",(S29)/$AE$29))</f>
        <v>8.3333333333333343E-2</v>
      </c>
      <c r="U29" s="392">
        <f t="shared" si="3"/>
        <v>30859.416666666668</v>
      </c>
      <c r="V29" s="341">
        <f>IF($AE$29&lt;1," ",IF(U29&lt;1," ",(U29)/$AE$29))</f>
        <v>8.3333333333333343E-2</v>
      </c>
      <c r="W29" s="392">
        <f t="shared" si="3"/>
        <v>30859.416666666668</v>
      </c>
      <c r="X29" s="341">
        <f>IF($AE$29&lt;1," ",IF(W29&lt;1," ",(W29)/$AE$29))</f>
        <v>8.3333333333333343E-2</v>
      </c>
      <c r="Y29" s="392">
        <f t="shared" si="3"/>
        <v>30859.416666666668</v>
      </c>
      <c r="Z29" s="341">
        <f>IF($AE$29&lt;1," ",IF(Y29&lt;1," ",(Y29)/$AE$29))</f>
        <v>8.3333333333333343E-2</v>
      </c>
      <c r="AA29" s="392">
        <f t="shared" si="3"/>
        <v>30859.416666666668</v>
      </c>
      <c r="AB29" s="341">
        <f>IF($AE$29&lt;1," ",IF(AA29&lt;1," ",(AA29)/$AE$29))</f>
        <v>8.3333333333333343E-2</v>
      </c>
      <c r="AC29" s="1565">
        <f t="shared" si="4"/>
        <v>0</v>
      </c>
      <c r="AD29" s="389">
        <f t="shared" si="5"/>
        <v>370313.00000000006</v>
      </c>
      <c r="AE29" s="389">
        <f>'1st Interim-Summary MYP'!G32</f>
        <v>370313</v>
      </c>
      <c r="AF29" s="389">
        <f t="shared" si="6"/>
        <v>0</v>
      </c>
      <c r="AG29" s="1203"/>
    </row>
    <row r="30" spans="1:33" ht="15.75">
      <c r="A30" s="408" t="s">
        <v>26</v>
      </c>
      <c r="B30" s="141"/>
      <c r="C30" s="279" t="s">
        <v>106</v>
      </c>
      <c r="D30" s="1068"/>
      <c r="E30" s="380">
        <f>+'1st Interim-Summary MYP'!G33/12</f>
        <v>223566.33333333334</v>
      </c>
      <c r="F30" s="534">
        <f>IF($AE$30&lt;1," ",IF(E30&lt;1," ",(E30)/$AE$30))</f>
        <v>8.3333333333333343E-2</v>
      </c>
      <c r="G30" s="392">
        <f t="shared" si="3"/>
        <v>223566.33333333334</v>
      </c>
      <c r="H30" s="534">
        <f>IF($AE$30&lt;1," ",IF(G30&lt;1," ",(G30)/$AE$30))</f>
        <v>8.3333333333333343E-2</v>
      </c>
      <c r="I30" s="392">
        <f t="shared" si="3"/>
        <v>223566.33333333334</v>
      </c>
      <c r="J30" s="534">
        <f>IF($AE$30&lt;1," ",IF(I30&lt;1," ",(I30)/$AE$30))</f>
        <v>8.3333333333333343E-2</v>
      </c>
      <c r="K30" s="392">
        <f t="shared" si="3"/>
        <v>223566.33333333334</v>
      </c>
      <c r="L30" s="342">
        <f>IF($AE$30&lt;1," ",IF(K30&lt;1," ",(K30)/$AE$30))</f>
        <v>8.3333333333333343E-2</v>
      </c>
      <c r="M30" s="380">
        <f t="shared" si="3"/>
        <v>223566.33333333334</v>
      </c>
      <c r="N30" s="341">
        <f>IF($AE$30&lt;1," ",IF(M30&lt;1," ",(M30)/$AE$30))</f>
        <v>8.3333333333333343E-2</v>
      </c>
      <c r="O30" s="392">
        <f t="shared" si="3"/>
        <v>223566.33333333334</v>
      </c>
      <c r="P30" s="534">
        <f>IF($AE$30&lt;1," ",IF(O30&lt;1," ",(O30)/$AE$30))</f>
        <v>8.3333333333333343E-2</v>
      </c>
      <c r="Q30" s="392">
        <f t="shared" si="3"/>
        <v>223566.33333333334</v>
      </c>
      <c r="R30" s="534">
        <f>IF($AE$30&lt;1," ",IF(Q30&lt;1," ",(Q30)/$AE$30))</f>
        <v>8.3333333333333343E-2</v>
      </c>
      <c r="S30" s="392">
        <f t="shared" si="3"/>
        <v>223566.33333333334</v>
      </c>
      <c r="T30" s="341">
        <f>IF($AE$30&lt;1," ",IF(S30&lt;1," ",(S30)/$AE$30))</f>
        <v>8.3333333333333343E-2</v>
      </c>
      <c r="U30" s="392">
        <f t="shared" si="3"/>
        <v>223566.33333333334</v>
      </c>
      <c r="V30" s="341">
        <f>IF($AE$30&lt;1," ",IF(U30&lt;1," ",(U30)/$AE$30))</f>
        <v>8.3333333333333343E-2</v>
      </c>
      <c r="W30" s="392">
        <f t="shared" si="3"/>
        <v>223566.33333333334</v>
      </c>
      <c r="X30" s="341">
        <f>IF($AE$30&lt;1," ",IF(W30&lt;1," ",(W30)/$AE$30))</f>
        <v>8.3333333333333343E-2</v>
      </c>
      <c r="Y30" s="392">
        <f t="shared" si="3"/>
        <v>223566.33333333334</v>
      </c>
      <c r="Z30" s="341">
        <f>IF($AE$30&lt;1," ",IF(Y30&lt;1," ",(Y30)/$AE$30))</f>
        <v>8.3333333333333343E-2</v>
      </c>
      <c r="AA30" s="392">
        <f t="shared" si="3"/>
        <v>223566.33333333334</v>
      </c>
      <c r="AB30" s="341">
        <f>IF($AE$30&lt;1," ",IF(AA30&lt;1," ",(AA30)/$AE$30))</f>
        <v>8.3333333333333343E-2</v>
      </c>
      <c r="AC30" s="1565">
        <f t="shared" si="4"/>
        <v>0</v>
      </c>
      <c r="AD30" s="389">
        <f t="shared" si="5"/>
        <v>2682796</v>
      </c>
      <c r="AE30" s="389">
        <f>'1st Interim-Summary MYP'!G33</f>
        <v>2682796</v>
      </c>
      <c r="AF30" s="389">
        <f t="shared" si="6"/>
        <v>0</v>
      </c>
      <c r="AG30" s="1203"/>
    </row>
    <row r="31" spans="1:33" ht="15.75">
      <c r="A31" s="408" t="s">
        <v>5</v>
      </c>
      <c r="B31" s="141"/>
      <c r="C31" s="279" t="s">
        <v>107</v>
      </c>
      <c r="D31" s="1068"/>
      <c r="E31" s="380">
        <f>+'1st Interim-Summary MYP'!G34/12</f>
        <v>1843</v>
      </c>
      <c r="F31" s="534">
        <f>IF($AE$31&lt;1," ",IF(E31&lt;1," ",(E31)/$AE$31))</f>
        <v>8.3333333333333329E-2</v>
      </c>
      <c r="G31" s="392">
        <f t="shared" si="3"/>
        <v>1843</v>
      </c>
      <c r="H31" s="534">
        <f>IF($AE$31&lt;1," ",IF(G31&lt;1," ",(G31)/$AE$31))</f>
        <v>8.3333333333333329E-2</v>
      </c>
      <c r="I31" s="392">
        <f t="shared" si="3"/>
        <v>1843</v>
      </c>
      <c r="J31" s="534">
        <f>IF($AE$31&lt;1," ",IF(I31&lt;1," ",(I31)/$AE$31))</f>
        <v>8.3333333333333329E-2</v>
      </c>
      <c r="K31" s="392">
        <f t="shared" si="3"/>
        <v>1843</v>
      </c>
      <c r="L31" s="342">
        <f>IF($AE$31&lt;1," ",IF(K31&lt;1," ",(K31)/$AE$31))</f>
        <v>8.3333333333333329E-2</v>
      </c>
      <c r="M31" s="380">
        <f t="shared" si="3"/>
        <v>1843</v>
      </c>
      <c r="N31" s="341">
        <f>IF($AE$31&lt;1," ",IF(M31&lt;1," ",(M31)/$AE$31))</f>
        <v>8.3333333333333329E-2</v>
      </c>
      <c r="O31" s="392">
        <f t="shared" si="3"/>
        <v>1843</v>
      </c>
      <c r="P31" s="534">
        <f>IF($AE$31&lt;1," ",IF(O31&lt;1," ",(O31)/$AE$31))</f>
        <v>8.3333333333333329E-2</v>
      </c>
      <c r="Q31" s="392">
        <f t="shared" si="3"/>
        <v>1843</v>
      </c>
      <c r="R31" s="534">
        <f>IF($AE$31&lt;1," ",IF(Q31&lt;1," ",(Q31)/$AE$31))</f>
        <v>8.3333333333333329E-2</v>
      </c>
      <c r="S31" s="392">
        <f t="shared" si="3"/>
        <v>1843</v>
      </c>
      <c r="T31" s="341">
        <f>IF($AE$31&lt;1," ",IF(S31&lt;1," ",(S31)/$AE$31))</f>
        <v>8.3333333333333329E-2</v>
      </c>
      <c r="U31" s="392">
        <f t="shared" si="3"/>
        <v>1843</v>
      </c>
      <c r="V31" s="341">
        <f>IF($AE$31&lt;1," ",IF(U31&lt;1," ",(U31)/$AE$31))</f>
        <v>8.3333333333333329E-2</v>
      </c>
      <c r="W31" s="392">
        <f t="shared" si="3"/>
        <v>1843</v>
      </c>
      <c r="X31" s="341">
        <f>IF($AE$31&lt;1," ",IF(W31&lt;1," ",(W31)/$AE$31))</f>
        <v>8.3333333333333329E-2</v>
      </c>
      <c r="Y31" s="392">
        <f t="shared" si="3"/>
        <v>1843</v>
      </c>
      <c r="Z31" s="341">
        <f>IF($AE$31&lt;1," ",IF(Y31&lt;1," ",(Y31)/$AE$31))</f>
        <v>8.3333333333333329E-2</v>
      </c>
      <c r="AA31" s="392">
        <f t="shared" si="3"/>
        <v>1843</v>
      </c>
      <c r="AB31" s="341">
        <f>IF($AE$31&lt;1," ",IF(AA31&lt;1," ",(AA31)/$AE$31))</f>
        <v>8.3333333333333329E-2</v>
      </c>
      <c r="AC31" s="1565">
        <f t="shared" si="4"/>
        <v>0</v>
      </c>
      <c r="AD31" s="389">
        <f t="shared" si="5"/>
        <v>22116</v>
      </c>
      <c r="AE31" s="389">
        <f>'1st Interim-Summary MYP'!G34</f>
        <v>22116</v>
      </c>
      <c r="AF31" s="389">
        <f t="shared" si="6"/>
        <v>0</v>
      </c>
      <c r="AG31" s="1203"/>
    </row>
    <row r="32" spans="1:33" ht="15.75">
      <c r="A32" s="408" t="s">
        <v>27</v>
      </c>
      <c r="B32" s="141"/>
      <c r="C32" s="279" t="s">
        <v>108</v>
      </c>
      <c r="D32" s="1068"/>
      <c r="E32" s="380">
        <f>+'1st Interim-Summary MYP'!G35/12</f>
        <v>208.25</v>
      </c>
      <c r="F32" s="534">
        <f>IF($AE$32&lt;1," ",IF(E32&lt;1," ",(E32)/$AE$32))</f>
        <v>8.3333333333333329E-2</v>
      </c>
      <c r="G32" s="392">
        <f t="shared" si="3"/>
        <v>208.25</v>
      </c>
      <c r="H32" s="534">
        <f>IF($AE$32&lt;1," ",IF(G32&lt;1," ",(G32)/$AE$32))</f>
        <v>8.3333333333333329E-2</v>
      </c>
      <c r="I32" s="392">
        <f t="shared" si="3"/>
        <v>208.25</v>
      </c>
      <c r="J32" s="534">
        <f>IF($AE$32&lt;1," ",IF(I32&lt;1," ",(I32)/$AE$32))</f>
        <v>8.3333333333333329E-2</v>
      </c>
      <c r="K32" s="392">
        <f t="shared" si="3"/>
        <v>208.25</v>
      </c>
      <c r="L32" s="342">
        <f>IF($AE$32&lt;1," ",IF(K32&lt;1," ",(K32)/$AE$32))</f>
        <v>8.3333333333333329E-2</v>
      </c>
      <c r="M32" s="380">
        <f t="shared" si="3"/>
        <v>208.25</v>
      </c>
      <c r="N32" s="341">
        <f>IF($AE$32&lt;1," ",IF(M32&lt;1," ",(M32)/$AE$32))</f>
        <v>8.3333333333333329E-2</v>
      </c>
      <c r="O32" s="392">
        <f t="shared" si="3"/>
        <v>208.25</v>
      </c>
      <c r="P32" s="534">
        <f>IF($AE$32&lt;1," ",IF(O32&lt;1," ",(O32)/$AE$32))</f>
        <v>8.3333333333333329E-2</v>
      </c>
      <c r="Q32" s="392">
        <f t="shared" si="3"/>
        <v>208.25</v>
      </c>
      <c r="R32" s="534">
        <f>IF($AE$32&lt;1," ",IF(Q32&lt;1," ",(Q32)/$AE$32))</f>
        <v>8.3333333333333329E-2</v>
      </c>
      <c r="S32" s="392">
        <f t="shared" si="3"/>
        <v>208.25</v>
      </c>
      <c r="T32" s="341">
        <f>IF($AE$32&lt;1," ",IF(S32&lt;1," ",(S32)/$AE$32))</f>
        <v>8.3333333333333329E-2</v>
      </c>
      <c r="U32" s="392">
        <f t="shared" si="3"/>
        <v>208.25</v>
      </c>
      <c r="V32" s="341">
        <f>IF($AE$32&lt;1," ",IF(U32&lt;1," ",(U32)/$AE$32))</f>
        <v>8.3333333333333329E-2</v>
      </c>
      <c r="W32" s="392">
        <f t="shared" si="3"/>
        <v>208.25</v>
      </c>
      <c r="X32" s="341">
        <f>IF($AE$32&lt;1," ",IF(W32&lt;1," ",(W32)/$AE$32))</f>
        <v>8.3333333333333329E-2</v>
      </c>
      <c r="Y32" s="392">
        <f t="shared" si="3"/>
        <v>208.25</v>
      </c>
      <c r="Z32" s="341">
        <f>IF($AE$32&lt;1," ",IF(Y32&lt;1," ",(Y32)/$AE$32))</f>
        <v>8.3333333333333329E-2</v>
      </c>
      <c r="AA32" s="392">
        <f t="shared" si="3"/>
        <v>208.25</v>
      </c>
      <c r="AB32" s="341">
        <f>IF($AE$32&lt;1," ",IF(AA32&lt;1," ",(AA32)/$AE$32))</f>
        <v>8.3333333333333329E-2</v>
      </c>
      <c r="AC32" s="1565">
        <f t="shared" si="4"/>
        <v>0</v>
      </c>
      <c r="AD32" s="389">
        <f t="shared" si="5"/>
        <v>2499</v>
      </c>
      <c r="AE32" s="389">
        <f>'1st Interim-Summary MYP'!G35</f>
        <v>2499</v>
      </c>
      <c r="AF32" s="389">
        <f t="shared" si="6"/>
        <v>0</v>
      </c>
      <c r="AG32" s="1203"/>
    </row>
    <row r="33" spans="1:33" ht="15.75">
      <c r="A33" s="408" t="s">
        <v>149</v>
      </c>
      <c r="B33" s="141"/>
      <c r="C33" s="279" t="s">
        <v>114</v>
      </c>
      <c r="D33" s="1068"/>
      <c r="E33" s="380">
        <f>+'1st Interim-Summary MYP'!G36/12</f>
        <v>0</v>
      </c>
      <c r="F33" s="534" t="str">
        <f>IF($AE33&lt;1," ",IF(E33&lt;1," ",(E33)/$AE33))</f>
        <v xml:space="preserve"> </v>
      </c>
      <c r="G33" s="392">
        <f t="shared" si="3"/>
        <v>0</v>
      </c>
      <c r="H33" s="534" t="str">
        <f>IF($AE33&lt;1," ",IF(G33&lt;1," ",(G33)/$AE33))</f>
        <v xml:space="preserve"> </v>
      </c>
      <c r="I33" s="392">
        <f t="shared" si="3"/>
        <v>0</v>
      </c>
      <c r="J33" s="534" t="str">
        <f>IF($AE33&lt;1," ",IF(I33&lt;1," ",(I33)/$AE33))</f>
        <v xml:space="preserve"> </v>
      </c>
      <c r="K33" s="392">
        <f t="shared" si="3"/>
        <v>0</v>
      </c>
      <c r="L33" s="342" t="str">
        <f>IF($AE33&lt;1," ",IF(K33&lt;1," ",(K33)/$AE33))</f>
        <v xml:space="preserve"> </v>
      </c>
      <c r="M33" s="380">
        <f t="shared" si="3"/>
        <v>0</v>
      </c>
      <c r="N33" s="341" t="str">
        <f>IF($AE33&lt;1," ",IF(M33&lt;1," ",(M33)/$AE33))</f>
        <v xml:space="preserve"> </v>
      </c>
      <c r="O33" s="392">
        <f t="shared" si="3"/>
        <v>0</v>
      </c>
      <c r="P33" s="534" t="str">
        <f>IF($AE33&lt;1," ",IF(O33&lt;1," ",(O33)/$AE33))</f>
        <v xml:space="preserve"> </v>
      </c>
      <c r="Q33" s="392">
        <f t="shared" si="3"/>
        <v>0</v>
      </c>
      <c r="R33" s="534" t="str">
        <f>IF($AE33&lt;1," ",IF(Q33&lt;1," ",(Q33)/$AE33))</f>
        <v xml:space="preserve"> </v>
      </c>
      <c r="S33" s="392">
        <f t="shared" si="3"/>
        <v>0</v>
      </c>
      <c r="T33" s="341" t="str">
        <f>IF($AE33&lt;1," ",IF(S33&lt;1," ",(S33)/$AE33))</f>
        <v xml:space="preserve"> </v>
      </c>
      <c r="U33" s="392">
        <f t="shared" si="3"/>
        <v>0</v>
      </c>
      <c r="V33" s="341" t="str">
        <f>IF($AE33&lt;1," ",IF(U33&lt;1," ",(U33)/$AE33))</f>
        <v xml:space="preserve"> </v>
      </c>
      <c r="W33" s="392">
        <f t="shared" si="3"/>
        <v>0</v>
      </c>
      <c r="X33" s="341" t="str">
        <f>IF($AE33&lt;1," ",IF(W33&lt;1," ",(W33)/$AE33))</f>
        <v xml:space="preserve"> </v>
      </c>
      <c r="Y33" s="392">
        <f t="shared" si="3"/>
        <v>0</v>
      </c>
      <c r="Z33" s="341" t="str">
        <f>IF($AE33&lt;1," ",IF(Y33&lt;1," ",(Y33)/$AE33))</f>
        <v xml:space="preserve"> </v>
      </c>
      <c r="AA33" s="392">
        <f t="shared" si="3"/>
        <v>0</v>
      </c>
      <c r="AB33" s="341" t="str">
        <f>IF($AE33&lt;1," ",IF(AA33&lt;1," ",(AA33)/$AE33))</f>
        <v xml:space="preserve"> </v>
      </c>
      <c r="AC33" s="1565">
        <f t="shared" si="4"/>
        <v>0</v>
      </c>
      <c r="AD33" s="389">
        <f t="shared" si="5"/>
        <v>0</v>
      </c>
      <c r="AE33" s="389">
        <f>'1st Interim-Summary MYP'!G36</f>
        <v>0</v>
      </c>
      <c r="AF33" s="389">
        <f t="shared" si="6"/>
        <v>0</v>
      </c>
      <c r="AG33" s="1203"/>
    </row>
    <row r="34" spans="1:33" ht="16.5" thickBot="1">
      <c r="A34" s="410" t="s">
        <v>28</v>
      </c>
      <c r="B34" s="384"/>
      <c r="C34" s="385"/>
      <c r="D34" s="1073"/>
      <c r="E34" s="775">
        <f>+SUM(E26:E33)</f>
        <v>580098.68806826021</v>
      </c>
      <c r="F34" s="535">
        <f>IF($AE34&lt;1," ",IF(E34&lt;1," ",(E34)/$AE34))</f>
        <v>8.3333333333333343E-2</v>
      </c>
      <c r="G34" s="774">
        <f>+SUM(G26:G33)</f>
        <v>580098.68806826021</v>
      </c>
      <c r="H34" s="535">
        <f>IF($AE34&lt;1," ",IF(G34&lt;1," ",(G34)/$AE34))</f>
        <v>8.3333333333333343E-2</v>
      </c>
      <c r="I34" s="774">
        <f>+SUM(I26:I33)</f>
        <v>580098.68806826021</v>
      </c>
      <c r="J34" s="535">
        <f>IF($AE34&lt;1," ",IF(I34&lt;1," ",(I34)/$AE34))</f>
        <v>8.3333333333333343E-2</v>
      </c>
      <c r="K34" s="774">
        <f>+SUM(K26:K33)</f>
        <v>580098.68806826021</v>
      </c>
      <c r="L34" s="520">
        <f>IF($AE34&lt;1," ",IF(K34&lt;1," ",(K34)/$AE34))</f>
        <v>8.3333333333333343E-2</v>
      </c>
      <c r="M34" s="775">
        <f>+SUM(M26:M33)</f>
        <v>580098.68806826021</v>
      </c>
      <c r="N34" s="390">
        <f>IF($AE34&lt;1," ",IF(M34&lt;1," ",(M34)/$AE34))</f>
        <v>8.3333333333333343E-2</v>
      </c>
      <c r="O34" s="774">
        <f>+SUM(O26:O33)</f>
        <v>580098.68806826021</v>
      </c>
      <c r="P34" s="535">
        <f>IF($AE34&lt;1," ",IF(O34&lt;1," ",(O34)/$AE34))</f>
        <v>8.3333333333333343E-2</v>
      </c>
      <c r="Q34" s="774">
        <f>+SUM(Q26:Q33)</f>
        <v>580098.68806826021</v>
      </c>
      <c r="R34" s="535">
        <f>IF($AE34&lt;1," ",IF(Q34&lt;1," ",(Q34)/$AE34))</f>
        <v>8.3333333333333343E-2</v>
      </c>
      <c r="S34" s="774">
        <f>+SUM(S26:S33)</f>
        <v>580098.68806826021</v>
      </c>
      <c r="T34" s="390">
        <f>IF($AE34&lt;1," ",IF(S34&lt;1," ",(S34)/$AE34))</f>
        <v>8.3333333333333343E-2</v>
      </c>
      <c r="U34" s="774">
        <f>+SUM(U26:U33)</f>
        <v>580098.68806826021</v>
      </c>
      <c r="V34" s="390">
        <f>IF($AE34&lt;1," ",IF(U34&lt;1," ",(U34)/$AE34))</f>
        <v>8.3333333333333343E-2</v>
      </c>
      <c r="W34" s="774">
        <f>+SUM(W26:W33)</f>
        <v>580098.68806826021</v>
      </c>
      <c r="X34" s="390">
        <f>IF($AE34&lt;1," ",IF(W34&lt;1," ",(W34)/$AE34))</f>
        <v>8.3333333333333343E-2</v>
      </c>
      <c r="Y34" s="774">
        <f>+SUM(Y26:Y33)</f>
        <v>580098.68806826021</v>
      </c>
      <c r="Z34" s="390">
        <f>IF($AE34&lt;1," ",IF(Y34&lt;1," ",(Y34)/$AE34))</f>
        <v>8.3333333333333343E-2</v>
      </c>
      <c r="AA34" s="774">
        <f>+SUM(AA26:AA33)</f>
        <v>580098.68806826021</v>
      </c>
      <c r="AB34" s="390">
        <f>IF($AE34&lt;1," ",IF(AA34&lt;1," ",(AA34)/$AE34))</f>
        <v>8.3333333333333343E-2</v>
      </c>
      <c r="AC34" s="1564">
        <f>+SUM(AC26:AC33)</f>
        <v>0</v>
      </c>
      <c r="AD34" s="776">
        <f>+SUM(AD26:AD33)</f>
        <v>6961184.2568191225</v>
      </c>
      <c r="AE34" s="776">
        <f>+SUM(AE26:AE33)</f>
        <v>6961184.2568191215</v>
      </c>
      <c r="AF34" s="776">
        <f>+SUM(AF26:AF33)</f>
        <v>0</v>
      </c>
      <c r="AG34" s="1203"/>
    </row>
    <row r="35" spans="1:33" ht="15.75">
      <c r="A35" s="411"/>
      <c r="B35" s="373"/>
      <c r="C35" s="72"/>
      <c r="D35" s="530"/>
      <c r="E35" s="76"/>
      <c r="F35" s="197"/>
      <c r="G35" s="76"/>
      <c r="H35" s="197"/>
      <c r="I35" s="76"/>
      <c r="J35" s="197"/>
      <c r="K35" s="76"/>
      <c r="L35" s="521"/>
      <c r="M35" s="76"/>
      <c r="N35" s="197"/>
      <c r="O35" s="76"/>
      <c r="P35" s="197"/>
      <c r="Q35" s="76"/>
      <c r="R35" s="197"/>
      <c r="S35" s="76"/>
      <c r="T35" s="197"/>
      <c r="U35" s="76"/>
      <c r="V35" s="197"/>
      <c r="W35" s="76"/>
      <c r="X35" s="197"/>
      <c r="Y35" s="76"/>
      <c r="Z35" s="197"/>
      <c r="AA35" s="76"/>
      <c r="AB35" s="197"/>
      <c r="AC35" s="1024"/>
      <c r="AD35" s="1024"/>
      <c r="AE35" s="1024"/>
      <c r="AF35" s="1040"/>
      <c r="AG35" s="1203"/>
    </row>
    <row r="36" spans="1:33" ht="15.75">
      <c r="A36" s="67" t="s">
        <v>109</v>
      </c>
      <c r="B36" s="181"/>
      <c r="C36" s="375"/>
      <c r="D36" s="1071"/>
      <c r="E36" s="526"/>
      <c r="F36" s="484"/>
      <c r="G36" s="526"/>
      <c r="H36" s="484"/>
      <c r="I36" s="526"/>
      <c r="J36" s="484"/>
      <c r="K36" s="526"/>
      <c r="L36" s="549"/>
      <c r="M36" s="526"/>
      <c r="N36" s="484"/>
      <c r="O36" s="526"/>
      <c r="P36" s="484"/>
      <c r="Q36" s="526"/>
      <c r="R36" s="484"/>
      <c r="S36" s="526"/>
      <c r="T36" s="484"/>
      <c r="U36" s="526"/>
      <c r="V36" s="484"/>
      <c r="W36" s="526"/>
      <c r="X36" s="484"/>
      <c r="Y36" s="526"/>
      <c r="Z36" s="484"/>
      <c r="AA36" s="526"/>
      <c r="AB36" s="484"/>
      <c r="AC36" s="1028"/>
      <c r="AD36" s="1028"/>
      <c r="AE36" s="1028"/>
      <c r="AF36" s="1036"/>
      <c r="AG36" s="1203"/>
    </row>
    <row r="37" spans="1:33" ht="15.75">
      <c r="A37" s="408" t="s">
        <v>127</v>
      </c>
      <c r="B37" s="141"/>
      <c r="C37" s="279">
        <v>8900</v>
      </c>
      <c r="D37" s="1074"/>
      <c r="E37" s="380"/>
      <c r="F37" s="534" t="str">
        <f>IF($AE37&lt;1," ",IF(E37&lt;1," ",(E37)/$AE37))</f>
        <v xml:space="preserve"> </v>
      </c>
      <c r="G37" s="392"/>
      <c r="H37" s="534" t="str">
        <f>IF($AE37&lt;1," ",IF(G37&lt;1," ",(G37)/$AE37))</f>
        <v xml:space="preserve"> </v>
      </c>
      <c r="I37" s="392"/>
      <c r="J37" s="534" t="str">
        <f>IF($AE37&lt;1," ",IF(I37&lt;1," ",(I37)/$AE37))</f>
        <v xml:space="preserve"> </v>
      </c>
      <c r="K37" s="392"/>
      <c r="L37" s="342" t="str">
        <f>IF($AE37&lt;1," ",IF(K37&lt;1," ",(K37)/$AE37))</f>
        <v xml:space="preserve"> </v>
      </c>
      <c r="M37" s="380"/>
      <c r="N37" s="341" t="str">
        <f>IF($AE37&lt;1," ",IF(M37&lt;1," ",(M37)/$AE37))</f>
        <v xml:space="preserve"> </v>
      </c>
      <c r="O37" s="392"/>
      <c r="P37" s="341" t="str">
        <f>IF($AE37&lt;1," ",IF(O37&lt;1," ",(O37)/$AE37))</f>
        <v xml:space="preserve"> </v>
      </c>
      <c r="Q37" s="392"/>
      <c r="R37" s="341" t="str">
        <f>IF($AE37&lt;1," ",IF(Q37&lt;1," ",(Q37)/$AE37))</f>
        <v xml:space="preserve"> </v>
      </c>
      <c r="S37" s="392"/>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565">
        <f>AE37-(E37+G37+I37+K37+M37+O37+Q37+S37+U37+W37+Y37+AA37)</f>
        <v>0</v>
      </c>
      <c r="AD37" s="389">
        <f>+E37+G37+I37+K37+M37+O37+Q37+S37+U37+W37+Y37+AA37+AC37</f>
        <v>0</v>
      </c>
      <c r="AE37" s="389">
        <f>'1st Interim-Summary MYP'!G42</f>
        <v>0</v>
      </c>
      <c r="AF37" s="389">
        <f>+AE37-AD37</f>
        <v>0</v>
      </c>
      <c r="AG37" s="1203"/>
    </row>
    <row r="38" spans="1:33" ht="15.75">
      <c r="A38" s="408" t="s">
        <v>30</v>
      </c>
      <c r="B38" s="141"/>
      <c r="C38" s="279">
        <v>7600</v>
      </c>
      <c r="D38" s="1074"/>
      <c r="E38" s="380"/>
      <c r="F38" s="534" t="str">
        <f>IF($AE38&lt;1," ",IF(E38&lt;1," ",(E38)/$AE38))</f>
        <v xml:space="preserve"> </v>
      </c>
      <c r="G38" s="392"/>
      <c r="H38" s="534" t="str">
        <f>IF($AE38&lt;1," ",IF(G38&lt;1," ",(G38)/$AE38))</f>
        <v xml:space="preserve"> </v>
      </c>
      <c r="I38" s="392"/>
      <c r="J38" s="534" t="str">
        <f>IF($AE38&lt;1," ",IF(I38&lt;1," ",(I38)/$AE38))</f>
        <v xml:space="preserve"> </v>
      </c>
      <c r="K38" s="392"/>
      <c r="L38" s="342" t="str">
        <f>IF($AE38&lt;1," ",IF(K38&lt;1," ",(K38)/$AE38))</f>
        <v xml:space="preserve"> </v>
      </c>
      <c r="M38" s="380"/>
      <c r="N38" s="341" t="str">
        <f>IF($AE38&lt;1," ",IF(M38&lt;1," ",(M38)/$AE38))</f>
        <v xml:space="preserve"> </v>
      </c>
      <c r="O38" s="392"/>
      <c r="P38" s="341" t="str">
        <f>IF($AE38&lt;1," ",IF(O38&lt;1," ",(O38)/$AE38))</f>
        <v xml:space="preserve"> </v>
      </c>
      <c r="Q38" s="392"/>
      <c r="R38" s="341" t="str">
        <f>IF($AE38&lt;1," ",IF(Q38&lt;1," ",(Q38)/$AE38))</f>
        <v xml:space="preserve"> </v>
      </c>
      <c r="S38" s="392"/>
      <c r="T38" s="341" t="str">
        <f>IF($AE38&lt;1," ",IF(S38&lt;1," ",(S38)/$AE38))</f>
        <v xml:space="preserve"> </v>
      </c>
      <c r="U38" s="392"/>
      <c r="V38" s="341" t="str">
        <f>IF($AE38&lt;1," ",IF(U38&lt;1," ",(U38)/$AE38))</f>
        <v xml:space="preserve"> </v>
      </c>
      <c r="W38" s="392"/>
      <c r="X38" s="341" t="str">
        <f>IF($AE38&lt;1," ",IF(W38&lt;1," ",(W38)/$AE38))</f>
        <v xml:space="preserve"> </v>
      </c>
      <c r="Y38" s="392"/>
      <c r="Z38" s="341" t="str">
        <f>IF($AE38&lt;1," ",IF(Y38&lt;1," ",(Y38)/$AE38))</f>
        <v xml:space="preserve"> </v>
      </c>
      <c r="AA38" s="392">
        <v>-360000</v>
      </c>
      <c r="AB38" s="341" t="str">
        <f>IF($AE38&lt;1," ",IF(AA38&lt;1," ",(AA38)/$AE38))</f>
        <v xml:space="preserve"> </v>
      </c>
      <c r="AC38" s="1565">
        <f>AE38-(E38+G38+I38+K38+M38+O38+Q38+S38+U38+W38+Y38+AA38)</f>
        <v>0</v>
      </c>
      <c r="AD38" s="389">
        <f>+E38+G38+I38+K38+M38+O38+Q38+S38+U38+W38+Y38+AA38+AC38</f>
        <v>-360000</v>
      </c>
      <c r="AE38" s="389">
        <f>'1st Interim-Summary MYP'!G43</f>
        <v>-360000</v>
      </c>
      <c r="AF38" s="389">
        <f>+AE38-AD38</f>
        <v>0</v>
      </c>
      <c r="AG38" s="1203"/>
    </row>
    <row r="39" spans="1:33" ht="16.5" thickBot="1">
      <c r="A39" s="412" t="s">
        <v>31</v>
      </c>
      <c r="B39" s="384"/>
      <c r="C39" s="385"/>
      <c r="D39" s="1073"/>
      <c r="E39" s="775">
        <f>+E37-E38</f>
        <v>0</v>
      </c>
      <c r="F39" s="535" t="str">
        <f>IF($AE39&lt;1," ",IF(E39&lt;1," ",(E39)/$AE39))</f>
        <v xml:space="preserve"> </v>
      </c>
      <c r="G39" s="774">
        <f>+G37-G38</f>
        <v>0</v>
      </c>
      <c r="H39" s="535" t="str">
        <f>IF($AE39&lt;1," ",IF(G39&lt;1," ",(G39)/$AE39))</f>
        <v xml:space="preserve"> </v>
      </c>
      <c r="I39" s="774">
        <f>+I37-I38</f>
        <v>0</v>
      </c>
      <c r="J39" s="535" t="str">
        <f>IF($AE39&lt;1," ",IF(I39&lt;1," ",(I39)/$AE39))</f>
        <v xml:space="preserve"> </v>
      </c>
      <c r="K39" s="774">
        <f>+K37-K38</f>
        <v>0</v>
      </c>
      <c r="L39" s="520" t="str">
        <f>IF($AE39&lt;1," ",IF(K39&lt;1," ",(K39)/$AE39))</f>
        <v xml:space="preserve"> </v>
      </c>
      <c r="M39" s="775">
        <f>+M37-M38</f>
        <v>0</v>
      </c>
      <c r="N39" s="390" t="str">
        <f>IF($AE39&lt;1," ",IF(M39&lt;1," ",(M39)/$AE39))</f>
        <v xml:space="preserve"> </v>
      </c>
      <c r="O39" s="774">
        <f>+O37-O38</f>
        <v>0</v>
      </c>
      <c r="P39" s="390" t="str">
        <f>IF($AE39&lt;1," ",IF(O39&lt;1," ",(O39)/$AE39))</f>
        <v xml:space="preserve"> </v>
      </c>
      <c r="Q39" s="774">
        <f>+Q37-Q38</f>
        <v>0</v>
      </c>
      <c r="R39" s="390" t="str">
        <f>IF($AE39&lt;1," ",IF(Q39&lt;1," ",(Q39)/$AE39))</f>
        <v xml:space="preserve"> </v>
      </c>
      <c r="S39" s="774">
        <f>+S37-S38</f>
        <v>0</v>
      </c>
      <c r="T39" s="390" t="str">
        <f>IF($AE39&lt;1," ",IF(S39&lt;1," ",(S39)/$AE39))</f>
        <v xml:space="preserve"> </v>
      </c>
      <c r="U39" s="774">
        <f>+U37-U38</f>
        <v>0</v>
      </c>
      <c r="V39" s="390" t="str">
        <f>IF($AE39&lt;1," ",IF(U39&lt;1," ",(U39)/$AE39))</f>
        <v xml:space="preserve"> </v>
      </c>
      <c r="W39" s="774">
        <f>+W37-W38</f>
        <v>0</v>
      </c>
      <c r="X39" s="390" t="str">
        <f>IF($AE39&lt;1," ",IF(W39&lt;1," ",(W39)/$AE39))</f>
        <v xml:space="preserve"> </v>
      </c>
      <c r="Y39" s="774">
        <f>+Y37-Y38</f>
        <v>0</v>
      </c>
      <c r="Z39" s="390" t="str">
        <f>IF($AE39&lt;1," ",IF(Y39&lt;1," ",(Y39)/$AE39))</f>
        <v xml:space="preserve"> </v>
      </c>
      <c r="AA39" s="774">
        <f>+AA37-AA38</f>
        <v>360000</v>
      </c>
      <c r="AB39" s="390">
        <f>IF($AE39&lt;1," ",IF(AA39&lt;1," ",(AA39)/$AE39))</f>
        <v>1</v>
      </c>
      <c r="AC39" s="1564">
        <f>+AC37-AC38</f>
        <v>0</v>
      </c>
      <c r="AD39" s="776">
        <f>+AD37-AD38</f>
        <v>360000</v>
      </c>
      <c r="AE39" s="776">
        <f>+AE37-AE38</f>
        <v>360000</v>
      </c>
      <c r="AF39" s="776">
        <f>+AF37-AF38</f>
        <v>0</v>
      </c>
      <c r="AG39" s="1203"/>
    </row>
    <row r="40" spans="1:33" ht="15.75" customHeight="1">
      <c r="A40" s="411"/>
      <c r="B40" s="183"/>
      <c r="C40" s="23"/>
      <c r="D40" s="1861" t="s">
        <v>213</v>
      </c>
      <c r="E40" s="1048"/>
      <c r="F40" s="538" t="s">
        <v>82</v>
      </c>
      <c r="G40" s="395"/>
      <c r="H40" s="538" t="s">
        <v>82</v>
      </c>
      <c r="I40" s="395"/>
      <c r="J40" s="538" t="s">
        <v>82</v>
      </c>
      <c r="K40" s="395"/>
      <c r="L40" s="522" t="s">
        <v>82</v>
      </c>
      <c r="M40" s="1048"/>
      <c r="N40" s="1051" t="s">
        <v>82</v>
      </c>
      <c r="O40" s="395"/>
      <c r="P40" s="199" t="s">
        <v>82</v>
      </c>
      <c r="Q40" s="395"/>
      <c r="R40" s="537" t="s">
        <v>82</v>
      </c>
      <c r="S40" s="395"/>
      <c r="T40" s="199" t="s">
        <v>82</v>
      </c>
      <c r="U40" s="395"/>
      <c r="V40" s="199" t="s">
        <v>82</v>
      </c>
      <c r="W40" s="395"/>
      <c r="X40" s="199" t="s">
        <v>82</v>
      </c>
      <c r="Y40" s="395"/>
      <c r="Z40" s="199" t="s">
        <v>82</v>
      </c>
      <c r="AA40" s="395"/>
      <c r="AB40" s="199" t="s">
        <v>82</v>
      </c>
      <c r="AC40" s="1566"/>
      <c r="AD40" s="1035"/>
      <c r="AE40" s="1822" t="s">
        <v>214</v>
      </c>
      <c r="AF40" s="1041"/>
    </row>
    <row r="41" spans="1:33" ht="15.75">
      <c r="A41" s="67" t="s">
        <v>110</v>
      </c>
      <c r="B41" s="181"/>
      <c r="C41" s="23"/>
      <c r="D41" s="1862"/>
      <c r="E41" s="1048"/>
      <c r="F41" s="538" t="s">
        <v>230</v>
      </c>
      <c r="G41" s="395"/>
      <c r="H41" s="538" t="s">
        <v>230</v>
      </c>
      <c r="I41" s="395"/>
      <c r="J41" s="538" t="s">
        <v>230</v>
      </c>
      <c r="K41" s="395"/>
      <c r="L41" s="522" t="s">
        <v>230</v>
      </c>
      <c r="M41" s="1048"/>
      <c r="N41" s="1051" t="s">
        <v>230</v>
      </c>
      <c r="O41" s="395"/>
      <c r="P41" s="199" t="s">
        <v>230</v>
      </c>
      <c r="Q41" s="395"/>
      <c r="R41" s="538" t="s">
        <v>230</v>
      </c>
      <c r="S41" s="395"/>
      <c r="T41" s="199" t="s">
        <v>230</v>
      </c>
      <c r="U41" s="395"/>
      <c r="V41" s="199" t="s">
        <v>230</v>
      </c>
      <c r="W41" s="395"/>
      <c r="X41" s="199" t="s">
        <v>230</v>
      </c>
      <c r="Y41" s="395"/>
      <c r="Z41" s="199" t="s">
        <v>230</v>
      </c>
      <c r="AA41" s="395"/>
      <c r="AB41" s="199" t="s">
        <v>230</v>
      </c>
      <c r="AC41" s="1566"/>
      <c r="AD41" s="1035"/>
      <c r="AE41" s="1823"/>
      <c r="AF41" s="777"/>
    </row>
    <row r="42" spans="1:33" ht="15.75">
      <c r="A42" s="69"/>
      <c r="B42" s="183"/>
      <c r="C42" s="23"/>
      <c r="D42" s="1863"/>
      <c r="E42" s="1048"/>
      <c r="F42" s="539"/>
      <c r="G42" s="395"/>
      <c r="H42" s="539"/>
      <c r="I42" s="395"/>
      <c r="J42" s="539"/>
      <c r="K42" s="395"/>
      <c r="L42" s="523"/>
      <c r="M42" s="1048"/>
      <c r="N42" s="1052"/>
      <c r="O42" s="395"/>
      <c r="P42" s="195"/>
      <c r="Q42" s="395"/>
      <c r="R42" s="539"/>
      <c r="S42" s="395"/>
      <c r="T42" s="195"/>
      <c r="U42" s="395"/>
      <c r="V42" s="195"/>
      <c r="W42" s="395"/>
      <c r="X42" s="195"/>
      <c r="Y42" s="395"/>
      <c r="Z42" s="195"/>
      <c r="AA42" s="395"/>
      <c r="AB42" s="195"/>
      <c r="AC42" s="1566"/>
      <c r="AD42" s="1035"/>
      <c r="AE42" s="1824"/>
      <c r="AF42" s="777"/>
    </row>
    <row r="43" spans="1:33" ht="15.75" customHeight="1">
      <c r="A43" s="413" t="s">
        <v>330</v>
      </c>
      <c r="B43" s="398"/>
      <c r="C43" s="626">
        <v>9210</v>
      </c>
      <c r="D43" s="1075"/>
      <c r="E43" s="514"/>
      <c r="F43" s="534" t="str">
        <f>IF($D43&lt;1," ",IF(E43&lt;1," ",(E43)/$D43))</f>
        <v xml:space="preserve"> </v>
      </c>
      <c r="G43" s="400"/>
      <c r="H43" s="534" t="str">
        <f>IF($D43&lt;1," ",IF(G43&lt;1," ",(G43)/$D43))</f>
        <v xml:space="preserve"> </v>
      </c>
      <c r="I43" s="400"/>
      <c r="J43" s="534" t="str">
        <f>IF($D43&lt;1," ",IF(I43&lt;1," ",(I43)/$D43))</f>
        <v xml:space="preserve"> </v>
      </c>
      <c r="K43" s="400"/>
      <c r="L43" s="342" t="str">
        <f>IF($D43&lt;1," ",IF(K43&lt;1," ",(K43)/$D43))</f>
        <v xml:space="preserve"> </v>
      </c>
      <c r="M43" s="514"/>
      <c r="N43" s="341" t="str">
        <f>IF($D43&lt;1," ",IF(M43&lt;1," ",(M43)/$D43))</f>
        <v xml:space="preserve"> </v>
      </c>
      <c r="O43" s="400"/>
      <c r="P43" s="341" t="str">
        <f>IF($D43&lt;1," ",IF(O43&lt;1," ",(O43)/$D43))</f>
        <v xml:space="preserve"> </v>
      </c>
      <c r="Q43" s="400"/>
      <c r="R43" s="534" t="str">
        <f>IF($D43&lt;1," ",IF(Q43&lt;1," ",(Q43)/$D43))</f>
        <v xml:space="preserve"> </v>
      </c>
      <c r="S43" s="400"/>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567"/>
      <c r="AD43" s="1570">
        <f>+E43+G43+I43+K43+M43+O43+Q43+S43+U43+W43+Y43+AA43</f>
        <v>0</v>
      </c>
      <c r="AE43" s="401">
        <f>D43-AD43</f>
        <v>0</v>
      </c>
      <c r="AF43" s="777"/>
      <c r="AG43" s="1571" t="str">
        <f>IF(AD43=D43,"","Prior Year Transactions should be zero'd out by Year End")</f>
        <v/>
      </c>
    </row>
    <row r="44" spans="1:33" ht="15.75">
      <c r="A44" s="413" t="s">
        <v>11</v>
      </c>
      <c r="B44" s="398"/>
      <c r="C44" s="626">
        <v>9330</v>
      </c>
      <c r="D44" s="1075"/>
      <c r="E44" s="514"/>
      <c r="F44" s="534" t="str">
        <f>IF($D44&lt;1," ",IF(E44&lt;1," ",(E44)/$D44))</f>
        <v xml:space="preserve"> </v>
      </c>
      <c r="G44" s="400"/>
      <c r="H44" s="534" t="str">
        <f>IF($D44&lt;1," ",IF(G44&lt;1," ",(G44)/$D44))</f>
        <v xml:space="preserve"> </v>
      </c>
      <c r="I44" s="400"/>
      <c r="J44" s="534" t="str">
        <f>IF($D44&lt;1," ",IF(I44&lt;1," ",(I44)/$D44))</f>
        <v xml:space="preserve"> </v>
      </c>
      <c r="K44" s="400"/>
      <c r="L44" s="342" t="str">
        <f>IF($D44&lt;1," ",IF(K44&lt;1," ",(K44)/$D44))</f>
        <v xml:space="preserve"> </v>
      </c>
      <c r="M44" s="514"/>
      <c r="N44" s="341" t="str">
        <f>IF($D44&lt;1," ",IF(M44&lt;1," ",(M44)/$D44))</f>
        <v xml:space="preserve"> </v>
      </c>
      <c r="O44" s="400"/>
      <c r="P44" s="341" t="str">
        <f>IF($D44&lt;1," ",IF(O44&lt;1," ",(O44)/$D44))</f>
        <v xml:space="preserve"> </v>
      </c>
      <c r="Q44" s="400"/>
      <c r="R44" s="534" t="str">
        <f>IF($D44&lt;1," ",IF(Q44&lt;1," ",(Q44)/$D44))</f>
        <v xml:space="preserve"> </v>
      </c>
      <c r="S44" s="400"/>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567"/>
      <c r="AD44" s="1570">
        <f>+E44+G44+I44+K44+M44+O44+Q44+S44+U44+W44+Y44+AA44</f>
        <v>0</v>
      </c>
      <c r="AE44" s="401">
        <f>D44-AD44</f>
        <v>0</v>
      </c>
      <c r="AF44" s="777"/>
      <c r="AG44" s="1571" t="str">
        <f>IF(AD44=D44,"","Prior Year Transactions should be zero'd out by Year End")</f>
        <v/>
      </c>
    </row>
    <row r="45" spans="1:33" ht="15.75">
      <c r="A45" s="413" t="s">
        <v>499</v>
      </c>
      <c r="B45" s="398"/>
      <c r="C45" s="626">
        <v>9510</v>
      </c>
      <c r="D45" s="1075"/>
      <c r="E45" s="514"/>
      <c r="F45" s="534" t="str">
        <f>IF($D45&lt;1," ",IF(E45&lt;1," ",(E45)/$D45))</f>
        <v xml:space="preserve"> </v>
      </c>
      <c r="G45" s="400"/>
      <c r="H45" s="534" t="str">
        <f>IF($D45&lt;1," ",IF(G45&lt;1," ",(G45)/$D45))</f>
        <v xml:space="preserve"> </v>
      </c>
      <c r="I45" s="400"/>
      <c r="J45" s="534" t="str">
        <f>IF($D45&lt;1," ",IF(I45&lt;1," ",(I45)/$D45))</f>
        <v xml:space="preserve"> </v>
      </c>
      <c r="K45" s="400"/>
      <c r="L45" s="342" t="str">
        <f>IF($D45&lt;1," ",IF(K45&lt;1," ",(K45)/$D45))</f>
        <v xml:space="preserve"> </v>
      </c>
      <c r="M45" s="514"/>
      <c r="N45" s="341" t="str">
        <f>IF($D45&lt;1," ",IF(M45&lt;1," ",(M45)/$D45))</f>
        <v xml:space="preserve"> </v>
      </c>
      <c r="O45" s="400"/>
      <c r="P45" s="341" t="str">
        <f>IF($D45&lt;1," ",IF(O45&lt;1," ",(O45)/$D45))</f>
        <v xml:space="preserve"> </v>
      </c>
      <c r="Q45" s="400"/>
      <c r="R45" s="534" t="str">
        <f>IF($D45&lt;1," ",IF(Q45&lt;1," ",(Q45)/$D45))</f>
        <v xml:space="preserve"> </v>
      </c>
      <c r="S45" s="400"/>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567"/>
      <c r="AD45" s="1570">
        <f>+E45+G45+I45+K45+M45+O45+Q45+S45+U45+W45+Y45+AA45</f>
        <v>0</v>
      </c>
      <c r="AE45" s="401">
        <f>D45-AD45</f>
        <v>0</v>
      </c>
      <c r="AF45" s="777"/>
      <c r="AG45" s="1571" t="str">
        <f>IF(AD45=D45,"","Prior Year Transactions should be zero'd out by Year End")</f>
        <v/>
      </c>
    </row>
    <row r="46" spans="1:33" ht="15.75">
      <c r="A46" s="413" t="s">
        <v>500</v>
      </c>
      <c r="B46" s="398"/>
      <c r="C46" s="627">
        <v>9640</v>
      </c>
      <c r="D46" s="1076"/>
      <c r="E46" s="514"/>
      <c r="F46" s="534" t="str">
        <f>IF($D46&lt;1," ",IF(E46&lt;1," ",(E46)/$D46))</f>
        <v xml:space="preserve"> </v>
      </c>
      <c r="G46" s="400"/>
      <c r="H46" s="534" t="str">
        <f>IF($D46&lt;1," ",IF(G46&lt;1," ",(G46)/$D46))</f>
        <v xml:space="preserve"> </v>
      </c>
      <c r="I46" s="400"/>
      <c r="J46" s="534" t="str">
        <f>IF($D46&lt;1," ",IF(I46&lt;1," ",(I46)/$D46))</f>
        <v xml:space="preserve"> </v>
      </c>
      <c r="K46" s="400"/>
      <c r="L46" s="342" t="str">
        <f>IF($D46&lt;1," ",IF(K46&lt;1," ",(K46)/$D46))</f>
        <v xml:space="preserve"> </v>
      </c>
      <c r="M46" s="514"/>
      <c r="N46" s="341" t="str">
        <f>IF($D46&lt;1," ",IF(M46&lt;1," ",(M46)/$D46))</f>
        <v xml:space="preserve"> </v>
      </c>
      <c r="O46" s="400"/>
      <c r="P46" s="341" t="str">
        <f>IF($D46&lt;1," ",IF(O46&lt;1," ",(O46)/$D46))</f>
        <v xml:space="preserve"> </v>
      </c>
      <c r="Q46" s="400"/>
      <c r="R46" s="534" t="str">
        <f>IF($D46&lt;1," ",IF(Q46&lt;1," ",(Q46)/$D46))</f>
        <v xml:space="preserve"> </v>
      </c>
      <c r="S46" s="400"/>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567"/>
      <c r="AD46" s="1570">
        <f>+E46+G46+I46+K46+M46+O46+Q46+S46+U46+W46+Y46+AA46</f>
        <v>0</v>
      </c>
      <c r="AE46" s="401">
        <f>D46-AD46</f>
        <v>0</v>
      </c>
      <c r="AF46" s="777"/>
      <c r="AG46" s="1571" t="str">
        <f>IF(AD46=D46,"","Prior Year Transactions should be zero'd out by Year End")</f>
        <v/>
      </c>
    </row>
    <row r="47" spans="1:33" ht="15.75">
      <c r="A47" s="413" t="s">
        <v>501</v>
      </c>
      <c r="B47" s="398"/>
      <c r="C47" s="626">
        <v>9650</v>
      </c>
      <c r="D47" s="1075"/>
      <c r="E47" s="514"/>
      <c r="F47" s="534" t="str">
        <f>IF($D47&lt;1," ",IF(E47&lt;1," ",(E47)/$D47))</f>
        <v xml:space="preserve"> </v>
      </c>
      <c r="G47" s="400"/>
      <c r="H47" s="534" t="str">
        <f>IF($D47&lt;1," ",IF(G47&lt;1," ",(G47)/$D47))</f>
        <v xml:space="preserve"> </v>
      </c>
      <c r="I47" s="400"/>
      <c r="J47" s="534" t="str">
        <f>IF($D47&lt;1," ",IF(I47&lt;1," ",(I47)/$D47))</f>
        <v xml:space="preserve"> </v>
      </c>
      <c r="K47" s="400"/>
      <c r="L47" s="342" t="str">
        <f>IF($D47&lt;1," ",IF(K47&lt;1," ",(K47)/$D47))</f>
        <v xml:space="preserve"> </v>
      </c>
      <c r="M47" s="514"/>
      <c r="N47" s="341" t="str">
        <f>IF($D47&lt;1," ",IF(M47&lt;1," ",(M47)/$D47))</f>
        <v xml:space="preserve"> </v>
      </c>
      <c r="O47" s="400"/>
      <c r="P47" s="341" t="str">
        <f>IF($D47&lt;1," ",IF(O47&lt;1," ",(O47)/$D47))</f>
        <v xml:space="preserve"> </v>
      </c>
      <c r="Q47" s="400"/>
      <c r="R47" s="534" t="str">
        <f>IF($D47&lt;1," ",IF(Q47&lt;1," ",(Q47)/$D47))</f>
        <v xml:space="preserve"> </v>
      </c>
      <c r="S47" s="400"/>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567"/>
      <c r="AD47" s="1570">
        <f>+E47+G47+I47+K47+M47+O47+Q47+S47+U47+W47+Y47+AA47</f>
        <v>0</v>
      </c>
      <c r="AE47" s="401">
        <f>D47-AD47</f>
        <v>0</v>
      </c>
      <c r="AF47" s="777"/>
      <c r="AG47" s="1571" t="str">
        <f>IF(AD47=D47,"","Prior Year Transactions should be zero'd out by Year End")</f>
        <v/>
      </c>
    </row>
    <row r="48" spans="1:33" ht="16.5" thickBot="1">
      <c r="A48" s="70" t="s">
        <v>111</v>
      </c>
      <c r="B48" s="371"/>
      <c r="C48" s="71"/>
      <c r="D48" s="1077">
        <f>+D43+D44-D45-D46-D47</f>
        <v>0</v>
      </c>
      <c r="E48" s="1045">
        <f>+E43+E44-E45-E46-E47</f>
        <v>0</v>
      </c>
      <c r="F48" s="540"/>
      <c r="G48" s="1054">
        <f>+G43+G44-G45-G46-G47</f>
        <v>0</v>
      </c>
      <c r="H48" s="540"/>
      <c r="I48" s="1054">
        <f>+I43+I44-I45-I46-I47</f>
        <v>0</v>
      </c>
      <c r="J48" s="540"/>
      <c r="K48" s="1054">
        <f>+K43+K44-K45-K46-K47</f>
        <v>0</v>
      </c>
      <c r="L48" s="524"/>
      <c r="M48" s="1045">
        <f>+M43+M44-M45-M46-M47</f>
        <v>0</v>
      </c>
      <c r="N48" s="198"/>
      <c r="O48" s="1054">
        <f>+O43+O44-O45-O46-O47</f>
        <v>0</v>
      </c>
      <c r="P48" s="198"/>
      <c r="Q48" s="1054">
        <f>+Q43+Q44-Q45-Q46-Q47</f>
        <v>0</v>
      </c>
      <c r="R48" s="540"/>
      <c r="S48" s="1054">
        <f>+S43+S44-S45-S46-S47</f>
        <v>0</v>
      </c>
      <c r="T48" s="198"/>
      <c r="U48" s="1054">
        <f>+U43+U44-U45-U46-U47</f>
        <v>0</v>
      </c>
      <c r="V48" s="198"/>
      <c r="W48" s="1054">
        <f>+W43+W44-W45-W46-W47</f>
        <v>0</v>
      </c>
      <c r="X48" s="198"/>
      <c r="Y48" s="1054">
        <f>+Y43+Y44-Y45-Y46-Y47</f>
        <v>0</v>
      </c>
      <c r="Z48" s="198"/>
      <c r="AA48" s="1054">
        <f>+AA43+AA44-AA45-AA46-AA47</f>
        <v>0</v>
      </c>
      <c r="AB48" s="198"/>
      <c r="AC48" s="1564"/>
      <c r="AD48" s="776">
        <f>+AD43+AD44-AD45-AD46-AD47</f>
        <v>0</v>
      </c>
      <c r="AE48" s="776">
        <f>+AE43+AE44-AE45-AE46-AE47</f>
        <v>0</v>
      </c>
      <c r="AF48" s="1042"/>
    </row>
    <row r="49" spans="1:33" ht="15.75">
      <c r="A49" s="409"/>
      <c r="B49" s="372"/>
      <c r="C49" s="72"/>
      <c r="D49" s="530"/>
      <c r="E49" s="193"/>
      <c r="F49" s="197"/>
      <c r="G49" s="193"/>
      <c r="H49" s="197"/>
      <c r="I49" s="193"/>
      <c r="J49" s="197"/>
      <c r="K49" s="193"/>
      <c r="L49" s="521"/>
      <c r="M49" s="193"/>
      <c r="N49" s="197"/>
      <c r="O49" s="193"/>
      <c r="P49" s="197"/>
      <c r="Q49" s="193"/>
      <c r="R49" s="197"/>
      <c r="S49" s="193"/>
      <c r="T49" s="197"/>
      <c r="U49" s="193"/>
      <c r="V49" s="197"/>
      <c r="W49" s="193"/>
      <c r="X49" s="197"/>
      <c r="Y49" s="193"/>
      <c r="Z49" s="197"/>
      <c r="AA49" s="193"/>
      <c r="AB49" s="197"/>
      <c r="AC49" s="1024"/>
      <c r="AD49" s="1024"/>
      <c r="AE49" s="1024"/>
      <c r="AF49" s="1040"/>
    </row>
    <row r="50" spans="1:33" ht="15.75">
      <c r="A50" s="67" t="s">
        <v>116</v>
      </c>
      <c r="B50" s="181"/>
      <c r="C50" s="375"/>
      <c r="D50" s="1071"/>
      <c r="E50" s="528"/>
      <c r="F50" s="533"/>
      <c r="G50" s="528"/>
      <c r="H50" s="533"/>
      <c r="I50" s="528"/>
      <c r="J50" s="533"/>
      <c r="K50" s="528"/>
      <c r="L50" s="551"/>
      <c r="M50" s="528"/>
      <c r="N50" s="533"/>
      <c r="O50" s="528"/>
      <c r="P50" s="533"/>
      <c r="Q50" s="528"/>
      <c r="R50" s="533"/>
      <c r="S50" s="528"/>
      <c r="T50" s="533"/>
      <c r="U50" s="528"/>
      <c r="V50" s="533"/>
      <c r="W50" s="528"/>
      <c r="X50" s="533"/>
      <c r="Y50" s="528"/>
      <c r="Z50" s="533"/>
      <c r="AA50" s="528"/>
      <c r="AB50" s="533"/>
      <c r="AC50" s="1028"/>
      <c r="AD50" s="1028"/>
      <c r="AE50" s="1028"/>
      <c r="AF50" s="1036"/>
    </row>
    <row r="51" spans="1:33" ht="15.75">
      <c r="A51" s="1816" t="s">
        <v>514</v>
      </c>
      <c r="B51" s="1817"/>
      <c r="C51" s="378"/>
      <c r="D51" s="1599"/>
      <c r="E51" s="399"/>
      <c r="F51" s="341" t="str">
        <f>IF($AE51&lt;1," ",IF(E51&lt;1," ",(E51)/$AE51))</f>
        <v xml:space="preserve"> </v>
      </c>
      <c r="G51" s="400"/>
      <c r="H51" s="341" t="str">
        <f>IF($AE51&lt;1," ",IF(G51&lt;1," ",(G51)/$AE51))</f>
        <v xml:space="preserve"> </v>
      </c>
      <c r="I51" s="400"/>
      <c r="J51" s="341" t="str">
        <f>IF($AE51&lt;1," ",IF(I51&lt;1," ",(I51)/$AE51))</f>
        <v xml:space="preserve"> </v>
      </c>
      <c r="K51" s="400"/>
      <c r="L51" s="341" t="str">
        <f>IF($AE51&lt;1," ",IF(K51&lt;1," ",(K51)/$AE51))</f>
        <v xml:space="preserve"> </v>
      </c>
      <c r="M51" s="400"/>
      <c r="N51" s="534" t="str">
        <f>IF($AE51&lt;1," ",IF(M51&lt;1," ",(M51)/$AE51))</f>
        <v xml:space="preserve"> </v>
      </c>
      <c r="O51" s="400"/>
      <c r="P51" s="341" t="str">
        <f>IF($AE51&lt;1," ",IF(O51&lt;1," ",(O51)/$AE51))</f>
        <v xml:space="preserve"> </v>
      </c>
      <c r="Q51" s="400"/>
      <c r="R51" s="534" t="str">
        <f>IF($AE51&lt;1," ",IF(Q51&lt;1," ",(Q51)/$AE51))</f>
        <v xml:space="preserve"> </v>
      </c>
      <c r="S51" s="514"/>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400"/>
      <c r="AD51" s="381">
        <f>D51+E51+G51+I51+K51+M51+O51+Q51+S51+U51+W51+Y51+AA51+AC51</f>
        <v>0</v>
      </c>
      <c r="AE51" s="778"/>
      <c r="AF51" s="779"/>
      <c r="AG51" s="1203"/>
    </row>
    <row r="52" spans="1:33" ht="15.75">
      <c r="A52" s="1816"/>
      <c r="B52" s="1817"/>
      <c r="C52" s="397"/>
      <c r="D52" s="1599"/>
      <c r="E52" s="399"/>
      <c r="F52" s="341" t="str">
        <f>IF($AE52&lt;1," ",IF(E52&lt;1," ",(E52)/$AE52))</f>
        <v xml:space="preserve"> </v>
      </c>
      <c r="G52" s="400"/>
      <c r="H52" s="341" t="str">
        <f>IF($AE52&lt;1," ",IF(G52&lt;1," ",(G52)/$AE52))</f>
        <v xml:space="preserve"> </v>
      </c>
      <c r="I52" s="400"/>
      <c r="J52" s="341" t="str">
        <f>IF($AE52&lt;1," ",IF(I52&lt;1," ",(I52)/$AE52))</f>
        <v xml:space="preserve"> </v>
      </c>
      <c r="K52" s="400"/>
      <c r="L52" s="341" t="str">
        <f>IF($AE52&lt;1," ",IF(K52&lt;1," ",(K52)/$AE52))</f>
        <v xml:space="preserve"> </v>
      </c>
      <c r="M52" s="400"/>
      <c r="N52" s="534" t="str">
        <f>IF($AE52&lt;1," ",IF(M52&lt;1," ",(M52)/$AE52))</f>
        <v xml:space="preserve"> </v>
      </c>
      <c r="O52" s="400"/>
      <c r="P52" s="341" t="str">
        <f>IF($AE52&lt;1," ",IF(O52&lt;1," ",(O52)/$AE52))</f>
        <v xml:space="preserve"> </v>
      </c>
      <c r="Q52" s="400"/>
      <c r="R52" s="534" t="str">
        <f>IF($AE52&lt;1," ",IF(Q52&lt;1," ",(Q52)/$AE52))</f>
        <v xml:space="preserve"> </v>
      </c>
      <c r="S52" s="514"/>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400"/>
      <c r="AD52" s="381">
        <f>+E52+G52+I52+K52+M52+O52+Q52+S52+U52+W52+Y52+AA52+AC52</f>
        <v>0</v>
      </c>
      <c r="AE52" s="780"/>
      <c r="AF52" s="781"/>
      <c r="AG52" s="1223"/>
    </row>
    <row r="53" spans="1:33" ht="15.75">
      <c r="A53" s="1816"/>
      <c r="B53" s="1817"/>
      <c r="C53" s="378"/>
      <c r="D53" s="1599"/>
      <c r="E53" s="399"/>
      <c r="F53" s="341" t="str">
        <f>IF($AE53&lt;1," ",IF(E53&lt;1," ",(E53)/$AE53))</f>
        <v xml:space="preserve"> </v>
      </c>
      <c r="G53" s="400"/>
      <c r="H53" s="341" t="str">
        <f>IF($AE53&lt;1," ",IF(G53&lt;1," ",(G53)/$AE53))</f>
        <v xml:space="preserve"> </v>
      </c>
      <c r="I53" s="400"/>
      <c r="J53" s="341" t="str">
        <f>IF($AE53&lt;1," ",IF(I53&lt;1," ",(I53)/$AE53))</f>
        <v xml:space="preserve"> </v>
      </c>
      <c r="K53" s="400"/>
      <c r="L53" s="341" t="str">
        <f>IF($AE53&lt;1," ",IF(K53&lt;1," ",(K53)/$AE53))</f>
        <v xml:space="preserve"> </v>
      </c>
      <c r="M53" s="400"/>
      <c r="N53" s="534" t="str">
        <f>IF($AE53&lt;1," ",IF(M53&lt;1," ",(M53)/$AE53))</f>
        <v xml:space="preserve"> </v>
      </c>
      <c r="O53" s="400"/>
      <c r="P53" s="341" t="str">
        <f>IF($AE53&lt;1," ",IF(O53&lt;1," ",(O53)/$AE53))</f>
        <v xml:space="preserve"> </v>
      </c>
      <c r="Q53" s="400"/>
      <c r="R53" s="534" t="str">
        <f>IF($AE53&lt;1," ",IF(Q53&lt;1," ",(Q53)/$AE53))</f>
        <v xml:space="preserve"> </v>
      </c>
      <c r="S53" s="514"/>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400"/>
      <c r="AD53" s="381">
        <f>+E53+G53+I53+K53+M53+O53+Q53+S53+U53+W53+Y53+AA53+AC53</f>
        <v>0</v>
      </c>
      <c r="AE53" s="780"/>
      <c r="AF53" s="781"/>
      <c r="AG53" s="1223"/>
    </row>
    <row r="54" spans="1:33" ht="15.75">
      <c r="A54" s="1816"/>
      <c r="B54" s="1817"/>
      <c r="C54" s="378"/>
      <c r="D54" s="1599"/>
      <c r="E54" s="399"/>
      <c r="F54" s="341" t="str">
        <f>IF($AE54&lt;1," ",IF(E54&lt;1," ",(E54)/$AE54))</f>
        <v xml:space="preserve"> </v>
      </c>
      <c r="G54" s="400"/>
      <c r="H54" s="341" t="str">
        <f>IF($AE54&lt;1," ",IF(G54&lt;1," ",(G54)/$AE54))</f>
        <v xml:space="preserve"> </v>
      </c>
      <c r="I54" s="400"/>
      <c r="J54" s="341" t="str">
        <f>IF($AE54&lt;1," ",IF(I54&lt;1," ",(I54)/$AE54))</f>
        <v xml:space="preserve"> </v>
      </c>
      <c r="K54" s="400"/>
      <c r="L54" s="341" t="str">
        <f>IF($AE54&lt;1," ",IF(K54&lt;1," ",(K54)/$AE54))</f>
        <v xml:space="preserve"> </v>
      </c>
      <c r="M54" s="400"/>
      <c r="N54" s="534" t="str">
        <f>IF($AE54&lt;1," ",IF(M54&lt;1," ",(M54)/$AE54))</f>
        <v xml:space="preserve"> </v>
      </c>
      <c r="O54" s="400"/>
      <c r="P54" s="341" t="str">
        <f>IF($AE54&lt;1," ",IF(O54&lt;1," ",(O54)/$AE54))</f>
        <v xml:space="preserve"> </v>
      </c>
      <c r="Q54" s="400"/>
      <c r="R54" s="534" t="str">
        <f>IF($AE54&lt;1," ",IF(Q54&lt;1," ",(Q54)/$AE54))</f>
        <v xml:space="preserve"> </v>
      </c>
      <c r="S54" s="514"/>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400"/>
      <c r="AD54" s="381">
        <f>+E54+G54+I54+K54+M54+O54+Q54+S54+U54+W54+Y54+AA54+AC54</f>
        <v>0</v>
      </c>
      <c r="AE54" s="780"/>
      <c r="AF54" s="781"/>
      <c r="AG54" s="1203"/>
    </row>
    <row r="55" spans="1:33" ht="15.75">
      <c r="A55" s="1816"/>
      <c r="B55" s="1817"/>
      <c r="C55" s="378"/>
      <c r="D55" s="1599"/>
      <c r="E55" s="399"/>
      <c r="F55" s="341" t="str">
        <f>IF($AE55&lt;1," ",IF(E55&lt;1," ",(E55)/$AE55))</f>
        <v xml:space="preserve"> </v>
      </c>
      <c r="G55" s="400"/>
      <c r="H55" s="341" t="str">
        <f>IF($AE55&lt;1," ",IF(G55&lt;1," ",(G55)/$AE55))</f>
        <v xml:space="preserve"> </v>
      </c>
      <c r="I55" s="400"/>
      <c r="J55" s="341" t="str">
        <f>IF($AE55&lt;1," ",IF(I55&lt;1," ",(I55)/$AE55))</f>
        <v xml:space="preserve"> </v>
      </c>
      <c r="K55" s="400"/>
      <c r="L55" s="341" t="str">
        <f>IF($AE55&lt;1," ",IF(K55&lt;1," ",(K55)/$AE55))</f>
        <v xml:space="preserve"> </v>
      </c>
      <c r="M55" s="400"/>
      <c r="N55" s="534" t="str">
        <f>IF($AE55&lt;1," ",IF(M55&lt;1," ",(M55)/$AE55))</f>
        <v xml:space="preserve"> </v>
      </c>
      <c r="O55" s="400"/>
      <c r="P55" s="341" t="str">
        <f>IF($AE55&lt;1," ",IF(O55&lt;1," ",(O55)/$AE55))</f>
        <v xml:space="preserve"> </v>
      </c>
      <c r="Q55" s="400"/>
      <c r="R55" s="534" t="str">
        <f>IF($AE55&lt;1," ",IF(Q55&lt;1," ",(Q55)/$AE55))</f>
        <v xml:space="preserve"> </v>
      </c>
      <c r="S55" s="514"/>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400"/>
      <c r="AD55" s="381">
        <f>+E55+G55+I55+K55+M55+O55+Q55+S55+U55+W55+Y55+AA55+AC55</f>
        <v>0</v>
      </c>
      <c r="AE55" s="780"/>
      <c r="AF55" s="781"/>
      <c r="AG55" s="1203"/>
    </row>
    <row r="56" spans="1:33" ht="16.5" thickBot="1">
      <c r="A56" s="70" t="s">
        <v>112</v>
      </c>
      <c r="B56" s="371"/>
      <c r="C56" s="71"/>
      <c r="D56" s="1077">
        <f>SUM(D51:D55)</f>
        <v>0</v>
      </c>
      <c r="E56" s="773">
        <f>SUM(E51:E55)</f>
        <v>0</v>
      </c>
      <c r="F56" s="386" t="s">
        <v>2</v>
      </c>
      <c r="G56" s="774">
        <f>SUM(G51:G55)</f>
        <v>0</v>
      </c>
      <c r="H56" s="386" t="s">
        <v>2</v>
      </c>
      <c r="I56" s="774">
        <f>SUM(I51:I55)</f>
        <v>0</v>
      </c>
      <c r="J56" s="386" t="s">
        <v>2</v>
      </c>
      <c r="K56" s="774">
        <f>SUM(K51:K55)</f>
        <v>0</v>
      </c>
      <c r="L56" s="386" t="s">
        <v>2</v>
      </c>
      <c r="M56" s="774">
        <f>SUM(M51:M55)</f>
        <v>0</v>
      </c>
      <c r="N56" s="536" t="s">
        <v>2</v>
      </c>
      <c r="O56" s="774">
        <f>SUM(O51:O55)</f>
        <v>0</v>
      </c>
      <c r="P56" s="386" t="s">
        <v>2</v>
      </c>
      <c r="Q56" s="774">
        <f>SUM(Q51:Q55)</f>
        <v>0</v>
      </c>
      <c r="R56" s="536" t="s">
        <v>2</v>
      </c>
      <c r="S56" s="775">
        <f>SUM(S51:S55)</f>
        <v>0</v>
      </c>
      <c r="T56" s="386" t="s">
        <v>2</v>
      </c>
      <c r="U56" s="774">
        <f>SUM(U51:U55)</f>
        <v>0</v>
      </c>
      <c r="V56" s="386" t="s">
        <v>2</v>
      </c>
      <c r="W56" s="774">
        <f>SUM(W51:W55)</f>
        <v>0</v>
      </c>
      <c r="X56" s="386" t="s">
        <v>2</v>
      </c>
      <c r="Y56" s="774">
        <f>SUM(Y51:Y55)</f>
        <v>0</v>
      </c>
      <c r="Z56" s="386" t="s">
        <v>2</v>
      </c>
      <c r="AA56" s="774">
        <f>SUM(AA51:AA55)</f>
        <v>0</v>
      </c>
      <c r="AB56" s="386" t="s">
        <v>2</v>
      </c>
      <c r="AC56" s="774">
        <f>SUM(AC51:AC55)</f>
        <v>0</v>
      </c>
      <c r="AD56" s="776">
        <f>SUM(AD51:AD55)</f>
        <v>0</v>
      </c>
      <c r="AE56" s="782"/>
      <c r="AF56" s="783"/>
      <c r="AG56" s="1203"/>
    </row>
    <row r="57" spans="1:33" ht="15.75">
      <c r="A57" s="69"/>
      <c r="B57" s="183"/>
      <c r="C57" s="23"/>
      <c r="D57" s="531"/>
      <c r="E57" s="1049"/>
      <c r="F57" s="541"/>
      <c r="G57" s="394"/>
      <c r="H57" s="541"/>
      <c r="I57" s="394"/>
      <c r="J57" s="541"/>
      <c r="K57" s="394"/>
      <c r="L57" s="313"/>
      <c r="M57" s="1049"/>
      <c r="N57" s="1053"/>
      <c r="O57" s="394"/>
      <c r="P57" s="52"/>
      <c r="Q57" s="394"/>
      <c r="R57" s="541"/>
      <c r="S57" s="394"/>
      <c r="T57" s="52"/>
      <c r="U57" s="394"/>
      <c r="V57" s="52"/>
      <c r="W57" s="394"/>
      <c r="X57" s="52"/>
      <c r="Y57" s="394"/>
      <c r="Z57" s="52"/>
      <c r="AA57" s="394"/>
      <c r="AB57" s="52"/>
      <c r="AC57" s="1568"/>
      <c r="AD57" s="1036"/>
      <c r="AE57" s="1037"/>
      <c r="AF57" s="1043"/>
      <c r="AG57" s="1203"/>
    </row>
    <row r="58" spans="1:33" ht="16.5" thickBot="1">
      <c r="A58" s="402" t="s">
        <v>115</v>
      </c>
      <c r="B58" s="403"/>
      <c r="C58" s="378"/>
      <c r="D58" s="1068"/>
      <c r="E58" s="775">
        <f>+E23-E34+E39+E48+E56</f>
        <v>-43347.041418260196</v>
      </c>
      <c r="F58" s="536"/>
      <c r="G58" s="774">
        <f>+G23-G34+G39+G48+G56</f>
        <v>-43347.041418260196</v>
      </c>
      <c r="H58" s="536"/>
      <c r="I58" s="774">
        <f>+I23-I34+I39+I48+I56</f>
        <v>-43347.041418260196</v>
      </c>
      <c r="J58" s="536"/>
      <c r="K58" s="774">
        <f>+K23-K34+K39+K48+K56</f>
        <v>-43347.041418260196</v>
      </c>
      <c r="L58" s="518"/>
      <c r="M58" s="775">
        <f>+M23-M34+M39+M48+M56</f>
        <v>-43347.041418260196</v>
      </c>
      <c r="N58" s="386"/>
      <c r="O58" s="774">
        <f>+O23-O34+O39+O48+O56</f>
        <v>-43347.041418260196</v>
      </c>
      <c r="P58" s="386"/>
      <c r="Q58" s="774">
        <f>+Q23-Q34+Q39+Q48+Q56</f>
        <v>-43347.041418260196</v>
      </c>
      <c r="R58" s="536"/>
      <c r="S58" s="774">
        <f>+S23-S34+S39+S48+S56</f>
        <v>-43347.041418260196</v>
      </c>
      <c r="T58" s="386"/>
      <c r="U58" s="774">
        <f>+U23-U34+U39+U48+U56</f>
        <v>-43347.041418260196</v>
      </c>
      <c r="V58" s="386"/>
      <c r="W58" s="774">
        <f>+W23-W34+W39+W48+W56</f>
        <v>-43347.041418260196</v>
      </c>
      <c r="X58" s="386"/>
      <c r="Y58" s="774">
        <f>+Y23-Y34+Y39+Y48+Y56</f>
        <v>-43347.041418260196</v>
      </c>
      <c r="Z58" s="386"/>
      <c r="AA58" s="774">
        <f>+AA23-AA34+AA39+AA48+AA56</f>
        <v>316652.9585817398</v>
      </c>
      <c r="AB58" s="386"/>
      <c r="AC58" s="1564">
        <f>+AC23-AC34+AC39+AC48+AC56</f>
        <v>0</v>
      </c>
      <c r="AD58" s="776">
        <f>+AD23-AD34+AD39+AD48+AD56</f>
        <v>-160164.49701912235</v>
      </c>
      <c r="AE58" s="782"/>
      <c r="AF58" s="783"/>
      <c r="AG58" s="1203"/>
    </row>
    <row r="59" spans="1:33" ht="16.5" thickBot="1">
      <c r="A59" s="70"/>
      <c r="B59" s="371"/>
      <c r="C59" s="71"/>
      <c r="D59" s="1078"/>
      <c r="E59" s="22"/>
      <c r="F59" s="540"/>
      <c r="G59" s="396"/>
      <c r="H59" s="540"/>
      <c r="I59" s="396"/>
      <c r="J59" s="540"/>
      <c r="K59" s="396"/>
      <c r="L59" s="524"/>
      <c r="M59" s="22"/>
      <c r="N59" s="198"/>
      <c r="O59" s="396"/>
      <c r="P59" s="198"/>
      <c r="Q59" s="396"/>
      <c r="R59" s="540"/>
      <c r="S59" s="396"/>
      <c r="T59" s="198"/>
      <c r="U59" s="396"/>
      <c r="V59" s="198"/>
      <c r="W59" s="396"/>
      <c r="X59" s="198"/>
      <c r="Y59" s="396"/>
      <c r="Z59" s="198"/>
      <c r="AA59" s="396"/>
      <c r="AB59" s="198"/>
      <c r="AC59" s="1569"/>
      <c r="AD59" s="192"/>
      <c r="AE59" s="782"/>
      <c r="AF59" s="783"/>
      <c r="AG59" s="1203"/>
    </row>
    <row r="60" spans="1:33" ht="16.5" thickBot="1">
      <c r="A60" s="70" t="s">
        <v>113</v>
      </c>
      <c r="B60" s="371"/>
      <c r="C60" s="71"/>
      <c r="D60" s="1078"/>
      <c r="E60" s="1045">
        <f>+E6+E58</f>
        <v>1022274.7985817401</v>
      </c>
      <c r="F60" s="540"/>
      <c r="G60" s="1054">
        <f>+G6+G58</f>
        <v>978927.75716347992</v>
      </c>
      <c r="H60" s="540"/>
      <c r="I60" s="1054">
        <f>+I6+I58</f>
        <v>935580.71574521973</v>
      </c>
      <c r="J60" s="540"/>
      <c r="K60" s="1054">
        <f>+K6+K58</f>
        <v>892233.67432695953</v>
      </c>
      <c r="L60" s="524"/>
      <c r="M60" s="1045">
        <f>+M6+M58</f>
        <v>848886.63290869934</v>
      </c>
      <c r="N60" s="198"/>
      <c r="O60" s="1054">
        <f>+O6+O58</f>
        <v>805539.59149043914</v>
      </c>
      <c r="P60" s="198"/>
      <c r="Q60" s="1054">
        <f>+Q6+Q58</f>
        <v>762192.55007217894</v>
      </c>
      <c r="R60" s="540"/>
      <c r="S60" s="1054">
        <f>+S6+S58</f>
        <v>718845.50865391875</v>
      </c>
      <c r="T60" s="198"/>
      <c r="U60" s="1054">
        <f>+U6+U58</f>
        <v>675498.46723565855</v>
      </c>
      <c r="V60" s="198"/>
      <c r="W60" s="1054">
        <f>+W6+W58</f>
        <v>632151.42581739835</v>
      </c>
      <c r="X60" s="198"/>
      <c r="Y60" s="1054">
        <f>+Y6+Y58</f>
        <v>588804.38439913816</v>
      </c>
      <c r="Z60" s="198"/>
      <c r="AA60" s="1054">
        <f>+AA6+AA58</f>
        <v>905457.34298087796</v>
      </c>
      <c r="AB60" s="198"/>
      <c r="AC60" s="1564">
        <f>+AC6+AC58</f>
        <v>905457.34298087796</v>
      </c>
      <c r="AD60" s="1241"/>
      <c r="AE60" s="1038"/>
      <c r="AF60" s="1044"/>
      <c r="AG60" s="1203"/>
    </row>
    <row r="62" spans="1:33" ht="16.5">
      <c r="AB62" s="1573" t="s">
        <v>502</v>
      </c>
      <c r="AC62" s="1574">
        <f>'1st Interim-Summary MYP'!G55</f>
        <v>33526.507302450424</v>
      </c>
    </row>
    <row r="63" spans="1:33" ht="17.25" thickBot="1">
      <c r="AB63" s="1575" t="s">
        <v>503</v>
      </c>
      <c r="AC63" s="1577">
        <f>AC60-AC62</f>
        <v>871930.83567842748</v>
      </c>
    </row>
    <row r="64" spans="1:33" ht="13.5" thickTop="1"/>
  </sheetData>
  <sheetProtection password="D94D" sheet="1"/>
  <mergeCells count="11">
    <mergeCell ref="T1:Z1"/>
    <mergeCell ref="A55:B55"/>
    <mergeCell ref="G2:K2"/>
    <mergeCell ref="D40:D42"/>
    <mergeCell ref="E7:L7"/>
    <mergeCell ref="F1:L1"/>
    <mergeCell ref="AE40:AE42"/>
    <mergeCell ref="A51:B51"/>
    <mergeCell ref="A52:B52"/>
    <mergeCell ref="A53:B53"/>
    <mergeCell ref="A54:B54"/>
  </mergeCells>
  <conditionalFormatting sqref="F1">
    <cfRule type="containsText" dxfId="174" priority="8" stopIfTrue="1" operator="containsText" text="Enter">
      <formula>NOT(ISERROR(SEARCH("Enter",F1)))</formula>
    </cfRule>
  </conditionalFormatting>
  <conditionalFormatting sqref="T1">
    <cfRule type="containsText" dxfId="173" priority="6" stopIfTrue="1" operator="containsText" text="Enter">
      <formula>NOT(ISERROR(SEARCH("Enter",T1)))</formula>
    </cfRule>
  </conditionalFormatting>
  <conditionalFormatting sqref="AD47">
    <cfRule type="cellIs" dxfId="172" priority="1" stopIfTrue="1" operator="notEqual">
      <formula>$D$47</formula>
    </cfRule>
  </conditionalFormatting>
  <conditionalFormatting sqref="AD43">
    <cfRule type="cellIs" dxfId="171" priority="5" stopIfTrue="1" operator="notEqual">
      <formula>$D$43</formula>
    </cfRule>
  </conditionalFormatting>
  <conditionalFormatting sqref="AD44">
    <cfRule type="cellIs" dxfId="170" priority="4" stopIfTrue="1" operator="notEqual">
      <formula>$D$44</formula>
    </cfRule>
  </conditionalFormatting>
  <conditionalFormatting sqref="AD45">
    <cfRule type="cellIs" dxfId="169" priority="3" stopIfTrue="1" operator="notEqual">
      <formula>$D$45</formula>
    </cfRule>
  </conditionalFormatting>
  <conditionalFormatting sqref="AD46">
    <cfRule type="cellIs" dxfId="168" priority="2" stopIfTrue="1" operator="notEqual">
      <formula>$D$46</formula>
    </cfRule>
  </conditionalFormatting>
  <pageMargins left="0.7" right="0.7" top="0.75" bottom="0.75" header="0.3" footer="0.3"/>
  <pageSetup scale="51" fitToWidth="0" orientation="landscape" r:id="rId1"/>
  <headerFooter>
    <oddHeader>&amp;RPage &amp;P of &amp;N</oddHeader>
  </headerFooter>
  <colBreaks count="1" manualBreakCount="1">
    <brk id="18" max="1048575" man="1"/>
  </colBreaks>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tabColor theme="4"/>
    <pageSetUpPr fitToPage="1"/>
  </sheetPr>
  <dimension ref="A1:AG64"/>
  <sheetViews>
    <sheetView showGridLines="0" zoomScale="70" zoomScaleNormal="70" zoomScaleSheetLayoutView="85" workbookViewId="0">
      <pane xSplit="4" ySplit="7" topLeftCell="L48" activePane="bottomRight" state="frozen"/>
      <selection pane="topRight" activeCell="E1" sqref="E1"/>
      <selection pane="bottomLeft" activeCell="A8" sqref="A8"/>
      <selection pane="bottomRight" activeCell="AA39" sqref="AA39"/>
    </sheetView>
  </sheetViews>
  <sheetFormatPr defaultRowHeight="12.75"/>
  <cols>
    <col min="1" max="1" width="2.5703125" customWidth="1"/>
    <col min="2" max="2" width="45.7109375" customWidth="1"/>
    <col min="3" max="3" width="14.7109375" customWidth="1"/>
    <col min="4" max="4" width="12.7109375" customWidth="1"/>
    <col min="5" max="5" width="13.42578125" customWidth="1"/>
    <col min="6" max="6" width="9" bestFit="1" customWidth="1"/>
    <col min="7" max="7" width="13.42578125" customWidth="1"/>
    <col min="8" max="8" width="8.7109375" customWidth="1"/>
    <col min="9" max="9" width="13.42578125" customWidth="1"/>
    <col min="10" max="10" width="8.7109375" customWidth="1"/>
    <col min="11" max="11" width="13.28515625" customWidth="1"/>
    <col min="12" max="12" width="8.7109375" customWidth="1"/>
    <col min="13" max="13" width="13.42578125" customWidth="1"/>
    <col min="14" max="14" width="8.7109375" customWidth="1"/>
    <col min="15" max="15" width="13.7109375" customWidth="1"/>
    <col min="16" max="16" width="8.7109375" customWidth="1"/>
    <col min="17" max="17" width="13.7109375" customWidth="1"/>
    <col min="18" max="18" width="8.7109375" customWidth="1"/>
    <col min="19" max="19" width="13.42578125" customWidth="1"/>
    <col min="20" max="20" width="9.28515625" customWidth="1"/>
    <col min="21" max="21" width="13.42578125" customWidth="1"/>
    <col min="22" max="22" width="9.28515625" customWidth="1"/>
    <col min="23" max="23" width="13.42578125" customWidth="1"/>
    <col min="24" max="24" width="9.28515625" customWidth="1"/>
    <col min="25" max="25" width="13.42578125" customWidth="1"/>
    <col min="26" max="26" width="9.28515625" customWidth="1"/>
    <col min="27" max="27" width="13.7109375" customWidth="1"/>
    <col min="28" max="28" width="9.28515625" customWidth="1"/>
    <col min="29" max="29" width="13.42578125" style="175" customWidth="1"/>
    <col min="30" max="30" width="16.5703125" style="175" customWidth="1"/>
    <col min="31" max="32" width="13.7109375" customWidth="1"/>
    <col min="33" max="33" width="70.5703125" hidden="1" customWidth="1"/>
  </cols>
  <sheetData>
    <row r="1" spans="1:33" ht="16.5" thickBot="1">
      <c r="A1" s="177"/>
      <c r="B1" s="177"/>
      <c r="C1" s="177"/>
      <c r="D1" s="177"/>
      <c r="E1" s="178"/>
      <c r="F1" s="1825" t="str">
        <f>IF('INTERIM-CERTIFICATION'!$M$1="","CHARTER NAME: Enter Charter Name on INTERIM-CERTIFICATION Worksheet",(CONCATENATE("CHARTER NAME: ",'INTERIM-CERTIFICATION'!$M$1)))</f>
        <v>CHARTER NAME: Elite Academic Academy - Virtual Prep Lucerne</v>
      </c>
      <c r="G1" s="1825" t="str">
        <f>IF('INTERIM-CERTIFICATION'!$H$1="","CHARTER NAME: Enter Charter Name on INTERIM-CERTIFICATION Worksheet",(CONCATENATE("CHARTER NAME: ",'INTERIM-CERTIFICATION'!$H$1)))</f>
        <v>CHARTER NAME: Enter Charter Name on INTERIM-CERTIFICATION Worksheet</v>
      </c>
      <c r="H1" s="1825" t="str">
        <f>IF('INTERIM-CERTIFICATION'!$H$1="","CHARTER NAME: Enter Charter Name on INTERIM-CERTIFICATION Worksheet",(CONCATENATE("CHARTER NAME: ",'INTERIM-CERTIFICATION'!$H$1)))</f>
        <v>CHARTER NAME: Enter Charter Name on INTERIM-CERTIFICATION Worksheet</v>
      </c>
      <c r="I1" s="1825"/>
      <c r="J1" s="1825"/>
      <c r="K1" s="1825"/>
      <c r="L1" s="1825"/>
      <c r="M1" s="180"/>
      <c r="N1" s="179"/>
      <c r="O1" s="180"/>
      <c r="P1" s="179"/>
      <c r="Q1" s="180"/>
      <c r="R1" s="179"/>
      <c r="S1" s="180"/>
      <c r="T1" s="1825" t="str">
        <f>F1</f>
        <v>CHARTER NAME: Elite Academic Academy - Virtual Prep Lucerne</v>
      </c>
      <c r="U1" s="1825" t="str">
        <f>IF('INTERIM-CERTIFICATION'!$H$1="","CHARTER NAME: Enter Charter Name on INTERIM-CERTIFICATION Worksheet",(CONCATENATE("CHARTER NAME: ",'INTERIM-CERTIFICATION'!$H$1)))</f>
        <v>CHARTER NAME: Enter Charter Name on INTERIM-CERTIFICATION Worksheet</v>
      </c>
      <c r="V1" s="1825" t="str">
        <f>IF('INTERIM-CERTIFICATION'!$H$1="","CHARTER NAME: Enter Charter Name on INTERIM-CERTIFICATION Worksheet",(CONCATENATE("CHARTER NAME: ",'INTERIM-CERTIFICATION'!$H$1)))</f>
        <v>CHARTER NAME: Enter Charter Name on INTERIM-CERTIFICATION Worksheet</v>
      </c>
      <c r="W1" s="1825"/>
      <c r="X1" s="1825"/>
      <c r="Y1" s="1825"/>
      <c r="Z1" s="1825"/>
      <c r="AA1" s="180"/>
      <c r="AB1" s="179"/>
      <c r="AD1" s="1024"/>
      <c r="AE1" s="1024"/>
      <c r="AF1" s="1024"/>
      <c r="AG1" s="1203"/>
    </row>
    <row r="2" spans="1:33" ht="15.75">
      <c r="B2" s="184" t="s">
        <v>117</v>
      </c>
      <c r="C2" s="97">
        <f>+'1st Interim-Cash Flow Year 1'!C2</f>
        <v>44873</v>
      </c>
      <c r="D2" s="185"/>
      <c r="G2" s="1860" t="str">
        <f>""&amp;'Budget-ADA'!N7&amp;"  First Interim Cash Flow"</f>
        <v>2023-24  First Interim Cash Flow</v>
      </c>
      <c r="H2" s="1860" t="str">
        <f>""&amp;'Budget-ADA'!N7&amp;"  First Interim Cash Flow"</f>
        <v>2023-24  First Interim Cash Flow</v>
      </c>
      <c r="I2" s="1860"/>
      <c r="J2" s="1860"/>
      <c r="K2" s="1860"/>
      <c r="M2" s="180"/>
      <c r="O2" s="180"/>
      <c r="Q2" s="180"/>
      <c r="S2" s="180"/>
      <c r="U2" s="179"/>
      <c r="W2" s="53" t="str">
        <f>G2</f>
        <v>2023-24  First Interim Cash Flow</v>
      </c>
      <c r="Y2" s="179"/>
      <c r="AA2" s="180"/>
      <c r="AC2" s="1024"/>
      <c r="AD2" s="1024"/>
      <c r="AE2" s="1024"/>
      <c r="AF2" s="1024"/>
      <c r="AG2" s="1203"/>
    </row>
    <row r="3" spans="1:33" ht="16.5" thickBot="1">
      <c r="A3" s="1586" t="str">
        <f>Instructions!H1</f>
        <v>Form Orignated 5/16/2022</v>
      </c>
      <c r="B3" s="183"/>
      <c r="C3" s="23"/>
      <c r="D3" s="23"/>
      <c r="E3" s="26"/>
      <c r="F3" s="25"/>
      <c r="G3" s="27"/>
      <c r="H3" s="25"/>
      <c r="I3" s="27"/>
      <c r="J3" s="25"/>
      <c r="K3" s="27"/>
      <c r="L3" s="25"/>
      <c r="M3" s="27"/>
      <c r="N3" s="25"/>
      <c r="O3" s="27"/>
      <c r="P3" s="25"/>
      <c r="Q3" s="27"/>
      <c r="R3" s="25"/>
      <c r="S3" s="27"/>
      <c r="T3" s="25"/>
      <c r="U3" s="27"/>
      <c r="V3" s="25"/>
      <c r="W3" s="27"/>
      <c r="X3" s="25"/>
      <c r="Y3" s="27"/>
      <c r="Z3" s="25"/>
      <c r="AA3" s="27"/>
      <c r="AB3" s="25"/>
      <c r="AC3" s="1024"/>
      <c r="AD3" s="1024"/>
      <c r="AE3" s="1024"/>
      <c r="AF3" s="1024"/>
      <c r="AG3" s="1203"/>
    </row>
    <row r="4" spans="1:33" ht="15.75">
      <c r="A4" s="404"/>
      <c r="B4" s="72"/>
      <c r="C4" s="72"/>
      <c r="D4" s="72"/>
      <c r="E4" s="628" t="s">
        <v>79</v>
      </c>
      <c r="F4" s="405" t="s">
        <v>80</v>
      </c>
      <c r="G4" s="543" t="s">
        <v>81</v>
      </c>
      <c r="H4" s="405" t="s">
        <v>82</v>
      </c>
      <c r="I4" s="543" t="s">
        <v>83</v>
      </c>
      <c r="J4" s="405" t="s">
        <v>82</v>
      </c>
      <c r="K4" s="543" t="s">
        <v>84</v>
      </c>
      <c r="L4" s="405" t="s">
        <v>82</v>
      </c>
      <c r="M4" s="543" t="s">
        <v>85</v>
      </c>
      <c r="N4" s="405" t="s">
        <v>82</v>
      </c>
      <c r="O4" s="543" t="s">
        <v>86</v>
      </c>
      <c r="P4" s="405" t="s">
        <v>82</v>
      </c>
      <c r="Q4" s="543" t="s">
        <v>87</v>
      </c>
      <c r="R4" s="405" t="s">
        <v>82</v>
      </c>
      <c r="S4" s="543" t="s">
        <v>88</v>
      </c>
      <c r="T4" s="405" t="s">
        <v>82</v>
      </c>
      <c r="U4" s="543" t="s">
        <v>89</v>
      </c>
      <c r="V4" s="405" t="s">
        <v>82</v>
      </c>
      <c r="W4" s="543" t="s">
        <v>90</v>
      </c>
      <c r="X4" s="405" t="s">
        <v>82</v>
      </c>
      <c r="Y4" s="543" t="s">
        <v>91</v>
      </c>
      <c r="Z4" s="405" t="s">
        <v>82</v>
      </c>
      <c r="AA4" s="543" t="s">
        <v>92</v>
      </c>
      <c r="AB4" s="405" t="s">
        <v>82</v>
      </c>
      <c r="AC4" s="1025" t="s">
        <v>93</v>
      </c>
      <c r="AD4" s="1033"/>
      <c r="AE4" s="1033" t="s">
        <v>19</v>
      </c>
      <c r="AF4" s="1033"/>
      <c r="AG4" s="1203"/>
    </row>
    <row r="5" spans="1:33" ht="16.5" thickBot="1">
      <c r="A5" s="187"/>
      <c r="B5" s="23"/>
      <c r="C5" s="23"/>
      <c r="D5" s="23"/>
      <c r="E5" s="220" t="s">
        <v>93</v>
      </c>
      <c r="F5" s="1046" t="s">
        <v>94</v>
      </c>
      <c r="G5" s="188" t="s">
        <v>93</v>
      </c>
      <c r="H5" s="1046" t="s">
        <v>94</v>
      </c>
      <c r="I5" s="188" t="s">
        <v>93</v>
      </c>
      <c r="J5" s="1046" t="s">
        <v>94</v>
      </c>
      <c r="K5" s="188" t="s">
        <v>93</v>
      </c>
      <c r="L5" s="1046" t="s">
        <v>94</v>
      </c>
      <c r="M5" s="188" t="s">
        <v>93</v>
      </c>
      <c r="N5" s="1046" t="s">
        <v>94</v>
      </c>
      <c r="O5" s="188" t="s">
        <v>93</v>
      </c>
      <c r="P5" s="61" t="s">
        <v>94</v>
      </c>
      <c r="Q5" s="188" t="s">
        <v>93</v>
      </c>
      <c r="R5" s="1046" t="s">
        <v>94</v>
      </c>
      <c r="S5" s="188" t="s">
        <v>93</v>
      </c>
      <c r="T5" s="61" t="s">
        <v>94</v>
      </c>
      <c r="U5" s="188" t="s">
        <v>93</v>
      </c>
      <c r="V5" s="61" t="s">
        <v>94</v>
      </c>
      <c r="W5" s="188" t="s">
        <v>93</v>
      </c>
      <c r="X5" s="61" t="s">
        <v>94</v>
      </c>
      <c r="Y5" s="188" t="s">
        <v>93</v>
      </c>
      <c r="Z5" s="61" t="s">
        <v>94</v>
      </c>
      <c r="AA5" s="188" t="s">
        <v>93</v>
      </c>
      <c r="AB5" s="61" t="s">
        <v>94</v>
      </c>
      <c r="AC5" s="1026" t="s">
        <v>95</v>
      </c>
      <c r="AD5" s="1034" t="s">
        <v>0</v>
      </c>
      <c r="AE5" s="1034" t="s">
        <v>16</v>
      </c>
      <c r="AF5" s="1034" t="s">
        <v>96</v>
      </c>
      <c r="AG5" s="1203"/>
    </row>
    <row r="6" spans="1:33" ht="17.25" thickTop="1" thickBot="1">
      <c r="A6" s="190" t="s">
        <v>97</v>
      </c>
      <c r="B6" s="181"/>
      <c r="D6" s="414" t="s">
        <v>118</v>
      </c>
      <c r="E6" s="1405">
        <f>'1st Interim-Cash Flow Year 1'!AA60</f>
        <v>905457.34298087796</v>
      </c>
      <c r="F6" s="62"/>
      <c r="G6" s="191">
        <f>E60</f>
        <v>817466.83363470295</v>
      </c>
      <c r="H6" s="62"/>
      <c r="I6" s="191">
        <f>G60</f>
        <v>729476.32428852795</v>
      </c>
      <c r="J6" s="62"/>
      <c r="K6" s="191">
        <f>I60</f>
        <v>641485.81494235294</v>
      </c>
      <c r="L6" s="62"/>
      <c r="M6" s="191">
        <f>K60</f>
        <v>553495.30559617793</v>
      </c>
      <c r="N6" s="1047"/>
      <c r="O6" s="516">
        <f>M60</f>
        <v>465504.79625000292</v>
      </c>
      <c r="P6" s="62"/>
      <c r="Q6" s="516">
        <f>O60</f>
        <v>377514.28690382792</v>
      </c>
      <c r="R6" s="62"/>
      <c r="S6" s="516">
        <f>Q60</f>
        <v>789523.77755765291</v>
      </c>
      <c r="T6" s="62"/>
      <c r="U6" s="191">
        <f>S60</f>
        <v>701533.2682114779</v>
      </c>
      <c r="V6" s="62"/>
      <c r="W6" s="191">
        <f>U60</f>
        <v>613542.75886530289</v>
      </c>
      <c r="X6" s="62"/>
      <c r="Y6" s="191">
        <f>W60</f>
        <v>525552.24951912789</v>
      </c>
      <c r="Z6" s="62"/>
      <c r="AA6" s="191">
        <f>Y60</f>
        <v>437561.74017295288</v>
      </c>
      <c r="AB6" s="62"/>
      <c r="AC6" s="391">
        <f>+AA60</f>
        <v>949571.23082677787</v>
      </c>
      <c r="AD6" s="58"/>
      <c r="AE6" s="58"/>
      <c r="AF6" s="58"/>
      <c r="AG6" s="1203"/>
    </row>
    <row r="7" spans="1:33" ht="16.5" thickTop="1">
      <c r="A7" s="406"/>
      <c r="B7" s="370"/>
      <c r="C7" s="65"/>
      <c r="D7" s="65"/>
      <c r="E7" s="1069"/>
      <c r="F7" s="1055"/>
      <c r="G7" s="1055"/>
      <c r="H7" s="1055"/>
      <c r="I7" s="1055"/>
      <c r="J7" s="1055"/>
      <c r="K7" s="1055"/>
      <c r="L7" s="1055"/>
      <c r="M7" s="66"/>
      <c r="N7" s="63"/>
      <c r="O7" s="66"/>
      <c r="P7" s="63"/>
      <c r="Q7" s="66"/>
      <c r="R7" s="63"/>
      <c r="S7" s="66"/>
      <c r="T7" s="63"/>
      <c r="U7" s="66"/>
      <c r="V7" s="63"/>
      <c r="W7" s="66"/>
      <c r="X7" s="63"/>
      <c r="Y7" s="66"/>
      <c r="Z7" s="63"/>
      <c r="AA7" s="66"/>
      <c r="AB7" s="63"/>
      <c r="AC7" s="1027"/>
      <c r="AD7" s="1027"/>
      <c r="AE7" s="1027"/>
      <c r="AF7" s="1039"/>
      <c r="AG7" s="1203"/>
    </row>
    <row r="8" spans="1:33" ht="15.75">
      <c r="A8" s="67" t="s">
        <v>98</v>
      </c>
      <c r="B8" s="525"/>
      <c r="C8" s="375"/>
      <c r="D8" s="375"/>
      <c r="E8" s="376"/>
      <c r="F8" s="166"/>
      <c r="G8" s="377"/>
      <c r="H8" s="166"/>
      <c r="I8" s="377"/>
      <c r="J8" s="166"/>
      <c r="K8" s="377"/>
      <c r="L8" s="166"/>
      <c r="M8" s="377"/>
      <c r="N8" s="166"/>
      <c r="O8" s="377"/>
      <c r="P8" s="166"/>
      <c r="Q8" s="377"/>
      <c r="R8" s="166"/>
      <c r="S8" s="377"/>
      <c r="T8" s="166"/>
      <c r="U8" s="377"/>
      <c r="V8" s="166"/>
      <c r="W8" s="377"/>
      <c r="X8" s="166"/>
      <c r="Y8" s="377"/>
      <c r="Z8" s="166"/>
      <c r="AA8" s="377"/>
      <c r="AB8" s="166"/>
      <c r="AC8" s="1028"/>
      <c r="AD8" s="1028"/>
      <c r="AE8" s="1028"/>
      <c r="AF8" s="1036"/>
      <c r="AG8" s="1203"/>
    </row>
    <row r="9" spans="1:33" ht="15.75">
      <c r="A9" s="407" t="s">
        <v>306</v>
      </c>
      <c r="B9" s="147"/>
      <c r="C9" s="141"/>
      <c r="D9" s="378"/>
      <c r="E9" s="387"/>
      <c r="F9" s="388"/>
      <c r="G9" s="512"/>
      <c r="H9" s="388"/>
      <c r="I9" s="512"/>
      <c r="J9" s="388"/>
      <c r="K9" s="512"/>
      <c r="L9" s="388"/>
      <c r="M9" s="512"/>
      <c r="N9" s="388"/>
      <c r="O9" s="512"/>
      <c r="P9" s="388"/>
      <c r="Q9" s="512"/>
      <c r="R9" s="388"/>
      <c r="S9" s="512"/>
      <c r="T9" s="388"/>
      <c r="U9" s="512"/>
      <c r="V9" s="388"/>
      <c r="W9" s="512"/>
      <c r="X9" s="388"/>
      <c r="Y9" s="512"/>
      <c r="Z9" s="388"/>
      <c r="AA9" s="512"/>
      <c r="AB9" s="388"/>
      <c r="AC9" s="1029"/>
      <c r="AD9" s="1032"/>
      <c r="AE9" s="1032"/>
      <c r="AF9" s="389"/>
      <c r="AG9" s="1203"/>
    </row>
    <row r="10" spans="1:33" ht="15.75">
      <c r="A10" s="408"/>
      <c r="B10" s="141" t="s">
        <v>155</v>
      </c>
      <c r="C10" s="279">
        <v>8011</v>
      </c>
      <c r="D10" s="378"/>
      <c r="E10" s="379">
        <f>+'1st Interim-Summary MYP'!I13/12</f>
        <v>699578.83333333337</v>
      </c>
      <c r="F10" s="534">
        <f>IF($AE10&lt;1," ",IF(E10&lt;1," ",(E10)/$AE10))</f>
        <v>8.3333333333333343E-2</v>
      </c>
      <c r="G10" s="392">
        <f>+E10</f>
        <v>699578.83333333337</v>
      </c>
      <c r="H10" s="534">
        <f>IF($AE10&lt;1," ",IF(G10&lt;1," ",(G10)/$AE10))</f>
        <v>8.3333333333333343E-2</v>
      </c>
      <c r="I10" s="392">
        <f>+G10</f>
        <v>699578.83333333337</v>
      </c>
      <c r="J10" s="534">
        <f>IF($AE10&lt;1," ",IF(I10&lt;1," ",(I10)/$AE10))</f>
        <v>8.3333333333333343E-2</v>
      </c>
      <c r="K10" s="392">
        <f>+I10</f>
        <v>699578.83333333337</v>
      </c>
      <c r="L10" s="534">
        <f>IF($AE10&lt;1," ",IF(K10&lt;1," ",(K10)/$AE10))</f>
        <v>8.3333333333333343E-2</v>
      </c>
      <c r="M10" s="392">
        <f>+K10</f>
        <v>699578.83333333337</v>
      </c>
      <c r="N10" s="341">
        <f>IF($AE10&lt;1," ",IF(M10&lt;1," ",(M10)/$AE10))</f>
        <v>8.3333333333333343E-2</v>
      </c>
      <c r="O10" s="392">
        <f>+M10</f>
        <v>699578.83333333337</v>
      </c>
      <c r="P10" s="341">
        <f>IF($AE10&lt;1," ",IF(O10&lt;1," ",(O10)/$AE10))</f>
        <v>8.3333333333333343E-2</v>
      </c>
      <c r="Q10" s="392">
        <f>+O10</f>
        <v>699578.83333333337</v>
      </c>
      <c r="R10" s="534">
        <f>IF($AE10&lt;1," ",IF(Q10&lt;1," ",(Q10)/$AE10))</f>
        <v>8.3333333333333343E-2</v>
      </c>
      <c r="S10" s="392">
        <f>+Q10</f>
        <v>699578.83333333337</v>
      </c>
      <c r="T10" s="341">
        <f>IF($AE10&lt;1," ",IF(S10&lt;1," ",(S10)/$AE10))</f>
        <v>8.3333333333333343E-2</v>
      </c>
      <c r="U10" s="392">
        <f>+S10</f>
        <v>699578.83333333337</v>
      </c>
      <c r="V10" s="341">
        <f>IF($AE10&lt;1," ",IF(U10&lt;1," ",(U10)/$AE10))</f>
        <v>8.3333333333333343E-2</v>
      </c>
      <c r="W10" s="392">
        <f>+U10</f>
        <v>699578.83333333337</v>
      </c>
      <c r="X10" s="341">
        <f>IF($AE10&lt;1," ",IF(W10&lt;1," ",(W10)/$AE10))</f>
        <v>8.3333333333333343E-2</v>
      </c>
      <c r="Y10" s="392">
        <f>+W10</f>
        <v>699578.83333333337</v>
      </c>
      <c r="Z10" s="341">
        <f>IF($AE10&lt;1," ",IF(Y10&lt;1," ",(Y10)/$AE10))</f>
        <v>8.3333333333333343E-2</v>
      </c>
      <c r="AA10" s="392">
        <f>+Y10</f>
        <v>699578.83333333337</v>
      </c>
      <c r="AB10" s="341">
        <f>IF($AE10&lt;1," ",IF(AA10&lt;1," ",(AA10)/$AE10))</f>
        <v>8.3333333333333343E-2</v>
      </c>
      <c r="AC10" s="1562">
        <f>AE10-(E10+G10+I10+K10+M10+O10+Q10+S10+U10+W10+Y10+AA10)</f>
        <v>0</v>
      </c>
      <c r="AD10" s="381">
        <f>+E10+G10+I10+K10+M10+O10+Q10+S10+U10+W10+Y10+AA10+AC10</f>
        <v>8394945.9999999981</v>
      </c>
      <c r="AE10" s="381">
        <f>'1st Interim-Summary MYP'!I13</f>
        <v>8394946</v>
      </c>
      <c r="AF10" s="381">
        <f>+AE10-AD10</f>
        <v>0</v>
      </c>
      <c r="AG10" s="1203"/>
    </row>
    <row r="11" spans="1:33" ht="15.75">
      <c r="A11" s="408"/>
      <c r="B11" s="141" t="s">
        <v>156</v>
      </c>
      <c r="C11" s="279">
        <v>8012</v>
      </c>
      <c r="D11" s="378"/>
      <c r="E11" s="379">
        <f>+'1st Interim-Summary MYP'!I14/12</f>
        <v>13116.666666666666</v>
      </c>
      <c r="F11" s="534">
        <f>IF($AE11&lt;1," ",IF(E11&lt;1," ",(E11)/$AE11))</f>
        <v>8.3333333333333329E-2</v>
      </c>
      <c r="G11" s="392">
        <f t="shared" ref="G11:AA22" si="0">+E11</f>
        <v>13116.666666666666</v>
      </c>
      <c r="H11" s="534">
        <f>IF($AE11&lt;1," ",IF(G11&lt;1," ",(G11)/$AE11))</f>
        <v>8.3333333333333329E-2</v>
      </c>
      <c r="I11" s="392">
        <f t="shared" si="0"/>
        <v>13116.666666666666</v>
      </c>
      <c r="J11" s="534">
        <f>IF($AE11&lt;1," ",IF(I11&lt;1," ",(I11)/$AE11))</f>
        <v>8.3333333333333329E-2</v>
      </c>
      <c r="K11" s="392">
        <f t="shared" si="0"/>
        <v>13116.666666666666</v>
      </c>
      <c r="L11" s="534">
        <f>IF($AE11&lt;1," ",IF(K11&lt;1," ",(K11)/$AE11))</f>
        <v>8.3333333333333329E-2</v>
      </c>
      <c r="M11" s="392">
        <f t="shared" si="0"/>
        <v>13116.666666666666</v>
      </c>
      <c r="N11" s="341">
        <f>IF($AE11&lt;1," ",IF(M11&lt;1," ",(M11)/$AE11))</f>
        <v>8.3333333333333329E-2</v>
      </c>
      <c r="O11" s="392">
        <f t="shared" si="0"/>
        <v>13116.666666666666</v>
      </c>
      <c r="P11" s="341">
        <f>IF($AE11&lt;1," ",IF(O11&lt;1," ",(O11)/$AE11))</f>
        <v>8.3333333333333329E-2</v>
      </c>
      <c r="Q11" s="392">
        <f t="shared" si="0"/>
        <v>13116.666666666666</v>
      </c>
      <c r="R11" s="534">
        <f>IF($AE11&lt;1," ",IF(Q11&lt;1," ",(Q11)/$AE11))</f>
        <v>8.3333333333333329E-2</v>
      </c>
      <c r="S11" s="392">
        <f t="shared" si="0"/>
        <v>13116.666666666666</v>
      </c>
      <c r="T11" s="341">
        <f>IF($AE11&lt;1," ",IF(S11&lt;1," ",(S11)/$AE11))</f>
        <v>8.3333333333333329E-2</v>
      </c>
      <c r="U11" s="392">
        <f t="shared" si="0"/>
        <v>13116.666666666666</v>
      </c>
      <c r="V11" s="341">
        <f>IF($AE11&lt;1," ",IF(U11&lt;1," ",(U11)/$AE11))</f>
        <v>8.3333333333333329E-2</v>
      </c>
      <c r="W11" s="392">
        <f t="shared" si="0"/>
        <v>13116.666666666666</v>
      </c>
      <c r="X11" s="341">
        <f>IF($AE11&lt;1," ",IF(W11&lt;1," ",(W11)/$AE11))</f>
        <v>8.3333333333333329E-2</v>
      </c>
      <c r="Y11" s="392">
        <f t="shared" si="0"/>
        <v>13116.666666666666</v>
      </c>
      <c r="Z11" s="341">
        <f>IF($AE11&lt;1," ",IF(Y11&lt;1," ",(Y11)/$AE11))</f>
        <v>8.3333333333333329E-2</v>
      </c>
      <c r="AA11" s="392">
        <f t="shared" si="0"/>
        <v>13116.666666666666</v>
      </c>
      <c r="AB11" s="341">
        <f>IF($AE11&lt;1," ",IF(AA11&lt;1," ",(AA11)/$AE11))</f>
        <v>8.3333333333333329E-2</v>
      </c>
      <c r="AC11" s="1562">
        <f t="shared" ref="AC11:AC22" si="1">AE11-(E11+G11+I11+K11+M11+O11+Q11+S11+U11+W11+Y11+AA11)</f>
        <v>0</v>
      </c>
      <c r="AD11" s="381">
        <f>+E11+G11+I11+K11+M11+O11+Q11+S11+U11+W11+Y11+AA11+AC11</f>
        <v>157400</v>
      </c>
      <c r="AE11" s="381">
        <f>'1st Interim-Summary MYP'!I14</f>
        <v>157400</v>
      </c>
      <c r="AF11" s="381">
        <f>+AE11-AD11</f>
        <v>0</v>
      </c>
      <c r="AG11" s="1203"/>
    </row>
    <row r="12" spans="1:33" ht="15.75">
      <c r="A12" s="408"/>
      <c r="B12" s="141" t="s">
        <v>304</v>
      </c>
      <c r="C12" s="279">
        <v>8019</v>
      </c>
      <c r="D12" s="347"/>
      <c r="E12" s="379">
        <f>+'1st Interim-Summary MYP'!I15/12</f>
        <v>0</v>
      </c>
      <c r="F12" s="534" t="str">
        <f>IF($AE12&lt;1," ",IF(E12&lt;1," ",(E12)/$AE12))</f>
        <v xml:space="preserve"> </v>
      </c>
      <c r="G12" s="392">
        <f t="shared" si="0"/>
        <v>0</v>
      </c>
      <c r="H12" s="534" t="str">
        <f>IF($AE12&lt;1," ",IF(G12&lt;1," ",(G12)/$AE12))</f>
        <v xml:space="preserve"> </v>
      </c>
      <c r="I12" s="392">
        <f t="shared" si="0"/>
        <v>0</v>
      </c>
      <c r="J12" s="534" t="str">
        <f>IF($AE12&lt;1," ",IF(I12&lt;1," ",(I12)/$AE12))</f>
        <v xml:space="preserve"> </v>
      </c>
      <c r="K12" s="392">
        <f t="shared" si="0"/>
        <v>0</v>
      </c>
      <c r="L12" s="534" t="str">
        <f>IF($AE12&lt;1," ",IF(K12&lt;1," ",(K12)/$AE12))</f>
        <v xml:space="preserve"> </v>
      </c>
      <c r="M12" s="392">
        <f t="shared" si="0"/>
        <v>0</v>
      </c>
      <c r="N12" s="341" t="str">
        <f>IF($AE12&lt;1," ",IF(M12&lt;1," ",(M12)/$AE12))</f>
        <v xml:space="preserve"> </v>
      </c>
      <c r="O12" s="392">
        <f t="shared" si="0"/>
        <v>0</v>
      </c>
      <c r="P12" s="341" t="str">
        <f>IF($AE12&lt;1," ",IF(O12&lt;1," ",(O12)/$AE12))</f>
        <v xml:space="preserve"> </v>
      </c>
      <c r="Q12" s="392">
        <f t="shared" si="0"/>
        <v>0</v>
      </c>
      <c r="R12" s="534" t="str">
        <f>IF($AE12&lt;1," ",IF(Q12&lt;1," ",(Q12)/$AE12))</f>
        <v xml:space="preserve"> </v>
      </c>
      <c r="S12" s="392">
        <f t="shared" si="0"/>
        <v>0</v>
      </c>
      <c r="T12" s="341" t="str">
        <f>IF($AE12&lt;1," ",IF(S12&lt;1," ",(S12)/$AE12))</f>
        <v xml:space="preserve"> </v>
      </c>
      <c r="U12" s="392">
        <f t="shared" si="0"/>
        <v>0</v>
      </c>
      <c r="V12" s="341" t="str">
        <f>IF($AE12&lt;1," ",IF(U12&lt;1," ",(U12)/$AE12))</f>
        <v xml:space="preserve"> </v>
      </c>
      <c r="W12" s="392">
        <f t="shared" si="0"/>
        <v>0</v>
      </c>
      <c r="X12" s="341" t="str">
        <f>IF($AE12&lt;1," ",IF(W12&lt;1," ",(W12)/$AE12))</f>
        <v xml:space="preserve"> </v>
      </c>
      <c r="Y12" s="392">
        <f t="shared" si="0"/>
        <v>0</v>
      </c>
      <c r="Z12" s="341" t="str">
        <f>IF($AE12&lt;1," ",IF(Y12&lt;1," ",(Y12)/$AE12))</f>
        <v xml:space="preserve"> </v>
      </c>
      <c r="AA12" s="392">
        <f t="shared" si="0"/>
        <v>0</v>
      </c>
      <c r="AB12" s="341" t="str">
        <f>IF($AE12&lt;1," ",IF(AA12&lt;1," ",(AA12)/$AE12))</f>
        <v xml:space="preserve"> </v>
      </c>
      <c r="AC12" s="1562">
        <f t="shared" si="1"/>
        <v>0</v>
      </c>
      <c r="AD12" s="381">
        <f>+E12+G12+I12+K12+M12+O12+Q12+S12+U12+W12+Y12+AA12+AC12</f>
        <v>0</v>
      </c>
      <c r="AE12" s="382">
        <f>'1st Interim-Summary MYP'!I15</f>
        <v>0</v>
      </c>
      <c r="AF12" s="381">
        <f>+AE12-AD12</f>
        <v>0</v>
      </c>
      <c r="AG12" s="1203"/>
    </row>
    <row r="13" spans="1:33" ht="15.75">
      <c r="A13" s="408"/>
      <c r="B13" s="141" t="s">
        <v>305</v>
      </c>
      <c r="C13" s="279">
        <v>8096</v>
      </c>
      <c r="D13" s="347"/>
      <c r="E13" s="379">
        <f>+'1st Interim-Summary MYP'!I16/12</f>
        <v>16938.2075</v>
      </c>
      <c r="F13" s="534">
        <f>IF($AE13&lt;1," ",IF(E13&lt;1," ",(E13)/$AE13))</f>
        <v>8.3333333333333343E-2</v>
      </c>
      <c r="G13" s="392">
        <f t="shared" si="0"/>
        <v>16938.2075</v>
      </c>
      <c r="H13" s="534">
        <f>IF($AE13&lt;1," ",IF(G13&lt;1," ",(G13)/$AE13))</f>
        <v>8.3333333333333343E-2</v>
      </c>
      <c r="I13" s="392">
        <f t="shared" si="0"/>
        <v>16938.2075</v>
      </c>
      <c r="J13" s="534">
        <f>IF($AE13&lt;1," ",IF(I13&lt;1," ",(I13)/$AE13))</f>
        <v>8.3333333333333343E-2</v>
      </c>
      <c r="K13" s="392">
        <f t="shared" si="0"/>
        <v>16938.2075</v>
      </c>
      <c r="L13" s="534">
        <f>IF($AE13&lt;1," ",IF(K13&lt;1," ",(K13)/$AE13))</f>
        <v>8.3333333333333343E-2</v>
      </c>
      <c r="M13" s="392">
        <f t="shared" si="0"/>
        <v>16938.2075</v>
      </c>
      <c r="N13" s="341">
        <f>IF($AE13&lt;1," ",IF(M13&lt;1," ",(M13)/$AE13))</f>
        <v>8.3333333333333343E-2</v>
      </c>
      <c r="O13" s="392">
        <f t="shared" si="0"/>
        <v>16938.2075</v>
      </c>
      <c r="P13" s="341">
        <f>IF($AE13&lt;1," ",IF(O13&lt;1," ",(O13)/$AE13))</f>
        <v>8.3333333333333343E-2</v>
      </c>
      <c r="Q13" s="392">
        <f t="shared" si="0"/>
        <v>16938.2075</v>
      </c>
      <c r="R13" s="534">
        <f>IF($AE13&lt;1," ",IF(Q13&lt;1," ",(Q13)/$AE13))</f>
        <v>8.3333333333333343E-2</v>
      </c>
      <c r="S13" s="392">
        <f t="shared" si="0"/>
        <v>16938.2075</v>
      </c>
      <c r="T13" s="341">
        <f>IF($AE13&lt;1," ",IF(S13&lt;1," ",(S13)/$AE13))</f>
        <v>8.3333333333333343E-2</v>
      </c>
      <c r="U13" s="392">
        <f t="shared" si="0"/>
        <v>16938.2075</v>
      </c>
      <c r="V13" s="341">
        <f>IF($AE13&lt;1," ",IF(U13&lt;1," ",(U13)/$AE13))</f>
        <v>8.3333333333333343E-2</v>
      </c>
      <c r="W13" s="392">
        <f t="shared" si="0"/>
        <v>16938.2075</v>
      </c>
      <c r="X13" s="341">
        <f>IF($AE13&lt;1," ",IF(W13&lt;1," ",(W13)/$AE13))</f>
        <v>8.3333333333333343E-2</v>
      </c>
      <c r="Y13" s="392">
        <f t="shared" si="0"/>
        <v>16938.2075</v>
      </c>
      <c r="Z13" s="341">
        <f>IF($AE13&lt;1," ",IF(Y13&lt;1," ",(Y13)/$AE13))</f>
        <v>8.3333333333333343E-2</v>
      </c>
      <c r="AA13" s="392">
        <f t="shared" si="0"/>
        <v>16938.2075</v>
      </c>
      <c r="AB13" s="341">
        <f>IF($AE13&lt;1," ",IF(AA13&lt;1," ",(AA13)/$AE13))</f>
        <v>8.3333333333333343E-2</v>
      </c>
      <c r="AC13" s="1562">
        <f t="shared" si="1"/>
        <v>0</v>
      </c>
      <c r="AD13" s="381">
        <f>+E13+G13+I13+K13+M13+O13+Q13+S13+U13+W13+Y13+AA13+AC13</f>
        <v>203258.48999999996</v>
      </c>
      <c r="AE13" s="381">
        <f>'1st Interim-Summary MYP'!I16</f>
        <v>203258.49</v>
      </c>
      <c r="AF13" s="381">
        <f>+AE13-AD13</f>
        <v>0</v>
      </c>
      <c r="AG13" s="1203"/>
    </row>
    <row r="14" spans="1:33" ht="15.75">
      <c r="A14" s="407" t="s">
        <v>307</v>
      </c>
      <c r="B14" s="147"/>
      <c r="C14" s="279" t="s">
        <v>99</v>
      </c>
      <c r="D14" s="378"/>
      <c r="E14" s="379">
        <f>+'1st Interim-Summary MYP'!I17/12</f>
        <v>0</v>
      </c>
      <c r="F14" s="534" t="str">
        <f>IF($AE14&lt;1," ",IF(E14&lt;1," ",(E14)/$AE14))</f>
        <v xml:space="preserve"> </v>
      </c>
      <c r="G14" s="392">
        <f t="shared" si="0"/>
        <v>0</v>
      </c>
      <c r="H14" s="534" t="str">
        <f>IF($AE14&lt;1," ",IF(G14&lt;1," ",(G14)/$AE14))</f>
        <v xml:space="preserve"> </v>
      </c>
      <c r="I14" s="392">
        <f t="shared" si="0"/>
        <v>0</v>
      </c>
      <c r="J14" s="534" t="str">
        <f>IF($AE14&lt;1," ",IF(I14&lt;1," ",(I14)/$AE14))</f>
        <v xml:space="preserve"> </v>
      </c>
      <c r="K14" s="392">
        <f t="shared" si="0"/>
        <v>0</v>
      </c>
      <c r="L14" s="534" t="str">
        <f>IF($AE14&lt;1," ",IF(K14&lt;1," ",(K14)/$AE14))</f>
        <v xml:space="preserve"> </v>
      </c>
      <c r="M14" s="392">
        <f t="shared" si="0"/>
        <v>0</v>
      </c>
      <c r="N14" s="341" t="str">
        <f>IF($AE14&lt;1," ",IF(M14&lt;1," ",(M14)/$AE14))</f>
        <v xml:space="preserve"> </v>
      </c>
      <c r="O14" s="392">
        <f t="shared" si="0"/>
        <v>0</v>
      </c>
      <c r="P14" s="341" t="str">
        <f>IF($AE14&lt;1," ",IF(O14&lt;1," ",(O14)/$AE14))</f>
        <v xml:space="preserve"> </v>
      </c>
      <c r="Q14" s="392">
        <f t="shared" si="0"/>
        <v>0</v>
      </c>
      <c r="R14" s="534" t="str">
        <f>IF($AE14&lt;1," ",IF(Q14&lt;1," ",(Q14)/$AE14))</f>
        <v xml:space="preserve"> </v>
      </c>
      <c r="S14" s="392">
        <f t="shared" si="0"/>
        <v>0</v>
      </c>
      <c r="T14" s="341" t="str">
        <f>IF($AE14&lt;1," ",IF(S14&lt;1," ",(S14)/$AE14))</f>
        <v xml:space="preserve"> </v>
      </c>
      <c r="U14" s="392">
        <f t="shared" si="0"/>
        <v>0</v>
      </c>
      <c r="V14" s="341" t="str">
        <f>IF($AE14&lt;1," ",IF(U14&lt;1," ",(U14)/$AE14))</f>
        <v xml:space="preserve"> </v>
      </c>
      <c r="W14" s="392">
        <f t="shared" si="0"/>
        <v>0</v>
      </c>
      <c r="X14" s="341" t="str">
        <f>IF($AE14&lt;1," ",IF(W14&lt;1," ",(W14)/$AE14))</f>
        <v xml:space="preserve"> </v>
      </c>
      <c r="Y14" s="392">
        <f t="shared" si="0"/>
        <v>0</v>
      </c>
      <c r="Z14" s="341" t="str">
        <f>IF($AE14&lt;1," ",IF(Y14&lt;1," ",(Y14)/$AE14))</f>
        <v xml:space="preserve"> </v>
      </c>
      <c r="AA14" s="392">
        <f t="shared" si="0"/>
        <v>0</v>
      </c>
      <c r="AB14" s="341" t="str">
        <f>IF($AE14&lt;1," ",IF(AA14&lt;1," ",(AA14)/$AE14))</f>
        <v xml:space="preserve"> </v>
      </c>
      <c r="AC14" s="1562">
        <f t="shared" si="1"/>
        <v>0</v>
      </c>
      <c r="AD14" s="381">
        <f>+E14+G14+I14+K14+M14+O14+Q14+S14+U14+W14+Y14+AA14+AC14</f>
        <v>0</v>
      </c>
      <c r="AE14" s="381">
        <f>'1st Interim-Summary MYP'!I17</f>
        <v>0</v>
      </c>
      <c r="AF14" s="381">
        <f t="shared" ref="AF14:AF22" si="2">+AE14-AD14</f>
        <v>0</v>
      </c>
      <c r="AG14" s="1203"/>
    </row>
    <row r="15" spans="1:33" ht="15.75">
      <c r="A15" s="408" t="s">
        <v>308</v>
      </c>
      <c r="B15" s="141"/>
      <c r="C15" s="141"/>
      <c r="D15" s="378"/>
      <c r="E15" s="383"/>
      <c r="F15" s="534"/>
      <c r="G15" s="393"/>
      <c r="H15" s="534"/>
      <c r="I15" s="393"/>
      <c r="J15" s="534"/>
      <c r="K15" s="393"/>
      <c r="L15" s="534"/>
      <c r="M15" s="393"/>
      <c r="N15" s="341"/>
      <c r="O15" s="393"/>
      <c r="P15" s="341"/>
      <c r="Q15" s="393"/>
      <c r="R15" s="534"/>
      <c r="S15" s="393"/>
      <c r="T15" s="341"/>
      <c r="U15" s="393"/>
      <c r="V15" s="341"/>
      <c r="W15" s="393"/>
      <c r="X15" s="341"/>
      <c r="Y15" s="393"/>
      <c r="Z15" s="341"/>
      <c r="AA15" s="393"/>
      <c r="AB15" s="341"/>
      <c r="AC15" s="1563"/>
      <c r="AD15" s="381"/>
      <c r="AE15" s="381"/>
      <c r="AF15" s="381"/>
      <c r="AG15" s="1203"/>
    </row>
    <row r="16" spans="1:33" ht="15.75">
      <c r="A16" s="408"/>
      <c r="B16" s="141" t="s">
        <v>309</v>
      </c>
      <c r="C16" s="279">
        <v>8560</v>
      </c>
      <c r="D16" s="378"/>
      <c r="E16" s="379">
        <f>+'1st Interim-Summary MYP'!I19/12</f>
        <v>11165.364438333336</v>
      </c>
      <c r="F16" s="534">
        <f>IF($AE16&lt;1," ",IF(E16&lt;1," ",(E16)/$AE16))</f>
        <v>8.3333333333333343E-2</v>
      </c>
      <c r="G16" s="392">
        <f t="shared" si="0"/>
        <v>11165.364438333336</v>
      </c>
      <c r="H16" s="534">
        <f>IF($AE16&lt;1," ",IF(G16&lt;1," ",(G16)/$AE16))</f>
        <v>8.3333333333333343E-2</v>
      </c>
      <c r="I16" s="392">
        <f t="shared" si="0"/>
        <v>11165.364438333336</v>
      </c>
      <c r="J16" s="534">
        <f>IF($AE16&lt;1," ",IF(I16&lt;1," ",(I16)/$AE16))</f>
        <v>8.3333333333333343E-2</v>
      </c>
      <c r="K16" s="392">
        <f t="shared" si="0"/>
        <v>11165.364438333336</v>
      </c>
      <c r="L16" s="534">
        <f>IF($AE16&lt;1," ",IF(K16&lt;1," ",(K16)/$AE16))</f>
        <v>8.3333333333333343E-2</v>
      </c>
      <c r="M16" s="392">
        <f t="shared" si="0"/>
        <v>11165.364438333336</v>
      </c>
      <c r="N16" s="341">
        <f>IF($AE16&lt;1," ",IF(M16&lt;1," ",(M16)/$AE16))</f>
        <v>8.3333333333333343E-2</v>
      </c>
      <c r="O16" s="392">
        <f t="shared" si="0"/>
        <v>11165.364438333336</v>
      </c>
      <c r="P16" s="341">
        <f>IF($AE16&lt;1," ",IF(O16&lt;1," ",(O16)/$AE16))</f>
        <v>8.3333333333333343E-2</v>
      </c>
      <c r="Q16" s="392">
        <f t="shared" si="0"/>
        <v>11165.364438333336</v>
      </c>
      <c r="R16" s="534">
        <f>IF($AE16&lt;1," ",IF(Q16&lt;1," ",(Q16)/$AE16))</f>
        <v>8.3333333333333343E-2</v>
      </c>
      <c r="S16" s="392">
        <f t="shared" si="0"/>
        <v>11165.364438333336</v>
      </c>
      <c r="T16" s="341">
        <f>IF($AE16&lt;1," ",IF(S16&lt;1," ",(S16)/$AE16))</f>
        <v>8.3333333333333343E-2</v>
      </c>
      <c r="U16" s="392">
        <f t="shared" si="0"/>
        <v>11165.364438333336</v>
      </c>
      <c r="V16" s="341">
        <f>IF($AE16&lt;1," ",IF(U16&lt;1," ",(U16)/$AE16))</f>
        <v>8.3333333333333343E-2</v>
      </c>
      <c r="W16" s="392">
        <f t="shared" si="0"/>
        <v>11165.364438333336</v>
      </c>
      <c r="X16" s="341">
        <f>IF($AE16&lt;1," ",IF(W16&lt;1," ",(W16)/$AE16))</f>
        <v>8.3333333333333343E-2</v>
      </c>
      <c r="Y16" s="392">
        <f t="shared" si="0"/>
        <v>11165.364438333336</v>
      </c>
      <c r="Z16" s="341">
        <f>IF($AE16&lt;1," ",IF(Y16&lt;1," ",(Y16)/$AE16))</f>
        <v>8.3333333333333343E-2</v>
      </c>
      <c r="AA16" s="392">
        <f t="shared" si="0"/>
        <v>11165.364438333336</v>
      </c>
      <c r="AB16" s="341">
        <f>IF($AE16&lt;1," ",IF(AA16&lt;1," ",(AA16)/$AE16))</f>
        <v>8.3333333333333343E-2</v>
      </c>
      <c r="AC16" s="1562">
        <f t="shared" si="1"/>
        <v>0</v>
      </c>
      <c r="AD16" s="381">
        <f>+E16+G16+I16+K16+M16+O16+Q16+S16+U16+W16+Y16+AA16+AC16</f>
        <v>133984.37325999999</v>
      </c>
      <c r="AE16" s="381">
        <f>'1st Interim-Summary MYP'!I19</f>
        <v>133984.37326000002</v>
      </c>
      <c r="AF16" s="381">
        <f t="shared" si="2"/>
        <v>0</v>
      </c>
      <c r="AG16" s="1203"/>
    </row>
    <row r="17" spans="1:33" ht="15.75">
      <c r="A17" s="408"/>
      <c r="B17" s="141" t="s">
        <v>310</v>
      </c>
      <c r="C17" s="279">
        <v>8560</v>
      </c>
      <c r="D17" s="378"/>
      <c r="E17" s="379">
        <f>+'1st Interim-Summary MYP'!I20/12</f>
        <v>0</v>
      </c>
      <c r="F17" s="534" t="str">
        <f>IF($AE17&lt;1," ",IF(E17&lt;1," ",(E17)/$AE17))</f>
        <v xml:space="preserve"> </v>
      </c>
      <c r="G17" s="392">
        <f t="shared" si="0"/>
        <v>0</v>
      </c>
      <c r="H17" s="534" t="str">
        <f>IF($AE17&lt;1," ",IF(G17&lt;1," ",(G17)/$AE17))</f>
        <v xml:space="preserve"> </v>
      </c>
      <c r="I17" s="392">
        <f t="shared" si="0"/>
        <v>0</v>
      </c>
      <c r="J17" s="534" t="str">
        <f>IF($AE17&lt;1," ",IF(I17&lt;1," ",(I17)/$AE17))</f>
        <v xml:space="preserve"> </v>
      </c>
      <c r="K17" s="392">
        <f t="shared" si="0"/>
        <v>0</v>
      </c>
      <c r="L17" s="534" t="str">
        <f>IF($AE17&lt;1," ",IF(K17&lt;1," ",(K17)/$AE17))</f>
        <v xml:space="preserve"> </v>
      </c>
      <c r="M17" s="392">
        <f t="shared" si="0"/>
        <v>0</v>
      </c>
      <c r="N17" s="341" t="str">
        <f>IF($AE17&lt;1," ",IF(M17&lt;1," ",(M17)/$AE17))</f>
        <v xml:space="preserve"> </v>
      </c>
      <c r="O17" s="392">
        <f t="shared" si="0"/>
        <v>0</v>
      </c>
      <c r="P17" s="341" t="str">
        <f>IF($AE17&lt;1," ",IF(O17&lt;1," ",(O17)/$AE17))</f>
        <v xml:space="preserve"> </v>
      </c>
      <c r="Q17" s="392">
        <f t="shared" si="0"/>
        <v>0</v>
      </c>
      <c r="R17" s="534" t="str">
        <f>IF($AE17&lt;1," ",IF(Q17&lt;1," ",(Q17)/$AE17))</f>
        <v xml:space="preserve"> </v>
      </c>
      <c r="S17" s="392">
        <f t="shared" si="0"/>
        <v>0</v>
      </c>
      <c r="T17" s="341" t="str">
        <f>IF($AE17&lt;1," ",IF(S17&lt;1," ",(S17)/$AE17))</f>
        <v xml:space="preserve"> </v>
      </c>
      <c r="U17" s="392">
        <f t="shared" si="0"/>
        <v>0</v>
      </c>
      <c r="V17" s="341" t="str">
        <f>IF($AE17&lt;1," ",IF(U17&lt;1," ",(U17)/$AE17))</f>
        <v xml:space="preserve"> </v>
      </c>
      <c r="W17" s="392">
        <f t="shared" si="0"/>
        <v>0</v>
      </c>
      <c r="X17" s="341" t="str">
        <f>IF($AE17&lt;1," ",IF(W17&lt;1," ",(W17)/$AE17))</f>
        <v xml:space="preserve"> </v>
      </c>
      <c r="Y17" s="392">
        <f t="shared" si="0"/>
        <v>0</v>
      </c>
      <c r="Z17" s="341" t="str">
        <f>IF($AE17&lt;1," ",IF(Y17&lt;1," ",(Y17)/$AE17))</f>
        <v xml:space="preserve"> </v>
      </c>
      <c r="AA17" s="392">
        <f t="shared" si="0"/>
        <v>0</v>
      </c>
      <c r="AB17" s="341" t="str">
        <f>IF($AE17&lt;1," ",IF(AA17&lt;1," ",(AA17)/$AE17))</f>
        <v xml:space="preserve"> </v>
      </c>
      <c r="AC17" s="1562">
        <f t="shared" si="1"/>
        <v>0</v>
      </c>
      <c r="AD17" s="381">
        <f>+E17+G17+I17+K17+M17+O17+Q17+S17+U17+W17+Y17+AA17+AC17</f>
        <v>0</v>
      </c>
      <c r="AE17" s="381">
        <f>'1st Interim-Summary MYP'!I20</f>
        <v>0</v>
      </c>
      <c r="AF17" s="381">
        <f>+AE17-AD17</f>
        <v>0</v>
      </c>
      <c r="AG17" s="1203"/>
    </row>
    <row r="18" spans="1:33" ht="15.75">
      <c r="A18" s="408"/>
      <c r="B18" s="141" t="s">
        <v>311</v>
      </c>
      <c r="C18" s="279" t="s">
        <v>100</v>
      </c>
      <c r="D18" s="378"/>
      <c r="E18" s="379">
        <f>+'1st Interim-Summary MYP'!I21/12</f>
        <v>0</v>
      </c>
      <c r="F18" s="534" t="str">
        <f>IF($AE18&lt;1," ",IF(E18&lt;1," ",(E18)/$AE18))</f>
        <v xml:space="preserve"> </v>
      </c>
      <c r="G18" s="392">
        <f t="shared" si="0"/>
        <v>0</v>
      </c>
      <c r="H18" s="534" t="str">
        <f>IF($AE18&lt;1," ",IF(G18&lt;1," ",(G18)/$AE18))</f>
        <v xml:space="preserve"> </v>
      </c>
      <c r="I18" s="392">
        <f t="shared" si="0"/>
        <v>0</v>
      </c>
      <c r="J18" s="534" t="str">
        <f>IF($AE18&lt;1," ",IF(I18&lt;1," ",(I18)/$AE18))</f>
        <v xml:space="preserve"> </v>
      </c>
      <c r="K18" s="392">
        <f t="shared" si="0"/>
        <v>0</v>
      </c>
      <c r="L18" s="534" t="str">
        <f>IF($AE18&lt;1," ",IF(K18&lt;1," ",(K18)/$AE18))</f>
        <v xml:space="preserve"> </v>
      </c>
      <c r="M18" s="392">
        <f t="shared" si="0"/>
        <v>0</v>
      </c>
      <c r="N18" s="341" t="str">
        <f>IF($AE18&lt;1," ",IF(M18&lt;1," ",(M18)/$AE18))</f>
        <v xml:space="preserve"> </v>
      </c>
      <c r="O18" s="392">
        <f t="shared" si="0"/>
        <v>0</v>
      </c>
      <c r="P18" s="341" t="str">
        <f>IF($AE18&lt;1," ",IF(O18&lt;1," ",(O18)/$AE18))</f>
        <v xml:space="preserve"> </v>
      </c>
      <c r="Q18" s="392">
        <f t="shared" si="0"/>
        <v>0</v>
      </c>
      <c r="R18" s="534" t="str">
        <f>IF($AE18&lt;1," ",IF(Q18&lt;1," ",(Q18)/$AE18))</f>
        <v xml:space="preserve"> </v>
      </c>
      <c r="S18" s="392">
        <f t="shared" si="0"/>
        <v>0</v>
      </c>
      <c r="T18" s="341" t="str">
        <f>IF($AE18&lt;1," ",IF(S18&lt;1," ",(S18)/$AE18))</f>
        <v xml:space="preserve"> </v>
      </c>
      <c r="U18" s="392">
        <f t="shared" si="0"/>
        <v>0</v>
      </c>
      <c r="V18" s="341" t="str">
        <f>IF($AE18&lt;1," ",IF(U18&lt;1," ",(U18)/$AE18))</f>
        <v xml:space="preserve"> </v>
      </c>
      <c r="W18" s="392">
        <f t="shared" si="0"/>
        <v>0</v>
      </c>
      <c r="X18" s="341" t="str">
        <f>IF($AE18&lt;1," ",IF(W18&lt;1," ",(W18)/$AE18))</f>
        <v xml:space="preserve"> </v>
      </c>
      <c r="Y18" s="392">
        <f t="shared" si="0"/>
        <v>0</v>
      </c>
      <c r="Z18" s="341" t="str">
        <f>IF($AE18&lt;1," ",IF(Y18&lt;1," ",(Y18)/$AE18))</f>
        <v xml:space="preserve"> </v>
      </c>
      <c r="AA18" s="392">
        <f t="shared" si="0"/>
        <v>0</v>
      </c>
      <c r="AB18" s="341" t="str">
        <f>IF($AE18&lt;1," ",IF(AA18&lt;1," ",(AA18)/$AE18))</f>
        <v xml:space="preserve"> </v>
      </c>
      <c r="AC18" s="1562">
        <f t="shared" si="1"/>
        <v>0</v>
      </c>
      <c r="AD18" s="381">
        <f>+E18+G18+I18+K18+M18+O18+Q18+S18+U18+W18+Y18+AA18+AC18</f>
        <v>0</v>
      </c>
      <c r="AE18" s="381">
        <f>'1st Interim-Summary MYP'!I21</f>
        <v>0</v>
      </c>
      <c r="AF18" s="381">
        <f t="shared" si="2"/>
        <v>0</v>
      </c>
      <c r="AG18" s="1203"/>
    </row>
    <row r="19" spans="1:33" ht="15.75">
      <c r="A19" s="408" t="s">
        <v>312</v>
      </c>
      <c r="B19" s="141"/>
      <c r="C19" s="141"/>
      <c r="D19" s="378"/>
      <c r="E19" s="383"/>
      <c r="F19" s="534"/>
      <c r="G19" s="393"/>
      <c r="H19" s="534"/>
      <c r="I19" s="393"/>
      <c r="J19" s="534"/>
      <c r="K19" s="393"/>
      <c r="L19" s="534"/>
      <c r="M19" s="393"/>
      <c r="N19" s="341"/>
      <c r="O19" s="393"/>
      <c r="P19" s="341"/>
      <c r="Q19" s="393"/>
      <c r="R19" s="534"/>
      <c r="S19" s="393"/>
      <c r="T19" s="341"/>
      <c r="U19" s="393"/>
      <c r="V19" s="341"/>
      <c r="W19" s="393"/>
      <c r="X19" s="341"/>
      <c r="Y19" s="393"/>
      <c r="Z19" s="341"/>
      <c r="AA19" s="393"/>
      <c r="AB19" s="341"/>
      <c r="AC19" s="1563"/>
      <c r="AD19" s="381"/>
      <c r="AE19" s="381"/>
      <c r="AF19" s="381"/>
      <c r="AG19" s="1203"/>
    </row>
    <row r="20" spans="1:33" ht="15.75">
      <c r="A20" s="408"/>
      <c r="B20" s="141" t="s">
        <v>239</v>
      </c>
      <c r="C20" s="279">
        <v>8660</v>
      </c>
      <c r="D20" s="378"/>
      <c r="E20" s="379">
        <f>+'1st Interim-Summary MYP'!I23/12</f>
        <v>0</v>
      </c>
      <c r="F20" s="534" t="str">
        <f>IF($AE20&lt;1," ",IF(E20&lt;1," ",(E20)/$AE20))</f>
        <v xml:space="preserve"> </v>
      </c>
      <c r="G20" s="392">
        <f t="shared" si="0"/>
        <v>0</v>
      </c>
      <c r="H20" s="534" t="str">
        <f>IF($AE20&lt;1," ",IF(G20&lt;1," ",(G20)/$AE20))</f>
        <v xml:space="preserve"> </v>
      </c>
      <c r="I20" s="392">
        <f t="shared" si="0"/>
        <v>0</v>
      </c>
      <c r="J20" s="534" t="str">
        <f>IF($AE20&lt;1," ",IF(I20&lt;1," ",(I20)/$AE20))</f>
        <v xml:space="preserve"> </v>
      </c>
      <c r="K20" s="392">
        <f t="shared" si="0"/>
        <v>0</v>
      </c>
      <c r="L20" s="534" t="str">
        <f>IF($AE20&lt;1," ",IF(K20&lt;1," ",(K20)/$AE20))</f>
        <v xml:space="preserve"> </v>
      </c>
      <c r="M20" s="392">
        <f t="shared" si="0"/>
        <v>0</v>
      </c>
      <c r="N20" s="341" t="str">
        <f>IF($AE20&lt;1," ",IF(M20&lt;1," ",(M20)/$AE20))</f>
        <v xml:space="preserve"> </v>
      </c>
      <c r="O20" s="392">
        <f t="shared" si="0"/>
        <v>0</v>
      </c>
      <c r="P20" s="341" t="str">
        <f>IF($AE20&lt;1," ",IF(O20&lt;1," ",(O20)/$AE20))</f>
        <v xml:space="preserve"> </v>
      </c>
      <c r="Q20" s="392">
        <f t="shared" si="0"/>
        <v>0</v>
      </c>
      <c r="R20" s="534" t="str">
        <f>IF($AE20&lt;1," ",IF(Q20&lt;1," ",(Q20)/$AE20))</f>
        <v xml:space="preserve"> </v>
      </c>
      <c r="S20" s="392">
        <f t="shared" si="0"/>
        <v>0</v>
      </c>
      <c r="T20" s="341" t="str">
        <f>IF($AE20&lt;1," ",IF(S20&lt;1," ",(S20)/$AE20))</f>
        <v xml:space="preserve"> </v>
      </c>
      <c r="U20" s="392">
        <f t="shared" si="0"/>
        <v>0</v>
      </c>
      <c r="V20" s="341" t="str">
        <f>IF($AE20&lt;1," ",IF(U20&lt;1," ",(U20)/$AE20))</f>
        <v xml:space="preserve"> </v>
      </c>
      <c r="W20" s="392">
        <f t="shared" si="0"/>
        <v>0</v>
      </c>
      <c r="X20" s="341" t="str">
        <f>IF($AE20&lt;1," ",IF(W20&lt;1," ",(W20)/$AE20))</f>
        <v xml:space="preserve"> </v>
      </c>
      <c r="Y20" s="392">
        <f t="shared" si="0"/>
        <v>0</v>
      </c>
      <c r="Z20" s="341" t="str">
        <f>IF($AE20&lt;1," ",IF(Y20&lt;1," ",(Y20)/$AE20))</f>
        <v xml:space="preserve"> </v>
      </c>
      <c r="AA20" s="392">
        <f t="shared" si="0"/>
        <v>0</v>
      </c>
      <c r="AB20" s="341" t="str">
        <f>IF($AE20&lt;1," ",IF(AA20&lt;1," ",(AA20)/$AE20))</f>
        <v xml:space="preserve"> </v>
      </c>
      <c r="AC20" s="1562">
        <f t="shared" si="1"/>
        <v>0</v>
      </c>
      <c r="AD20" s="381">
        <f>+E20+G20+I20+K20+M20+O20+Q20+S20+U20+W20+Y20+AA20+AC20</f>
        <v>0</v>
      </c>
      <c r="AE20" s="381">
        <f>'1st Interim-Summary MYP'!I23</f>
        <v>0</v>
      </c>
      <c r="AF20" s="381">
        <f t="shared" si="2"/>
        <v>0</v>
      </c>
      <c r="AG20" s="1203"/>
    </row>
    <row r="21" spans="1:33" ht="15.75">
      <c r="A21" s="408"/>
      <c r="B21" s="141" t="s">
        <v>313</v>
      </c>
      <c r="C21" s="279">
        <v>8792</v>
      </c>
      <c r="D21" s="378"/>
      <c r="E21" s="379">
        <f>+'1st Interim-Summary MYP'!I24/12</f>
        <v>53778.333333333336</v>
      </c>
      <c r="F21" s="534">
        <f>IF($AE21&lt;1," ",IF(E21&lt;1," ",(E21)/$AE21))</f>
        <v>8.3333333333333343E-2</v>
      </c>
      <c r="G21" s="392">
        <f t="shared" si="0"/>
        <v>53778.333333333336</v>
      </c>
      <c r="H21" s="534">
        <f>IF($AE21&lt;1," ",IF(G21&lt;1," ",(G21)/$AE21))</f>
        <v>8.3333333333333343E-2</v>
      </c>
      <c r="I21" s="392">
        <f t="shared" si="0"/>
        <v>53778.333333333336</v>
      </c>
      <c r="J21" s="534">
        <f>IF($AE21&lt;1," ",IF(I21&lt;1," ",(I21)/$AE21))</f>
        <v>8.3333333333333343E-2</v>
      </c>
      <c r="K21" s="392">
        <f t="shared" si="0"/>
        <v>53778.333333333336</v>
      </c>
      <c r="L21" s="534">
        <f>IF($AE21&lt;1," ",IF(K21&lt;1," ",(K21)/$AE21))</f>
        <v>8.3333333333333343E-2</v>
      </c>
      <c r="M21" s="392">
        <f t="shared" si="0"/>
        <v>53778.333333333336</v>
      </c>
      <c r="N21" s="341">
        <f>IF($AE21&lt;1," ",IF(M21&lt;1," ",(M21)/$AE21))</f>
        <v>8.3333333333333343E-2</v>
      </c>
      <c r="O21" s="392">
        <f t="shared" si="0"/>
        <v>53778.333333333336</v>
      </c>
      <c r="P21" s="341">
        <f>IF($AE21&lt;1," ",IF(O21&lt;1," ",(O21)/$AE21))</f>
        <v>8.3333333333333343E-2</v>
      </c>
      <c r="Q21" s="392">
        <f t="shared" si="0"/>
        <v>53778.333333333336</v>
      </c>
      <c r="R21" s="534">
        <f>IF($AE21&lt;1," ",IF(Q21&lt;1," ",(Q21)/$AE21))</f>
        <v>8.3333333333333343E-2</v>
      </c>
      <c r="S21" s="392">
        <f t="shared" si="0"/>
        <v>53778.333333333336</v>
      </c>
      <c r="T21" s="341">
        <f>IF($AE21&lt;1," ",IF(S21&lt;1," ",(S21)/$AE21))</f>
        <v>8.3333333333333343E-2</v>
      </c>
      <c r="U21" s="392">
        <f t="shared" si="0"/>
        <v>53778.333333333336</v>
      </c>
      <c r="V21" s="341">
        <f>IF($AE21&lt;1," ",IF(U21&lt;1," ",(U21)/$AE21))</f>
        <v>8.3333333333333343E-2</v>
      </c>
      <c r="W21" s="392">
        <f t="shared" si="0"/>
        <v>53778.333333333336</v>
      </c>
      <c r="X21" s="341">
        <f>IF($AE21&lt;1," ",IF(W21&lt;1," ",(W21)/$AE21))</f>
        <v>8.3333333333333343E-2</v>
      </c>
      <c r="Y21" s="392">
        <f t="shared" si="0"/>
        <v>53778.333333333336</v>
      </c>
      <c r="Z21" s="341">
        <f>IF($AE21&lt;1," ",IF(Y21&lt;1," ",(Y21)/$AE21))</f>
        <v>8.3333333333333343E-2</v>
      </c>
      <c r="AA21" s="392">
        <f t="shared" si="0"/>
        <v>53778.333333333336</v>
      </c>
      <c r="AB21" s="341">
        <f>IF($AE21&lt;1," ",IF(AA21&lt;1," ",(AA21)/$AE21))</f>
        <v>8.3333333333333343E-2</v>
      </c>
      <c r="AC21" s="1562">
        <f t="shared" si="1"/>
        <v>0</v>
      </c>
      <c r="AD21" s="381">
        <f>+E21+G21+I21+K21+M21+O21+Q21+S21+U21+W21+Y21+AA21+AC21</f>
        <v>645340</v>
      </c>
      <c r="AE21" s="381">
        <f>'1st Interim-Summary MYP'!I24</f>
        <v>645340</v>
      </c>
      <c r="AF21" s="381">
        <f t="shared" si="2"/>
        <v>0</v>
      </c>
      <c r="AG21" s="1203"/>
    </row>
    <row r="22" spans="1:33" ht="15.75">
      <c r="A22" s="408"/>
      <c r="B22" s="141" t="s">
        <v>314</v>
      </c>
      <c r="C22" s="279" t="s">
        <v>101</v>
      </c>
      <c r="D22" s="378"/>
      <c r="E22" s="379">
        <f>+'1st Interim-Summary MYP'!I25/12</f>
        <v>0</v>
      </c>
      <c r="F22" s="534" t="str">
        <f>IF($AE22&lt;1," ",IF(E22&lt;1," ",(E22)/$AE22))</f>
        <v xml:space="preserve"> </v>
      </c>
      <c r="G22" s="392">
        <f t="shared" si="0"/>
        <v>0</v>
      </c>
      <c r="H22" s="534" t="str">
        <f>IF($AE22&lt;1," ",IF(G22&lt;1," ",(G22)/$AE22))</f>
        <v xml:space="preserve"> </v>
      </c>
      <c r="I22" s="392">
        <f t="shared" si="0"/>
        <v>0</v>
      </c>
      <c r="J22" s="534" t="str">
        <f>IF($AE22&lt;1," ",IF(I22&lt;1," ",(I22)/$AE22))</f>
        <v xml:space="preserve"> </v>
      </c>
      <c r="K22" s="392">
        <f t="shared" si="0"/>
        <v>0</v>
      </c>
      <c r="L22" s="534" t="str">
        <f>IF($AE22&lt;1," ",IF(K22&lt;1," ",(K22)/$AE22))</f>
        <v xml:space="preserve"> </v>
      </c>
      <c r="M22" s="392">
        <f t="shared" si="0"/>
        <v>0</v>
      </c>
      <c r="N22" s="341" t="str">
        <f>IF($AE22&lt;1," ",IF(M22&lt;1," ",(M22)/$AE22))</f>
        <v xml:space="preserve"> </v>
      </c>
      <c r="O22" s="392">
        <f t="shared" si="0"/>
        <v>0</v>
      </c>
      <c r="P22" s="341" t="str">
        <f>IF($AE22&lt;1," ",IF(O22&lt;1," ",(O22)/$AE22))</f>
        <v xml:space="preserve"> </v>
      </c>
      <c r="Q22" s="392">
        <f t="shared" si="0"/>
        <v>0</v>
      </c>
      <c r="R22" s="534" t="str">
        <f>IF($AE22&lt;1," ",IF(Q22&lt;1," ",(Q22)/$AE22))</f>
        <v xml:space="preserve"> </v>
      </c>
      <c r="S22" s="392">
        <f t="shared" si="0"/>
        <v>0</v>
      </c>
      <c r="T22" s="341" t="str">
        <f>IF($AE22&lt;1," ",IF(S22&lt;1," ",(S22)/$AE22))</f>
        <v xml:space="preserve"> </v>
      </c>
      <c r="U22" s="392">
        <f t="shared" si="0"/>
        <v>0</v>
      </c>
      <c r="V22" s="341" t="str">
        <f>IF($AE22&lt;1," ",IF(U22&lt;1," ",(U22)/$AE22))</f>
        <v xml:space="preserve"> </v>
      </c>
      <c r="W22" s="392">
        <f t="shared" si="0"/>
        <v>0</v>
      </c>
      <c r="X22" s="341" t="str">
        <f>IF($AE22&lt;1," ",IF(W22&lt;1," ",(W22)/$AE22))</f>
        <v xml:space="preserve"> </v>
      </c>
      <c r="Y22" s="392">
        <f t="shared" si="0"/>
        <v>0</v>
      </c>
      <c r="Z22" s="341" t="str">
        <f>IF($AE22&lt;1," ",IF(Y22&lt;1," ",(Y22)/$AE22))</f>
        <v xml:space="preserve"> </v>
      </c>
      <c r="AA22" s="392">
        <f t="shared" si="0"/>
        <v>0</v>
      </c>
      <c r="AB22" s="341" t="str">
        <f>IF($AE22&lt;1," ",IF(AA22&lt;1," ",(AA22)/$AE22))</f>
        <v xml:space="preserve"> </v>
      </c>
      <c r="AC22" s="1562">
        <f t="shared" si="1"/>
        <v>0</v>
      </c>
      <c r="AD22" s="381">
        <f>+E22+G22+I22+K22+M22+O22+Q22+S22+U22+W22+Y22+AA22+AC22</f>
        <v>0</v>
      </c>
      <c r="AE22" s="381">
        <f>'1st Interim-Summary MYP'!I25</f>
        <v>0</v>
      </c>
      <c r="AF22" s="381">
        <f t="shared" si="2"/>
        <v>0</v>
      </c>
      <c r="AG22" s="1203"/>
    </row>
    <row r="23" spans="1:33" ht="16.5" thickBot="1">
      <c r="A23" s="407" t="s">
        <v>315</v>
      </c>
      <c r="B23" s="384"/>
      <c r="C23" s="385"/>
      <c r="D23" s="385"/>
      <c r="E23" s="773">
        <f>SUM(E10:E22)</f>
        <v>794577.40527166671</v>
      </c>
      <c r="F23" s="536">
        <f>IF($AE23&lt;1," ",IF(E23&lt;1," ",(E23)/$AE23))</f>
        <v>8.3333333333333329E-2</v>
      </c>
      <c r="G23" s="774">
        <f>SUM(G10:G22)</f>
        <v>794577.40527166671</v>
      </c>
      <c r="H23" s="536">
        <f>IF($AE23&lt;1," ",IF(G23&lt;1," ",(G23)/$AE23))</f>
        <v>8.3333333333333329E-2</v>
      </c>
      <c r="I23" s="774">
        <f>SUM(I10:I22)</f>
        <v>794577.40527166671</v>
      </c>
      <c r="J23" s="536">
        <f>IF($AE23&lt;1," ",IF(I23&lt;1," ",(I23)/$AE23))</f>
        <v>8.3333333333333329E-2</v>
      </c>
      <c r="K23" s="774">
        <f>SUM(K10:K22)</f>
        <v>794577.40527166671</v>
      </c>
      <c r="L23" s="536">
        <f>IF($AE23&lt;1," ",IF(K23&lt;1," ",(K23)/$AE23))</f>
        <v>8.3333333333333329E-2</v>
      </c>
      <c r="M23" s="774">
        <f>SUM(M10:M22)</f>
        <v>794577.40527166671</v>
      </c>
      <c r="N23" s="386">
        <f>IF($AE23&lt;1," ",IF(M23&lt;1," ",(M23)/$AE23))</f>
        <v>8.3333333333333329E-2</v>
      </c>
      <c r="O23" s="774">
        <f>SUM(O10:O22)</f>
        <v>794577.40527166671</v>
      </c>
      <c r="P23" s="386">
        <f>IF($AE23&lt;1," ",IF(O23&lt;1," ",(O23)/$AE23))</f>
        <v>8.3333333333333329E-2</v>
      </c>
      <c r="Q23" s="774">
        <f>SUM(Q10:Q22)</f>
        <v>794577.40527166671</v>
      </c>
      <c r="R23" s="536">
        <f>IF($AE23&lt;1," ",IF(Q23&lt;1," ",(Q23)/$AE23))</f>
        <v>8.3333333333333329E-2</v>
      </c>
      <c r="S23" s="774">
        <f>SUM(S10:S22)</f>
        <v>794577.40527166671</v>
      </c>
      <c r="T23" s="386">
        <f>IF($AE23&lt;1," ",IF(S23&lt;1," ",(S23)/$AE23))</f>
        <v>8.3333333333333329E-2</v>
      </c>
      <c r="U23" s="774">
        <f>SUM(U10:U22)</f>
        <v>794577.40527166671</v>
      </c>
      <c r="V23" s="386">
        <f>IF($AE23&lt;1," ",IF(U23&lt;1," ",(U23)/$AE23))</f>
        <v>8.3333333333333329E-2</v>
      </c>
      <c r="W23" s="774">
        <f>SUM(W10:W22)</f>
        <v>794577.40527166671</v>
      </c>
      <c r="X23" s="386">
        <f>IF($AE23&lt;1," ",IF(W23&lt;1," ",(W23)/$AE23))</f>
        <v>8.3333333333333329E-2</v>
      </c>
      <c r="Y23" s="774">
        <f>SUM(Y10:Y22)</f>
        <v>794577.40527166671</v>
      </c>
      <c r="Z23" s="386">
        <f>IF($AE23&lt;1," ",IF(Y23&lt;1," ",(Y23)/$AE23))</f>
        <v>8.3333333333333329E-2</v>
      </c>
      <c r="AA23" s="774">
        <f>SUM(AA10:AA22)</f>
        <v>794577.40527166671</v>
      </c>
      <c r="AB23" s="386">
        <f>IF($AE23&lt;1," ",IF(AA23&lt;1," ",(AA23)/$AE23))</f>
        <v>8.3333333333333329E-2</v>
      </c>
      <c r="AC23" s="1564">
        <f>SUM(AC10:AC22)</f>
        <v>0</v>
      </c>
      <c r="AD23" s="776">
        <f>SUM(AD10:AD22)</f>
        <v>9534928.8632599991</v>
      </c>
      <c r="AE23" s="776">
        <f>SUM(AE10:AE22)</f>
        <v>9534928.8632600009</v>
      </c>
      <c r="AF23" s="776">
        <f>SUM(AF10:AF22)</f>
        <v>0</v>
      </c>
      <c r="AG23" s="1203"/>
    </row>
    <row r="24" spans="1:33" ht="15.75">
      <c r="A24" s="409"/>
      <c r="B24" s="372"/>
      <c r="C24" s="72"/>
      <c r="D24" s="72"/>
      <c r="E24" s="73"/>
      <c r="F24" s="196"/>
      <c r="G24" s="74"/>
      <c r="H24" s="196"/>
      <c r="I24" s="74"/>
      <c r="J24" s="196"/>
      <c r="K24" s="74"/>
      <c r="L24" s="196"/>
      <c r="M24" s="74"/>
      <c r="N24" s="196"/>
      <c r="O24" s="74"/>
      <c r="P24" s="196"/>
      <c r="Q24" s="74"/>
      <c r="R24" s="196"/>
      <c r="S24" s="74"/>
      <c r="T24" s="196"/>
      <c r="U24" s="74"/>
      <c r="V24" s="196"/>
      <c r="W24" s="74"/>
      <c r="X24" s="196"/>
      <c r="Y24" s="74"/>
      <c r="Z24" s="196"/>
      <c r="AA24" s="74"/>
      <c r="AB24" s="196"/>
      <c r="AC24" s="1024"/>
      <c r="AD24" s="1024"/>
      <c r="AE24" s="1024"/>
      <c r="AF24" s="1040"/>
      <c r="AG24" s="1203"/>
    </row>
    <row r="25" spans="1:33" ht="15.75">
      <c r="A25" s="67" t="s">
        <v>3</v>
      </c>
      <c r="B25" s="181"/>
      <c r="C25" s="375"/>
      <c r="D25" s="375"/>
      <c r="E25" s="548"/>
      <c r="F25" s="484"/>
      <c r="G25" s="528"/>
      <c r="H25" s="484"/>
      <c r="I25" s="528"/>
      <c r="J25" s="484"/>
      <c r="K25" s="528"/>
      <c r="L25" s="484"/>
      <c r="M25" s="528"/>
      <c r="N25" s="484"/>
      <c r="O25" s="528"/>
      <c r="P25" s="484"/>
      <c r="Q25" s="528"/>
      <c r="R25" s="484"/>
      <c r="S25" s="528"/>
      <c r="T25" s="484"/>
      <c r="U25" s="528"/>
      <c r="V25" s="484"/>
      <c r="W25" s="528"/>
      <c r="X25" s="484"/>
      <c r="Y25" s="528"/>
      <c r="Z25" s="484"/>
      <c r="AA25" s="528"/>
      <c r="AB25" s="484"/>
      <c r="AC25" s="1028"/>
      <c r="AD25" s="1028"/>
      <c r="AE25" s="1028"/>
      <c r="AF25" s="1036"/>
      <c r="AG25" s="1203"/>
    </row>
    <row r="26" spans="1:33" ht="15.75">
      <c r="A26" s="408" t="s">
        <v>4</v>
      </c>
      <c r="B26" s="141"/>
      <c r="C26" s="279" t="s">
        <v>102</v>
      </c>
      <c r="D26" s="378"/>
      <c r="E26" s="379">
        <f>+'1st Interim-Summary MYP'!I29/12</f>
        <v>328934.71083333332</v>
      </c>
      <c r="F26" s="534">
        <f>IF($AE$26&lt;1," ",IF(E26&lt;1," ",(E26)/$AE$26))</f>
        <v>8.3333333333333329E-2</v>
      </c>
      <c r="G26" s="392">
        <f t="shared" ref="G26:AA33" si="3">+E26</f>
        <v>328934.71083333332</v>
      </c>
      <c r="H26" s="534">
        <f>IF($AE$26&lt;1," ",IF(G26&lt;1," ",(G26)/$AE$26))</f>
        <v>8.3333333333333329E-2</v>
      </c>
      <c r="I26" s="392">
        <f t="shared" si="3"/>
        <v>328934.71083333332</v>
      </c>
      <c r="J26" s="534">
        <f>IF($AE$26&lt;1," ",IF(I26&lt;1," ",(I26)/$AE$26))</f>
        <v>8.3333333333333329E-2</v>
      </c>
      <c r="K26" s="392">
        <f t="shared" si="3"/>
        <v>328934.71083333332</v>
      </c>
      <c r="L26" s="534">
        <f>IF($AE$26&lt;1," ",IF(K26&lt;1," ",(K26)/$AE$26))</f>
        <v>8.3333333333333329E-2</v>
      </c>
      <c r="M26" s="392">
        <f t="shared" si="3"/>
        <v>328934.71083333332</v>
      </c>
      <c r="N26" s="341">
        <f>IF($AE$26&lt;1," ",IF(M26&lt;1," ",(M26)/$AE$26))</f>
        <v>8.3333333333333329E-2</v>
      </c>
      <c r="O26" s="392">
        <f t="shared" si="3"/>
        <v>328934.71083333332</v>
      </c>
      <c r="P26" s="534">
        <f>IF($AE$26&lt;1," ",IF(O26&lt;1," ",(O26)/$AE$26))</f>
        <v>8.3333333333333329E-2</v>
      </c>
      <c r="Q26" s="392">
        <f t="shared" si="3"/>
        <v>328934.71083333332</v>
      </c>
      <c r="R26" s="534">
        <f>IF($AE$26&lt;1," ",IF(Q26&lt;1," ",(Q26)/$AE$26))</f>
        <v>8.3333333333333329E-2</v>
      </c>
      <c r="S26" s="392">
        <f t="shared" si="3"/>
        <v>328934.71083333332</v>
      </c>
      <c r="T26" s="341">
        <f>IF($AE$26&lt;1," ",IF(S26&lt;1," ",(S26)/$AE$26))</f>
        <v>8.3333333333333329E-2</v>
      </c>
      <c r="U26" s="392">
        <f t="shared" si="3"/>
        <v>328934.71083333332</v>
      </c>
      <c r="V26" s="341">
        <f>IF($AE$26&lt;1," ",IF(U26&lt;1," ",(U26)/$AE$26))</f>
        <v>8.3333333333333329E-2</v>
      </c>
      <c r="W26" s="392">
        <f t="shared" si="3"/>
        <v>328934.71083333332</v>
      </c>
      <c r="X26" s="341">
        <f>IF($AE$26&lt;1," ",IF(W26&lt;1," ",(W26)/$AE$26))</f>
        <v>8.3333333333333329E-2</v>
      </c>
      <c r="Y26" s="392">
        <f t="shared" si="3"/>
        <v>328934.71083333332</v>
      </c>
      <c r="Z26" s="341">
        <f>IF($AE$26&lt;1," ",IF(Y26&lt;1," ",(Y26)/$AE$26))</f>
        <v>8.3333333333333329E-2</v>
      </c>
      <c r="AA26" s="392">
        <f t="shared" si="3"/>
        <v>328934.71083333332</v>
      </c>
      <c r="AB26" s="341">
        <f>IF($AE$26&lt;1," ",IF(AA26&lt;1," ",(AA26)/$AE$26))</f>
        <v>8.3333333333333329E-2</v>
      </c>
      <c r="AC26" s="1565">
        <f t="shared" ref="AC26:AC33" si="4">AE26-(E26+G26+I26+K26+M26+O26+Q26+S26+U26+W26+Y26+AA26)</f>
        <v>0</v>
      </c>
      <c r="AD26" s="389">
        <f t="shared" ref="AD26:AD33" si="5">+E26+G26+I26+K26+M26+O26+Q26+S26+U26+W26+Y26+AA26+AC26</f>
        <v>3947216.5300000007</v>
      </c>
      <c r="AE26" s="389">
        <f>'1st Interim-Summary MYP'!I29</f>
        <v>3947216.53</v>
      </c>
      <c r="AF26" s="389">
        <f t="shared" ref="AF26:AF33" si="6">+AE26-AD26</f>
        <v>0</v>
      </c>
      <c r="AG26" s="1203"/>
    </row>
    <row r="27" spans="1:33" ht="15.75">
      <c r="A27" s="408" t="s">
        <v>23</v>
      </c>
      <c r="B27" s="141"/>
      <c r="C27" s="279" t="s">
        <v>103</v>
      </c>
      <c r="D27" s="378"/>
      <c r="E27" s="379">
        <f>+'1st Interim-Summary MYP'!I30/12</f>
        <v>11762.772291666666</v>
      </c>
      <c r="F27" s="534">
        <f>IF($AE$27&lt;1," ",IF(E27&lt;1," ",(E27)/$AE$27))</f>
        <v>8.3333333333333343E-2</v>
      </c>
      <c r="G27" s="392">
        <f t="shared" si="3"/>
        <v>11762.772291666666</v>
      </c>
      <c r="H27" s="534">
        <f>IF($AE$27&lt;1," ",IF(G27&lt;1," ",(G27)/$AE$27))</f>
        <v>8.3333333333333343E-2</v>
      </c>
      <c r="I27" s="392">
        <f t="shared" si="3"/>
        <v>11762.772291666666</v>
      </c>
      <c r="J27" s="534">
        <f>IF($AE$27&lt;1," ",IF(I27&lt;1," ",(I27)/$AE$27))</f>
        <v>8.3333333333333343E-2</v>
      </c>
      <c r="K27" s="392">
        <f t="shared" si="3"/>
        <v>11762.772291666666</v>
      </c>
      <c r="L27" s="534">
        <f>IF($AE$27&lt;1," ",IF(K27&lt;1," ",(K27)/$AE$27))</f>
        <v>8.3333333333333343E-2</v>
      </c>
      <c r="M27" s="392">
        <f t="shared" si="3"/>
        <v>11762.772291666666</v>
      </c>
      <c r="N27" s="341">
        <f>IF($AE$27&lt;1," ",IF(M27&lt;1," ",(M27)/$AE$27))</f>
        <v>8.3333333333333343E-2</v>
      </c>
      <c r="O27" s="392">
        <f t="shared" si="3"/>
        <v>11762.772291666666</v>
      </c>
      <c r="P27" s="534">
        <f>IF($AE$27&lt;1," ",IF(O27&lt;1," ",(O27)/$AE$27))</f>
        <v>8.3333333333333343E-2</v>
      </c>
      <c r="Q27" s="392">
        <f t="shared" si="3"/>
        <v>11762.772291666666</v>
      </c>
      <c r="R27" s="534">
        <f>IF($AE$27&lt;1," ",IF(Q27&lt;1," ",(Q27)/$AE$27))</f>
        <v>8.3333333333333343E-2</v>
      </c>
      <c r="S27" s="392">
        <f t="shared" si="3"/>
        <v>11762.772291666666</v>
      </c>
      <c r="T27" s="341">
        <f>IF($AE$27&lt;1," ",IF(S27&lt;1," ",(S27)/$AE$27))</f>
        <v>8.3333333333333343E-2</v>
      </c>
      <c r="U27" s="392">
        <f t="shared" si="3"/>
        <v>11762.772291666666</v>
      </c>
      <c r="V27" s="341">
        <f>IF($AE$27&lt;1," ",IF(U27&lt;1," ",(U27)/$AE$27))</f>
        <v>8.3333333333333343E-2</v>
      </c>
      <c r="W27" s="392">
        <f t="shared" si="3"/>
        <v>11762.772291666666</v>
      </c>
      <c r="X27" s="341">
        <f>IF($AE$27&lt;1," ",IF(W27&lt;1," ",(W27)/$AE$27))</f>
        <v>8.3333333333333343E-2</v>
      </c>
      <c r="Y27" s="392">
        <f t="shared" si="3"/>
        <v>11762.772291666666</v>
      </c>
      <c r="Z27" s="341">
        <f>IF($AE$27&lt;1," ",IF(Y27&lt;1," ",(Y27)/$AE$27))</f>
        <v>8.3333333333333343E-2</v>
      </c>
      <c r="AA27" s="392">
        <f t="shared" si="3"/>
        <v>11762.772291666666</v>
      </c>
      <c r="AB27" s="341">
        <f>IF($AE$27&lt;1," ",IF(AA27&lt;1," ",(AA27)/$AE$27))</f>
        <v>8.3333333333333343E-2</v>
      </c>
      <c r="AC27" s="1565">
        <f t="shared" si="4"/>
        <v>0</v>
      </c>
      <c r="AD27" s="389">
        <f t="shared" si="5"/>
        <v>141153.26749999999</v>
      </c>
      <c r="AE27" s="389">
        <f>'1st Interim-Summary MYP'!I30</f>
        <v>141153.26749999999</v>
      </c>
      <c r="AF27" s="389">
        <f t="shared" si="6"/>
        <v>0</v>
      </c>
      <c r="AG27" s="1203"/>
    </row>
    <row r="28" spans="1:33" ht="15.75">
      <c r="A28" s="408" t="s">
        <v>24</v>
      </c>
      <c r="B28" s="141"/>
      <c r="C28" s="279" t="s">
        <v>104</v>
      </c>
      <c r="D28" s="378"/>
      <c r="E28" s="379">
        <f>+'1st Interim-Summary MYP'!I31/12</f>
        <v>100481.52228562499</v>
      </c>
      <c r="F28" s="534">
        <f>IF($AE$28&lt;1," ",IF(E28&lt;1," ",(E28)/$AE$28))</f>
        <v>8.3333333333333329E-2</v>
      </c>
      <c r="G28" s="392">
        <f t="shared" si="3"/>
        <v>100481.52228562499</v>
      </c>
      <c r="H28" s="534">
        <f>IF($AE$28&lt;1," ",IF(G28&lt;1," ",(G28)/$AE$28))</f>
        <v>8.3333333333333329E-2</v>
      </c>
      <c r="I28" s="392">
        <f t="shared" si="3"/>
        <v>100481.52228562499</v>
      </c>
      <c r="J28" s="534">
        <f>IF($AE$28&lt;1," ",IF(I28&lt;1," ",(I28)/$AE$28))</f>
        <v>8.3333333333333329E-2</v>
      </c>
      <c r="K28" s="392">
        <f t="shared" si="3"/>
        <v>100481.52228562499</v>
      </c>
      <c r="L28" s="534">
        <f>IF($AE$28&lt;1," ",IF(K28&lt;1," ",(K28)/$AE$28))</f>
        <v>8.3333333333333329E-2</v>
      </c>
      <c r="M28" s="392">
        <f t="shared" si="3"/>
        <v>100481.52228562499</v>
      </c>
      <c r="N28" s="341">
        <f>IF($AE$28&lt;1," ",IF(M28&lt;1," ",(M28)/$AE$28))</f>
        <v>8.3333333333333329E-2</v>
      </c>
      <c r="O28" s="392">
        <f t="shared" si="3"/>
        <v>100481.52228562499</v>
      </c>
      <c r="P28" s="534">
        <f>IF($AE$28&lt;1," ",IF(O28&lt;1," ",(O28)/$AE$28))</f>
        <v>8.3333333333333329E-2</v>
      </c>
      <c r="Q28" s="392">
        <f t="shared" si="3"/>
        <v>100481.52228562499</v>
      </c>
      <c r="R28" s="534">
        <f>IF($AE$28&lt;1," ",IF(Q28&lt;1," ",(Q28)/$AE$28))</f>
        <v>8.3333333333333329E-2</v>
      </c>
      <c r="S28" s="392">
        <f t="shared" si="3"/>
        <v>100481.52228562499</v>
      </c>
      <c r="T28" s="341">
        <f>IF($AE$28&lt;1," ",IF(S28&lt;1," ",(S28)/$AE$28))</f>
        <v>8.3333333333333329E-2</v>
      </c>
      <c r="U28" s="392">
        <f t="shared" si="3"/>
        <v>100481.52228562499</v>
      </c>
      <c r="V28" s="341">
        <f>IF($AE$28&lt;1," ",IF(U28&lt;1," ",(U28)/$AE$28))</f>
        <v>8.3333333333333329E-2</v>
      </c>
      <c r="W28" s="392">
        <f t="shared" si="3"/>
        <v>100481.52228562499</v>
      </c>
      <c r="X28" s="341">
        <f>IF($AE$28&lt;1," ",IF(W28&lt;1," ",(W28)/$AE$28))</f>
        <v>8.3333333333333329E-2</v>
      </c>
      <c r="Y28" s="392">
        <f t="shared" si="3"/>
        <v>100481.52228562499</v>
      </c>
      <c r="Z28" s="341">
        <f>IF($AE$28&lt;1," ",IF(Y28&lt;1," ",(Y28)/$AE$28))</f>
        <v>8.3333333333333329E-2</v>
      </c>
      <c r="AA28" s="392">
        <f t="shared" si="3"/>
        <v>100481.52228562499</v>
      </c>
      <c r="AB28" s="341">
        <f>IF($AE$28&lt;1," ",IF(AA28&lt;1," ",(AA28)/$AE$28))</f>
        <v>8.3333333333333329E-2</v>
      </c>
      <c r="AC28" s="1565">
        <f t="shared" si="4"/>
        <v>0</v>
      </c>
      <c r="AD28" s="389">
        <f t="shared" si="5"/>
        <v>1205778.2674274999</v>
      </c>
      <c r="AE28" s="389">
        <f>'1st Interim-Summary MYP'!I31</f>
        <v>1205778.2674274999</v>
      </c>
      <c r="AF28" s="389">
        <f t="shared" si="6"/>
        <v>0</v>
      </c>
      <c r="AG28" s="1203"/>
    </row>
    <row r="29" spans="1:33" ht="15.75">
      <c r="A29" s="408" t="s">
        <v>25</v>
      </c>
      <c r="B29" s="141"/>
      <c r="C29" s="279" t="s">
        <v>105</v>
      </c>
      <c r="D29" s="378"/>
      <c r="E29" s="379">
        <f>+'1st Interim-Summary MYP'!I32/12</f>
        <v>43530.944166666668</v>
      </c>
      <c r="F29" s="534">
        <f>IF($AE$29&lt;1," ",IF(E29&lt;1," ",(E29)/$AE$29))</f>
        <v>8.3333333333333329E-2</v>
      </c>
      <c r="G29" s="392">
        <f t="shared" si="3"/>
        <v>43530.944166666668</v>
      </c>
      <c r="H29" s="534">
        <f>IF($AE$29&lt;1," ",IF(G29&lt;1," ",(G29)/$AE$29))</f>
        <v>8.3333333333333329E-2</v>
      </c>
      <c r="I29" s="392">
        <f t="shared" si="3"/>
        <v>43530.944166666668</v>
      </c>
      <c r="J29" s="534">
        <f>IF($AE$29&lt;1," ",IF(I29&lt;1," ",(I29)/$AE$29))</f>
        <v>8.3333333333333329E-2</v>
      </c>
      <c r="K29" s="392">
        <f t="shared" si="3"/>
        <v>43530.944166666668</v>
      </c>
      <c r="L29" s="534">
        <f>IF($AE$29&lt;1," ",IF(K29&lt;1," ",(K29)/$AE$29))</f>
        <v>8.3333333333333329E-2</v>
      </c>
      <c r="M29" s="392">
        <f t="shared" si="3"/>
        <v>43530.944166666668</v>
      </c>
      <c r="N29" s="341">
        <f>IF($AE$29&lt;1," ",IF(M29&lt;1," ",(M29)/$AE$29))</f>
        <v>8.3333333333333329E-2</v>
      </c>
      <c r="O29" s="392">
        <f t="shared" si="3"/>
        <v>43530.944166666668</v>
      </c>
      <c r="P29" s="534">
        <f>IF($AE$29&lt;1," ",IF(O29&lt;1," ",(O29)/$AE$29))</f>
        <v>8.3333333333333329E-2</v>
      </c>
      <c r="Q29" s="392">
        <f t="shared" si="3"/>
        <v>43530.944166666668</v>
      </c>
      <c r="R29" s="534">
        <f>IF($AE$29&lt;1," ",IF(Q29&lt;1," ",(Q29)/$AE$29))</f>
        <v>8.3333333333333329E-2</v>
      </c>
      <c r="S29" s="392">
        <f t="shared" si="3"/>
        <v>43530.944166666668</v>
      </c>
      <c r="T29" s="341">
        <f>IF($AE$29&lt;1," ",IF(S29&lt;1," ",(S29)/$AE$29))</f>
        <v>8.3333333333333329E-2</v>
      </c>
      <c r="U29" s="392">
        <f t="shared" si="3"/>
        <v>43530.944166666668</v>
      </c>
      <c r="V29" s="341">
        <f>IF($AE$29&lt;1," ",IF(U29&lt;1," ",(U29)/$AE$29))</f>
        <v>8.3333333333333329E-2</v>
      </c>
      <c r="W29" s="392">
        <f t="shared" si="3"/>
        <v>43530.944166666668</v>
      </c>
      <c r="X29" s="341">
        <f>IF($AE$29&lt;1," ",IF(W29&lt;1," ",(W29)/$AE$29))</f>
        <v>8.3333333333333329E-2</v>
      </c>
      <c r="Y29" s="392">
        <f t="shared" si="3"/>
        <v>43530.944166666668</v>
      </c>
      <c r="Z29" s="341">
        <f>IF($AE$29&lt;1," ",IF(Y29&lt;1," ",(Y29)/$AE$29))</f>
        <v>8.3333333333333329E-2</v>
      </c>
      <c r="AA29" s="392">
        <f t="shared" si="3"/>
        <v>43530.944166666668</v>
      </c>
      <c r="AB29" s="341">
        <f>IF($AE$29&lt;1," ",IF(AA29&lt;1," ",(AA29)/$AE$29))</f>
        <v>8.3333333333333329E-2</v>
      </c>
      <c r="AC29" s="1565">
        <f t="shared" si="4"/>
        <v>0</v>
      </c>
      <c r="AD29" s="389">
        <f t="shared" si="5"/>
        <v>522371.3299999999</v>
      </c>
      <c r="AE29" s="389">
        <f>'1st Interim-Summary MYP'!I32</f>
        <v>522371.33</v>
      </c>
      <c r="AF29" s="389">
        <f t="shared" si="6"/>
        <v>0</v>
      </c>
      <c r="AG29" s="1203"/>
    </row>
    <row r="30" spans="1:33" ht="15.75">
      <c r="A30" s="408" t="s">
        <v>26</v>
      </c>
      <c r="B30" s="141"/>
      <c r="C30" s="279" t="s">
        <v>106</v>
      </c>
      <c r="D30" s="378"/>
      <c r="E30" s="379">
        <f>+'1st Interim-Summary MYP'!I33/12</f>
        <v>396452.85754055</v>
      </c>
      <c r="F30" s="534">
        <f>IF($AE$30&lt;1," ",IF(E30&lt;1," ",(E30)/$AE$30))</f>
        <v>8.3333333333333329E-2</v>
      </c>
      <c r="G30" s="392">
        <f t="shared" si="3"/>
        <v>396452.85754055</v>
      </c>
      <c r="H30" s="534">
        <f>IF($AE$30&lt;1," ",IF(G30&lt;1," ",(G30)/$AE$30))</f>
        <v>8.3333333333333329E-2</v>
      </c>
      <c r="I30" s="392">
        <f t="shared" si="3"/>
        <v>396452.85754055</v>
      </c>
      <c r="J30" s="534">
        <f>IF($AE$30&lt;1," ",IF(I30&lt;1," ",(I30)/$AE$30))</f>
        <v>8.3333333333333329E-2</v>
      </c>
      <c r="K30" s="392">
        <f t="shared" si="3"/>
        <v>396452.85754055</v>
      </c>
      <c r="L30" s="534">
        <f>IF($AE$30&lt;1," ",IF(K30&lt;1," ",(K30)/$AE$30))</f>
        <v>8.3333333333333329E-2</v>
      </c>
      <c r="M30" s="392">
        <f t="shared" si="3"/>
        <v>396452.85754055</v>
      </c>
      <c r="N30" s="341">
        <f>IF($AE$30&lt;1," ",IF(M30&lt;1," ",(M30)/$AE$30))</f>
        <v>8.3333333333333329E-2</v>
      </c>
      <c r="O30" s="392">
        <f t="shared" si="3"/>
        <v>396452.85754055</v>
      </c>
      <c r="P30" s="534">
        <f>IF($AE$30&lt;1," ",IF(O30&lt;1," ",(O30)/$AE$30))</f>
        <v>8.3333333333333329E-2</v>
      </c>
      <c r="Q30" s="392">
        <f t="shared" si="3"/>
        <v>396452.85754055</v>
      </c>
      <c r="R30" s="534">
        <f>IF($AE$30&lt;1," ",IF(Q30&lt;1," ",(Q30)/$AE$30))</f>
        <v>8.3333333333333329E-2</v>
      </c>
      <c r="S30" s="392">
        <f t="shared" si="3"/>
        <v>396452.85754055</v>
      </c>
      <c r="T30" s="341">
        <f>IF($AE$30&lt;1," ",IF(S30&lt;1," ",(S30)/$AE$30))</f>
        <v>8.3333333333333329E-2</v>
      </c>
      <c r="U30" s="392">
        <f t="shared" si="3"/>
        <v>396452.85754055</v>
      </c>
      <c r="V30" s="341">
        <f>IF($AE$30&lt;1," ",IF(U30&lt;1," ",(U30)/$AE$30))</f>
        <v>8.3333333333333329E-2</v>
      </c>
      <c r="W30" s="392">
        <f t="shared" si="3"/>
        <v>396452.85754055</v>
      </c>
      <c r="X30" s="341">
        <f>IF($AE$30&lt;1," ",IF(W30&lt;1," ",(W30)/$AE$30))</f>
        <v>8.3333333333333329E-2</v>
      </c>
      <c r="Y30" s="392">
        <f t="shared" si="3"/>
        <v>396452.85754055</v>
      </c>
      <c r="Z30" s="341">
        <f>IF($AE$30&lt;1," ",IF(Y30&lt;1," ",(Y30)/$AE$30))</f>
        <v>8.3333333333333329E-2</v>
      </c>
      <c r="AA30" s="392">
        <f t="shared" si="3"/>
        <v>396452.85754055</v>
      </c>
      <c r="AB30" s="341">
        <f>IF($AE$30&lt;1," ",IF(AA30&lt;1," ",(AA30)/$AE$30))</f>
        <v>8.3333333333333329E-2</v>
      </c>
      <c r="AC30" s="1565">
        <f t="shared" si="4"/>
        <v>0</v>
      </c>
      <c r="AD30" s="389">
        <f t="shared" si="5"/>
        <v>4757434.2904866003</v>
      </c>
      <c r="AE30" s="389">
        <f>'1st Interim-Summary MYP'!I33</f>
        <v>4757434.2904866003</v>
      </c>
      <c r="AF30" s="389">
        <f t="shared" si="6"/>
        <v>0</v>
      </c>
      <c r="AG30" s="1203"/>
    </row>
    <row r="31" spans="1:33" ht="15.75">
      <c r="A31" s="408" t="s">
        <v>5</v>
      </c>
      <c r="B31" s="141"/>
      <c r="C31" s="279" t="s">
        <v>107</v>
      </c>
      <c r="D31" s="378"/>
      <c r="E31" s="379">
        <f>+'1st Interim-Summary MYP'!I34/12</f>
        <v>1196.8575000000003</v>
      </c>
      <c r="F31" s="534">
        <f>IF($AE$31&lt;1," ",IF(E31&lt;1," ",(E31)/$AE$31))</f>
        <v>8.3333333333333329E-2</v>
      </c>
      <c r="G31" s="392">
        <f t="shared" si="3"/>
        <v>1196.8575000000003</v>
      </c>
      <c r="H31" s="534">
        <f>IF($AE$31&lt;1," ",IF(G31&lt;1," ",(G31)/$AE$31))</f>
        <v>8.3333333333333329E-2</v>
      </c>
      <c r="I31" s="392">
        <f t="shared" si="3"/>
        <v>1196.8575000000003</v>
      </c>
      <c r="J31" s="534">
        <f>IF($AE$31&lt;1," ",IF(I31&lt;1," ",(I31)/$AE$31))</f>
        <v>8.3333333333333329E-2</v>
      </c>
      <c r="K31" s="392">
        <f t="shared" si="3"/>
        <v>1196.8575000000003</v>
      </c>
      <c r="L31" s="534">
        <f>IF($AE$31&lt;1," ",IF(K31&lt;1," ",(K31)/$AE$31))</f>
        <v>8.3333333333333329E-2</v>
      </c>
      <c r="M31" s="392">
        <f t="shared" si="3"/>
        <v>1196.8575000000003</v>
      </c>
      <c r="N31" s="341">
        <f>IF($AE$31&lt;1," ",IF(M31&lt;1," ",(M31)/$AE$31))</f>
        <v>8.3333333333333329E-2</v>
      </c>
      <c r="O31" s="392">
        <f t="shared" si="3"/>
        <v>1196.8575000000003</v>
      </c>
      <c r="P31" s="534">
        <f>IF($AE$31&lt;1," ",IF(O31&lt;1," ",(O31)/$AE$31))</f>
        <v>8.3333333333333329E-2</v>
      </c>
      <c r="Q31" s="392">
        <f t="shared" si="3"/>
        <v>1196.8575000000003</v>
      </c>
      <c r="R31" s="534">
        <f>IF($AE$31&lt;1," ",IF(Q31&lt;1," ",(Q31)/$AE$31))</f>
        <v>8.3333333333333329E-2</v>
      </c>
      <c r="S31" s="392">
        <f t="shared" si="3"/>
        <v>1196.8575000000003</v>
      </c>
      <c r="T31" s="341">
        <f>IF($AE$31&lt;1," ",IF(S31&lt;1," ",(S31)/$AE$31))</f>
        <v>8.3333333333333329E-2</v>
      </c>
      <c r="U31" s="392">
        <f t="shared" si="3"/>
        <v>1196.8575000000003</v>
      </c>
      <c r="V31" s="341">
        <f>IF($AE$31&lt;1," ",IF(U31&lt;1," ",(U31)/$AE$31))</f>
        <v>8.3333333333333329E-2</v>
      </c>
      <c r="W31" s="392">
        <f t="shared" si="3"/>
        <v>1196.8575000000003</v>
      </c>
      <c r="X31" s="341">
        <f>IF($AE$31&lt;1," ",IF(W31&lt;1," ",(W31)/$AE$31))</f>
        <v>8.3333333333333329E-2</v>
      </c>
      <c r="Y31" s="392">
        <f t="shared" si="3"/>
        <v>1196.8575000000003</v>
      </c>
      <c r="Z31" s="341">
        <f>IF($AE$31&lt;1," ",IF(Y31&lt;1," ",(Y31)/$AE$31))</f>
        <v>8.3333333333333329E-2</v>
      </c>
      <c r="AA31" s="392">
        <f t="shared" si="3"/>
        <v>1196.8575000000003</v>
      </c>
      <c r="AB31" s="341">
        <f>IF($AE$31&lt;1," ",IF(AA31&lt;1," ",(AA31)/$AE$31))</f>
        <v>8.3333333333333329E-2</v>
      </c>
      <c r="AC31" s="1565">
        <f t="shared" si="4"/>
        <v>0</v>
      </c>
      <c r="AD31" s="389">
        <f t="shared" si="5"/>
        <v>14362.290000000003</v>
      </c>
      <c r="AE31" s="389">
        <f>'1st Interim-Summary MYP'!I34</f>
        <v>14362.290000000005</v>
      </c>
      <c r="AF31" s="389">
        <f t="shared" si="6"/>
        <v>0</v>
      </c>
      <c r="AG31" s="1203"/>
    </row>
    <row r="32" spans="1:33" ht="15.75">
      <c r="A32" s="408" t="s">
        <v>27</v>
      </c>
      <c r="B32" s="141"/>
      <c r="C32" s="279" t="s">
        <v>108</v>
      </c>
      <c r="D32" s="378"/>
      <c r="E32" s="379">
        <f>+'1st Interim-Summary MYP'!I35/12</f>
        <v>208.25</v>
      </c>
      <c r="F32" s="534">
        <f>IF($AE$32&lt;1," ",IF(E32&lt;1," ",(E32)/$AE$32))</f>
        <v>8.3333333333333329E-2</v>
      </c>
      <c r="G32" s="392">
        <f t="shared" si="3"/>
        <v>208.25</v>
      </c>
      <c r="H32" s="534">
        <f>IF($AE$32&lt;1," ",IF(G32&lt;1," ",(G32)/$AE$32))</f>
        <v>8.3333333333333329E-2</v>
      </c>
      <c r="I32" s="392">
        <f t="shared" si="3"/>
        <v>208.25</v>
      </c>
      <c r="J32" s="534">
        <f>IF($AE$32&lt;1," ",IF(I32&lt;1," ",(I32)/$AE$32))</f>
        <v>8.3333333333333329E-2</v>
      </c>
      <c r="K32" s="392">
        <f t="shared" si="3"/>
        <v>208.25</v>
      </c>
      <c r="L32" s="534">
        <f>IF($AE$32&lt;1," ",IF(K32&lt;1," ",(K32)/$AE$32))</f>
        <v>8.3333333333333329E-2</v>
      </c>
      <c r="M32" s="392">
        <f t="shared" si="3"/>
        <v>208.25</v>
      </c>
      <c r="N32" s="341">
        <f>IF($AE$32&lt;1," ",IF(M32&lt;1," ",(M32)/$AE$32))</f>
        <v>8.3333333333333329E-2</v>
      </c>
      <c r="O32" s="392">
        <f t="shared" si="3"/>
        <v>208.25</v>
      </c>
      <c r="P32" s="534">
        <f>IF($AE$32&lt;1," ",IF(O32&lt;1," ",(O32)/$AE$32))</f>
        <v>8.3333333333333329E-2</v>
      </c>
      <c r="Q32" s="392">
        <f t="shared" si="3"/>
        <v>208.25</v>
      </c>
      <c r="R32" s="534">
        <f>IF($AE$32&lt;1," ",IF(Q32&lt;1," ",(Q32)/$AE$32))</f>
        <v>8.3333333333333329E-2</v>
      </c>
      <c r="S32" s="392">
        <f t="shared" si="3"/>
        <v>208.25</v>
      </c>
      <c r="T32" s="341">
        <f>IF($AE$32&lt;1," ",IF(S32&lt;1," ",(S32)/$AE$32))</f>
        <v>8.3333333333333329E-2</v>
      </c>
      <c r="U32" s="392">
        <f t="shared" si="3"/>
        <v>208.25</v>
      </c>
      <c r="V32" s="341">
        <f>IF($AE$32&lt;1," ",IF(U32&lt;1," ",(U32)/$AE$32))</f>
        <v>8.3333333333333329E-2</v>
      </c>
      <c r="W32" s="392">
        <f t="shared" si="3"/>
        <v>208.25</v>
      </c>
      <c r="X32" s="341">
        <f>IF($AE$32&lt;1," ",IF(W32&lt;1," ",(W32)/$AE$32))</f>
        <v>8.3333333333333329E-2</v>
      </c>
      <c r="Y32" s="392">
        <f t="shared" si="3"/>
        <v>208.25</v>
      </c>
      <c r="Z32" s="341">
        <f>IF($AE$32&lt;1," ",IF(Y32&lt;1," ",(Y32)/$AE$32))</f>
        <v>8.3333333333333329E-2</v>
      </c>
      <c r="AA32" s="392">
        <f t="shared" si="3"/>
        <v>208.25</v>
      </c>
      <c r="AB32" s="341">
        <f>IF($AE$32&lt;1," ",IF(AA32&lt;1," ",(AA32)/$AE$32))</f>
        <v>8.3333333333333329E-2</v>
      </c>
      <c r="AC32" s="1565">
        <f t="shared" si="4"/>
        <v>0</v>
      </c>
      <c r="AD32" s="389">
        <f t="shared" si="5"/>
        <v>2499</v>
      </c>
      <c r="AE32" s="389">
        <f>'1st Interim-Summary MYP'!I35</f>
        <v>2499</v>
      </c>
      <c r="AF32" s="389">
        <f t="shared" si="6"/>
        <v>0</v>
      </c>
      <c r="AG32" s="1203"/>
    </row>
    <row r="33" spans="1:33" ht="15.75">
      <c r="A33" s="408" t="s">
        <v>149</v>
      </c>
      <c r="B33" s="141"/>
      <c r="C33" s="279" t="s">
        <v>114</v>
      </c>
      <c r="D33" s="378"/>
      <c r="E33" s="379">
        <f>+'1st Interim-Summary MYP'!I36/12</f>
        <v>0</v>
      </c>
      <c r="F33" s="534" t="str">
        <f>IF($AE33&lt;1," ",IF(E33&lt;1," ",(E33)/$AE33))</f>
        <v xml:space="preserve"> </v>
      </c>
      <c r="G33" s="392">
        <f t="shared" si="3"/>
        <v>0</v>
      </c>
      <c r="H33" s="534" t="str">
        <f>IF($AE33&lt;1," ",IF(G33&lt;1," ",(G33)/$AE33))</f>
        <v xml:space="preserve"> </v>
      </c>
      <c r="I33" s="392">
        <f t="shared" si="3"/>
        <v>0</v>
      </c>
      <c r="J33" s="534" t="str">
        <f>IF($AE33&lt;1," ",IF(I33&lt;1," ",(I33)/$AE33))</f>
        <v xml:space="preserve"> </v>
      </c>
      <c r="K33" s="392">
        <f t="shared" si="3"/>
        <v>0</v>
      </c>
      <c r="L33" s="534" t="str">
        <f>IF($AE33&lt;1," ",IF(K33&lt;1," ",(K33)/$AE33))</f>
        <v xml:space="preserve"> </v>
      </c>
      <c r="M33" s="392">
        <f t="shared" si="3"/>
        <v>0</v>
      </c>
      <c r="N33" s="341" t="str">
        <f>IF($AE33&lt;1," ",IF(M33&lt;1," ",(M33)/$AE33))</f>
        <v xml:space="preserve"> </v>
      </c>
      <c r="O33" s="392">
        <f t="shared" si="3"/>
        <v>0</v>
      </c>
      <c r="P33" s="534" t="str">
        <f>IF($AE33&lt;1," ",IF(O33&lt;1," ",(O33)/$AE33))</f>
        <v xml:space="preserve"> </v>
      </c>
      <c r="Q33" s="392">
        <f t="shared" si="3"/>
        <v>0</v>
      </c>
      <c r="R33" s="534" t="str">
        <f>IF($AE33&lt;1," ",IF(Q33&lt;1," ",(Q33)/$AE33))</f>
        <v xml:space="preserve"> </v>
      </c>
      <c r="S33" s="392">
        <f t="shared" si="3"/>
        <v>0</v>
      </c>
      <c r="T33" s="341" t="str">
        <f>IF($AE33&lt;1," ",IF(S33&lt;1," ",(S33)/$AE33))</f>
        <v xml:space="preserve"> </v>
      </c>
      <c r="U33" s="392">
        <f t="shared" si="3"/>
        <v>0</v>
      </c>
      <c r="V33" s="341" t="str">
        <f>IF($AE33&lt;1," ",IF(U33&lt;1," ",(U33)/$AE33))</f>
        <v xml:space="preserve"> </v>
      </c>
      <c r="W33" s="392">
        <f t="shared" si="3"/>
        <v>0</v>
      </c>
      <c r="X33" s="341" t="str">
        <f>IF($AE33&lt;1," ",IF(W33&lt;1," ",(W33)/$AE33))</f>
        <v xml:space="preserve"> </v>
      </c>
      <c r="Y33" s="392">
        <f t="shared" si="3"/>
        <v>0</v>
      </c>
      <c r="Z33" s="341" t="str">
        <f>IF($AE33&lt;1," ",IF(Y33&lt;1," ",(Y33)/$AE33))</f>
        <v xml:space="preserve"> </v>
      </c>
      <c r="AA33" s="392">
        <f t="shared" si="3"/>
        <v>0</v>
      </c>
      <c r="AB33" s="341" t="str">
        <f>IF($AE33&lt;1," ",IF(AA33&lt;1," ",(AA33)/$AE33))</f>
        <v xml:space="preserve"> </v>
      </c>
      <c r="AC33" s="1565">
        <f t="shared" si="4"/>
        <v>0</v>
      </c>
      <c r="AD33" s="389">
        <f t="shared" si="5"/>
        <v>0</v>
      </c>
      <c r="AE33" s="389">
        <f>'1st Interim-Summary MYP'!I36</f>
        <v>0</v>
      </c>
      <c r="AF33" s="389">
        <f t="shared" si="6"/>
        <v>0</v>
      </c>
      <c r="AG33" s="1203"/>
    </row>
    <row r="34" spans="1:33" ht="16.5" thickBot="1">
      <c r="A34" s="410" t="s">
        <v>28</v>
      </c>
      <c r="B34" s="384"/>
      <c r="C34" s="385"/>
      <c r="D34" s="385"/>
      <c r="E34" s="773">
        <f>+SUM(E26:E33)</f>
        <v>882567.91461784171</v>
      </c>
      <c r="F34" s="535">
        <f>IF($AE34&lt;1," ",IF(E34&lt;1," ",(E34)/$AE34))</f>
        <v>8.3333333333333343E-2</v>
      </c>
      <c r="G34" s="774">
        <f>+SUM(G26:G33)</f>
        <v>882567.91461784171</v>
      </c>
      <c r="H34" s="535">
        <f>IF($AE34&lt;1," ",IF(G34&lt;1," ",(G34)/$AE34))</f>
        <v>8.3333333333333343E-2</v>
      </c>
      <c r="I34" s="774">
        <f>+SUM(I26:I33)</f>
        <v>882567.91461784171</v>
      </c>
      <c r="J34" s="535">
        <f>IF($AE34&lt;1," ",IF(I34&lt;1," ",(I34)/$AE34))</f>
        <v>8.3333333333333343E-2</v>
      </c>
      <c r="K34" s="774">
        <f>+SUM(K26:K33)</f>
        <v>882567.91461784171</v>
      </c>
      <c r="L34" s="535">
        <f>IF($AE34&lt;1," ",IF(K34&lt;1," ",(K34)/$AE34))</f>
        <v>8.3333333333333343E-2</v>
      </c>
      <c r="M34" s="774">
        <f>+SUM(M26:M33)</f>
        <v>882567.91461784171</v>
      </c>
      <c r="N34" s="390">
        <f>IF($AE34&lt;1," ",IF(M34&lt;1," ",(M34)/$AE34))</f>
        <v>8.3333333333333343E-2</v>
      </c>
      <c r="O34" s="774">
        <f>+SUM(O26:O33)</f>
        <v>882567.91461784171</v>
      </c>
      <c r="P34" s="535">
        <f>IF($AE34&lt;1," ",IF(O34&lt;1," ",(O34)/$AE34))</f>
        <v>8.3333333333333343E-2</v>
      </c>
      <c r="Q34" s="774">
        <f>+SUM(Q26:Q33)</f>
        <v>882567.91461784171</v>
      </c>
      <c r="R34" s="535">
        <f>IF($AE34&lt;1," ",IF(Q34&lt;1," ",(Q34)/$AE34))</f>
        <v>8.3333333333333343E-2</v>
      </c>
      <c r="S34" s="774">
        <f>+SUM(S26:S33)</f>
        <v>882567.91461784171</v>
      </c>
      <c r="T34" s="390">
        <f>IF($AE34&lt;1," ",IF(S34&lt;1," ",(S34)/$AE34))</f>
        <v>8.3333333333333343E-2</v>
      </c>
      <c r="U34" s="774">
        <f>+SUM(U26:U33)</f>
        <v>882567.91461784171</v>
      </c>
      <c r="V34" s="390">
        <f>IF($AE34&lt;1," ",IF(U34&lt;1," ",(U34)/$AE34))</f>
        <v>8.3333333333333343E-2</v>
      </c>
      <c r="W34" s="774">
        <f>+SUM(W26:W33)</f>
        <v>882567.91461784171</v>
      </c>
      <c r="X34" s="390">
        <f>IF($AE34&lt;1," ",IF(W34&lt;1," ",(W34)/$AE34))</f>
        <v>8.3333333333333343E-2</v>
      </c>
      <c r="Y34" s="774">
        <f>+SUM(Y26:Y33)</f>
        <v>882567.91461784171</v>
      </c>
      <c r="Z34" s="390">
        <f>IF($AE34&lt;1," ",IF(Y34&lt;1," ",(Y34)/$AE34))</f>
        <v>8.3333333333333343E-2</v>
      </c>
      <c r="AA34" s="774">
        <f>+SUM(AA26:AA33)</f>
        <v>882567.91461784171</v>
      </c>
      <c r="AB34" s="390">
        <f>IF($AE34&lt;1," ",IF(AA34&lt;1," ",(AA34)/$AE34))</f>
        <v>8.3333333333333343E-2</v>
      </c>
      <c r="AC34" s="1564">
        <f>+SUM(AC26:AC33)</f>
        <v>0</v>
      </c>
      <c r="AD34" s="776">
        <f>+SUM(AD26:AD33)</f>
        <v>10590814.975414101</v>
      </c>
      <c r="AE34" s="776">
        <f>+SUM(AE26:AE33)</f>
        <v>10590814.975414099</v>
      </c>
      <c r="AF34" s="776">
        <f>+SUM(AF26:AF33)</f>
        <v>0</v>
      </c>
      <c r="AG34" s="1203"/>
    </row>
    <row r="35" spans="1:33" ht="15.75">
      <c r="A35" s="411"/>
      <c r="B35" s="373"/>
      <c r="C35" s="72"/>
      <c r="D35" s="72"/>
      <c r="E35" s="75"/>
      <c r="F35" s="197"/>
      <c r="G35" s="76"/>
      <c r="H35" s="197"/>
      <c r="I35" s="76"/>
      <c r="J35" s="197"/>
      <c r="K35" s="76"/>
      <c r="L35" s="197"/>
      <c r="M35" s="76"/>
      <c r="N35" s="197"/>
      <c r="O35" s="76"/>
      <c r="P35" s="197"/>
      <c r="Q35" s="76"/>
      <c r="R35" s="197"/>
      <c r="S35" s="76"/>
      <c r="T35" s="197"/>
      <c r="U35" s="76"/>
      <c r="V35" s="197"/>
      <c r="W35" s="76"/>
      <c r="X35" s="197"/>
      <c r="Y35" s="76"/>
      <c r="Z35" s="197"/>
      <c r="AA35" s="76"/>
      <c r="AB35" s="197"/>
      <c r="AC35" s="1024"/>
      <c r="AD35" s="1024"/>
      <c r="AE35" s="1024"/>
      <c r="AF35" s="1040"/>
      <c r="AG35" s="1203"/>
    </row>
    <row r="36" spans="1:33" ht="15.75">
      <c r="A36" s="67" t="s">
        <v>109</v>
      </c>
      <c r="B36" s="181"/>
      <c r="C36" s="375"/>
      <c r="D36" s="375"/>
      <c r="E36" s="376"/>
      <c r="F36" s="484"/>
      <c r="G36" s="526"/>
      <c r="H36" s="484"/>
      <c r="I36" s="526"/>
      <c r="J36" s="484"/>
      <c r="K36" s="526"/>
      <c r="L36" s="484"/>
      <c r="M36" s="526"/>
      <c r="N36" s="484"/>
      <c r="O36" s="526"/>
      <c r="P36" s="484"/>
      <c r="Q36" s="526"/>
      <c r="R36" s="484"/>
      <c r="S36" s="526"/>
      <c r="T36" s="484"/>
      <c r="U36" s="526"/>
      <c r="V36" s="484"/>
      <c r="W36" s="526"/>
      <c r="X36" s="484"/>
      <c r="Y36" s="526"/>
      <c r="Z36" s="484"/>
      <c r="AA36" s="526"/>
      <c r="AB36" s="484"/>
      <c r="AC36" s="1028"/>
      <c r="AD36" s="1028"/>
      <c r="AE36" s="1028"/>
      <c r="AF36" s="1036"/>
      <c r="AG36" s="1203"/>
    </row>
    <row r="37" spans="1:33" ht="15.75">
      <c r="A37" s="408" t="s">
        <v>127</v>
      </c>
      <c r="B37" s="141"/>
      <c r="C37" s="279">
        <v>8900</v>
      </c>
      <c r="D37" s="397"/>
      <c r="E37" s="379"/>
      <c r="F37" s="534" t="str">
        <f>IF($AE37&lt;1," ",IF(E37&lt;1," ",(E37)/$AE37))</f>
        <v xml:space="preserve"> </v>
      </c>
      <c r="G37" s="392"/>
      <c r="H37" s="534" t="str">
        <f>IF($AE37&lt;1," ",IF(G37&lt;1," ",(G37)/$AE37))</f>
        <v xml:space="preserve"> </v>
      </c>
      <c r="I37" s="392"/>
      <c r="J37" s="534" t="str">
        <f>IF($AE37&lt;1," ",IF(I37&lt;1," ",(I37)/$AE37))</f>
        <v xml:space="preserve"> </v>
      </c>
      <c r="K37" s="392"/>
      <c r="L37" s="534" t="str">
        <f>IF($AE37&lt;1," ",IF(K37&lt;1," ",(K37)/$AE37))</f>
        <v xml:space="preserve"> </v>
      </c>
      <c r="M37" s="392"/>
      <c r="N37" s="341" t="str">
        <f>IF($AE37&lt;1," ",IF(M37&lt;1," ",(M37)/$AE37))</f>
        <v xml:space="preserve"> </v>
      </c>
      <c r="O37" s="392"/>
      <c r="P37" s="341" t="str">
        <f>IF($AE37&lt;1," ",IF(O37&lt;1," ",(O37)/$AE37))</f>
        <v xml:space="preserve"> </v>
      </c>
      <c r="Q37" s="392"/>
      <c r="R37" s="341" t="str">
        <f>IF($AE37&lt;1," ",IF(Q37&lt;1," ",(Q37)/$AE37))</f>
        <v xml:space="preserve"> </v>
      </c>
      <c r="S37" s="392"/>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565">
        <f>AE37-(E37+G37+I37+K37+M37+O37+Q37+S37+U37+W37+Y37+AA37)</f>
        <v>0</v>
      </c>
      <c r="AD37" s="389">
        <f>+E37+G37+I37+K37+M37+O37+Q37+S37+U37+W37+Y37+AA37+AC37</f>
        <v>0</v>
      </c>
      <c r="AE37" s="389">
        <f>'1st Interim-Summary MYP'!I42</f>
        <v>0</v>
      </c>
      <c r="AF37" s="389">
        <f>+AE37-AD37</f>
        <v>0</v>
      </c>
      <c r="AG37" s="1203"/>
    </row>
    <row r="38" spans="1:33" ht="15.75">
      <c r="A38" s="408" t="s">
        <v>30</v>
      </c>
      <c r="B38" s="141"/>
      <c r="C38" s="279">
        <v>7600</v>
      </c>
      <c r="D38" s="397"/>
      <c r="E38" s="379"/>
      <c r="F38" s="534" t="str">
        <f>IF($AE38&lt;1," ",IF(E38&lt;1," ",(E38)/$AE38))</f>
        <v xml:space="preserve"> </v>
      </c>
      <c r="G38" s="392"/>
      <c r="H38" s="534" t="str">
        <f>IF($AE38&lt;1," ",IF(G38&lt;1," ",(G38)/$AE38))</f>
        <v xml:space="preserve"> </v>
      </c>
      <c r="I38" s="392"/>
      <c r="J38" s="534" t="str">
        <f>IF($AE38&lt;1," ",IF(I38&lt;1," ",(I38)/$AE38))</f>
        <v xml:space="preserve"> </v>
      </c>
      <c r="K38" s="392"/>
      <c r="L38" s="534" t="str">
        <f>IF($AE38&lt;1," ",IF(K38&lt;1," ",(K38)/$AE38))</f>
        <v xml:space="preserve"> </v>
      </c>
      <c r="M38" s="392"/>
      <c r="N38" s="341" t="str">
        <f>IF($AE38&lt;1," ",IF(M38&lt;1," ",(M38)/$AE38))</f>
        <v xml:space="preserve"> </v>
      </c>
      <c r="O38" s="392"/>
      <c r="P38" s="341" t="str">
        <f>IF($AE38&lt;1," ",IF(O38&lt;1," ",(O38)/$AE38))</f>
        <v xml:space="preserve"> </v>
      </c>
      <c r="Q38" s="392">
        <v>-500000</v>
      </c>
      <c r="R38" s="341" t="str">
        <f>IF($AE38&lt;1," ",IF(Q38&lt;1," ",(Q38)/$AE38))</f>
        <v xml:space="preserve"> </v>
      </c>
      <c r="S38" s="392"/>
      <c r="T38" s="341" t="str">
        <f>IF($AE38&lt;1," ",IF(S38&lt;1," ",(S38)/$AE38))</f>
        <v xml:space="preserve"> </v>
      </c>
      <c r="U38" s="392"/>
      <c r="V38" s="341" t="str">
        <f>IF($AE38&lt;1," ",IF(U38&lt;1," ",(U38)/$AE38))</f>
        <v xml:space="preserve"> </v>
      </c>
      <c r="W38" s="392"/>
      <c r="X38" s="341" t="str">
        <f>IF($AE38&lt;1," ",IF(W38&lt;1," ",(W38)/$AE38))</f>
        <v xml:space="preserve"> </v>
      </c>
      <c r="Y38" s="392"/>
      <c r="Z38" s="341" t="str">
        <f>IF($AE38&lt;1," ",IF(Y38&lt;1," ",(Y38)/$AE38))</f>
        <v xml:space="preserve"> </v>
      </c>
      <c r="AA38" s="392">
        <v>-600000</v>
      </c>
      <c r="AB38" s="341" t="str">
        <f>IF($AE38&lt;1," ",IF(AA38&lt;1," ",(AA38)/$AE38))</f>
        <v xml:space="preserve"> </v>
      </c>
      <c r="AC38" s="1565">
        <f>AE38-(E38+G38+I38+K38+M38+O38+Q38+S38+U38+W38+Y38+AA38)</f>
        <v>0</v>
      </c>
      <c r="AD38" s="389">
        <f>+E38+G38+I38+K38+M38+O38+Q38+S38+U38+W38+Y38+AA38+AC38</f>
        <v>-1100000</v>
      </c>
      <c r="AE38" s="389">
        <f>'1st Interim-Summary MYP'!I43</f>
        <v>-1100000</v>
      </c>
      <c r="AF38" s="389">
        <f>+AE38-AD38</f>
        <v>0</v>
      </c>
      <c r="AG38" s="1203"/>
    </row>
    <row r="39" spans="1:33" ht="16.5" thickBot="1">
      <c r="A39" s="412" t="s">
        <v>31</v>
      </c>
      <c r="B39" s="384"/>
      <c r="C39" s="385"/>
      <c r="D39" s="385"/>
      <c r="E39" s="773">
        <f>+E37-E38</f>
        <v>0</v>
      </c>
      <c r="F39" s="535" t="str">
        <f>IF($AE39&lt;1," ",IF(E39&lt;1," ",(E39)/$AE39))</f>
        <v xml:space="preserve"> </v>
      </c>
      <c r="G39" s="774">
        <f>+G37-G38</f>
        <v>0</v>
      </c>
      <c r="H39" s="535" t="str">
        <f>IF($AE39&lt;1," ",IF(G39&lt;1," ",(G39)/$AE39))</f>
        <v xml:space="preserve"> </v>
      </c>
      <c r="I39" s="774">
        <f>+I37-I38</f>
        <v>0</v>
      </c>
      <c r="J39" s="535" t="str">
        <f>IF($AE39&lt;1," ",IF(I39&lt;1," ",(I39)/$AE39))</f>
        <v xml:space="preserve"> </v>
      </c>
      <c r="K39" s="774">
        <f>+K37-K38</f>
        <v>0</v>
      </c>
      <c r="L39" s="535" t="str">
        <f>IF($AE39&lt;1," ",IF(K39&lt;1," ",(K39)/$AE39))</f>
        <v xml:space="preserve"> </v>
      </c>
      <c r="M39" s="774">
        <f>+M37-M38</f>
        <v>0</v>
      </c>
      <c r="N39" s="390" t="str">
        <f>IF($AE39&lt;1," ",IF(M39&lt;1," ",(M39)/$AE39))</f>
        <v xml:space="preserve"> </v>
      </c>
      <c r="O39" s="774">
        <f>+O37-O38</f>
        <v>0</v>
      </c>
      <c r="P39" s="390" t="str">
        <f>IF($AE39&lt;1," ",IF(O39&lt;1," ",(O39)/$AE39))</f>
        <v xml:space="preserve"> </v>
      </c>
      <c r="Q39" s="774">
        <f>+Q37-Q38</f>
        <v>500000</v>
      </c>
      <c r="R39" s="390">
        <f>IF($AE39&lt;1," ",IF(Q39&lt;1," ",(Q39)/$AE39))</f>
        <v>0.45454545454545453</v>
      </c>
      <c r="S39" s="774">
        <f>+S37-S38</f>
        <v>0</v>
      </c>
      <c r="T39" s="390" t="str">
        <f>IF($AE39&lt;1," ",IF(S39&lt;1," ",(S39)/$AE39))</f>
        <v xml:space="preserve"> </v>
      </c>
      <c r="U39" s="774">
        <f>+U37-U38</f>
        <v>0</v>
      </c>
      <c r="V39" s="390" t="str">
        <f>IF($AE39&lt;1," ",IF(U39&lt;1," ",(U39)/$AE39))</f>
        <v xml:space="preserve"> </v>
      </c>
      <c r="W39" s="774">
        <f>+W37-W38</f>
        <v>0</v>
      </c>
      <c r="X39" s="390" t="str">
        <f>IF($AE39&lt;1," ",IF(W39&lt;1," ",(W39)/$AE39))</f>
        <v xml:space="preserve"> </v>
      </c>
      <c r="Y39" s="774">
        <f>+Y37-Y38</f>
        <v>0</v>
      </c>
      <c r="Z39" s="390" t="str">
        <f>IF($AE39&lt;1," ",IF(Y39&lt;1," ",(Y39)/$AE39))</f>
        <v xml:space="preserve"> </v>
      </c>
      <c r="AA39" s="774">
        <f>+AA37-AA38</f>
        <v>600000</v>
      </c>
      <c r="AB39" s="390">
        <f>IF($AE39&lt;1," ",IF(AA39&lt;1," ",(AA39)/$AE39))</f>
        <v>0.54545454545454541</v>
      </c>
      <c r="AC39" s="1564">
        <f>+AC37-AC38</f>
        <v>0</v>
      </c>
      <c r="AD39" s="776">
        <f>+AD37-AD38</f>
        <v>1100000</v>
      </c>
      <c r="AE39" s="776">
        <f>+AE37-AE38</f>
        <v>1100000</v>
      </c>
      <c r="AF39" s="776">
        <f>+AF37-AF38</f>
        <v>0</v>
      </c>
      <c r="AG39" s="1203"/>
    </row>
    <row r="40" spans="1:33" ht="15.75" customHeight="1">
      <c r="A40" s="411"/>
      <c r="B40" s="183"/>
      <c r="C40" s="23"/>
      <c r="D40" s="1861" t="s">
        <v>213</v>
      </c>
      <c r="E40" s="49"/>
      <c r="F40" s="538" t="s">
        <v>82</v>
      </c>
      <c r="G40" s="395"/>
      <c r="H40" s="538" t="s">
        <v>82</v>
      </c>
      <c r="I40" s="395"/>
      <c r="J40" s="538" t="s">
        <v>82</v>
      </c>
      <c r="K40" s="395"/>
      <c r="L40" s="538" t="s">
        <v>82</v>
      </c>
      <c r="M40" s="395"/>
      <c r="N40" s="1051" t="s">
        <v>82</v>
      </c>
      <c r="O40" s="395"/>
      <c r="P40" s="199" t="s">
        <v>82</v>
      </c>
      <c r="Q40" s="395"/>
      <c r="R40" s="537" t="s">
        <v>82</v>
      </c>
      <c r="S40" s="395"/>
      <c r="T40" s="199" t="s">
        <v>82</v>
      </c>
      <c r="U40" s="395"/>
      <c r="V40" s="199" t="s">
        <v>82</v>
      </c>
      <c r="W40" s="395"/>
      <c r="X40" s="199" t="s">
        <v>82</v>
      </c>
      <c r="Y40" s="395"/>
      <c r="Z40" s="199" t="s">
        <v>82</v>
      </c>
      <c r="AA40" s="395"/>
      <c r="AB40" s="199" t="s">
        <v>82</v>
      </c>
      <c r="AC40" s="1566"/>
      <c r="AD40" s="1035"/>
      <c r="AE40" s="1823" t="s">
        <v>214</v>
      </c>
      <c r="AF40" s="1041"/>
    </row>
    <row r="41" spans="1:33" ht="15.75">
      <c r="A41" s="67" t="s">
        <v>110</v>
      </c>
      <c r="B41" s="181"/>
      <c r="C41" s="23"/>
      <c r="D41" s="1862"/>
      <c r="E41" s="49"/>
      <c r="F41" s="538" t="s">
        <v>230</v>
      </c>
      <c r="G41" s="395"/>
      <c r="H41" s="538" t="s">
        <v>230</v>
      </c>
      <c r="I41" s="395"/>
      <c r="J41" s="538" t="s">
        <v>230</v>
      </c>
      <c r="K41" s="395"/>
      <c r="L41" s="538" t="s">
        <v>230</v>
      </c>
      <c r="M41" s="395"/>
      <c r="N41" s="1051" t="s">
        <v>230</v>
      </c>
      <c r="O41" s="395"/>
      <c r="P41" s="199" t="s">
        <v>230</v>
      </c>
      <c r="Q41" s="395"/>
      <c r="R41" s="538" t="s">
        <v>230</v>
      </c>
      <c r="S41" s="395"/>
      <c r="T41" s="199" t="s">
        <v>230</v>
      </c>
      <c r="U41" s="395"/>
      <c r="V41" s="199" t="s">
        <v>230</v>
      </c>
      <c r="W41" s="395"/>
      <c r="X41" s="199" t="s">
        <v>230</v>
      </c>
      <c r="Y41" s="395"/>
      <c r="Z41" s="199" t="s">
        <v>230</v>
      </c>
      <c r="AA41" s="395"/>
      <c r="AB41" s="199" t="s">
        <v>230</v>
      </c>
      <c r="AC41" s="1566"/>
      <c r="AD41" s="1035"/>
      <c r="AE41" s="1823"/>
      <c r="AF41" s="777"/>
    </row>
    <row r="42" spans="1:33" ht="15.75">
      <c r="A42" s="69"/>
      <c r="B42" s="183"/>
      <c r="C42" s="23"/>
      <c r="D42" s="1863"/>
      <c r="E42" s="49"/>
      <c r="F42" s="539"/>
      <c r="G42" s="395"/>
      <c r="H42" s="539"/>
      <c r="I42" s="395"/>
      <c r="J42" s="539"/>
      <c r="K42" s="395"/>
      <c r="L42" s="539"/>
      <c r="M42" s="395"/>
      <c r="N42" s="1052"/>
      <c r="O42" s="395"/>
      <c r="P42" s="195"/>
      <c r="Q42" s="395"/>
      <c r="R42" s="539"/>
      <c r="S42" s="395"/>
      <c r="T42" s="195"/>
      <c r="U42" s="395"/>
      <c r="V42" s="195"/>
      <c r="W42" s="395"/>
      <c r="X42" s="195"/>
      <c r="Y42" s="395"/>
      <c r="Z42" s="195"/>
      <c r="AA42" s="395"/>
      <c r="AB42" s="195"/>
      <c r="AC42" s="1566"/>
      <c r="AD42" s="1035"/>
      <c r="AE42" s="1823"/>
      <c r="AF42" s="777"/>
    </row>
    <row r="43" spans="1:33" ht="15.75" customHeight="1">
      <c r="A43" s="413" t="s">
        <v>330</v>
      </c>
      <c r="B43" s="398"/>
      <c r="C43" s="626">
        <v>9210</v>
      </c>
      <c r="D43" s="1019"/>
      <c r="E43" s="399"/>
      <c r="F43" s="534" t="str">
        <f>IF($D43&lt;1," ",IF(E43&lt;1," ",(E43)/$D43))</f>
        <v xml:space="preserve"> </v>
      </c>
      <c r="G43" s="400"/>
      <c r="H43" s="534" t="str">
        <f>IF($D43&lt;1," ",IF(G43&lt;1," ",(G43)/$D43))</f>
        <v xml:space="preserve"> </v>
      </c>
      <c r="I43" s="400"/>
      <c r="J43" s="534" t="str">
        <f>IF($D43&lt;1," ",IF(I43&lt;1," ",(I43)/$D43))</f>
        <v xml:space="preserve"> </v>
      </c>
      <c r="K43" s="400"/>
      <c r="L43" s="534" t="str">
        <f>IF($D43&lt;1," ",IF(K43&lt;1," ",(K43)/$D43))</f>
        <v xml:space="preserve"> </v>
      </c>
      <c r="M43" s="400"/>
      <c r="N43" s="341" t="str">
        <f>IF($D43&lt;1," ",IF(M43&lt;1," ",(M43)/$D43))</f>
        <v xml:space="preserve"> </v>
      </c>
      <c r="O43" s="400"/>
      <c r="P43" s="341" t="str">
        <f>IF($D43&lt;1," ",IF(O43&lt;1," ",(O43)/$D43))</f>
        <v xml:space="preserve"> </v>
      </c>
      <c r="Q43" s="400"/>
      <c r="R43" s="534" t="str">
        <f>IF($D43&lt;1," ",IF(Q43&lt;1," ",(Q43)/$D43))</f>
        <v xml:space="preserve"> </v>
      </c>
      <c r="S43" s="400"/>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567"/>
      <c r="AD43" s="1570">
        <f>+E43+G43+I43+K43+M43+O43+Q43+S43+U43+W43+Y43+AA43</f>
        <v>0</v>
      </c>
      <c r="AE43" s="401">
        <f>D43-AD43</f>
        <v>0</v>
      </c>
      <c r="AF43" s="777"/>
      <c r="AG43" s="1571" t="str">
        <f>IF(AD43=D43,"","Prior Year Transactions should be zero'd out by Year End")</f>
        <v/>
      </c>
    </row>
    <row r="44" spans="1:33" ht="15.75">
      <c r="A44" s="413" t="s">
        <v>11</v>
      </c>
      <c r="B44" s="398"/>
      <c r="C44" s="626">
        <v>9330</v>
      </c>
      <c r="D44" s="1019"/>
      <c r="E44" s="399"/>
      <c r="F44" s="534" t="str">
        <f>IF($D44&lt;1," ",IF(E44&lt;1," ",(E44)/$D44))</f>
        <v xml:space="preserve"> </v>
      </c>
      <c r="G44" s="400"/>
      <c r="H44" s="534" t="str">
        <f>IF($D44&lt;1," ",IF(G44&lt;1," ",(G44)/$D44))</f>
        <v xml:space="preserve"> </v>
      </c>
      <c r="I44" s="400"/>
      <c r="J44" s="534" t="str">
        <f>IF($D44&lt;1," ",IF(I44&lt;1," ",(I44)/$D44))</f>
        <v xml:space="preserve"> </v>
      </c>
      <c r="K44" s="400"/>
      <c r="L44" s="534" t="str">
        <f>IF($D44&lt;1," ",IF(K44&lt;1," ",(K44)/$D44))</f>
        <v xml:space="preserve"> </v>
      </c>
      <c r="M44" s="400"/>
      <c r="N44" s="341" t="str">
        <f>IF($D44&lt;1," ",IF(M44&lt;1," ",(M44)/$D44))</f>
        <v xml:space="preserve"> </v>
      </c>
      <c r="O44" s="400"/>
      <c r="P44" s="341" t="str">
        <f>IF($D44&lt;1," ",IF(O44&lt;1," ",(O44)/$D44))</f>
        <v xml:space="preserve"> </v>
      </c>
      <c r="Q44" s="400"/>
      <c r="R44" s="534" t="str">
        <f>IF($D44&lt;1," ",IF(Q44&lt;1," ",(Q44)/$D44))</f>
        <v xml:space="preserve"> </v>
      </c>
      <c r="S44" s="400"/>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567"/>
      <c r="AD44" s="1570">
        <f>+E44+G44+I44+K44+M44+O44+Q44+S44+U44+W44+Y44+AA44</f>
        <v>0</v>
      </c>
      <c r="AE44" s="401">
        <f>D44-AD44</f>
        <v>0</v>
      </c>
      <c r="AF44" s="777"/>
      <c r="AG44" s="1571" t="str">
        <f>IF(AD44=D44,"","Prior Year Transactions should be zero'd out by Year End")</f>
        <v/>
      </c>
    </row>
    <row r="45" spans="1:33" ht="15.75">
      <c r="A45" s="413" t="s">
        <v>499</v>
      </c>
      <c r="B45" s="398"/>
      <c r="C45" s="626">
        <v>9510</v>
      </c>
      <c r="D45" s="1019"/>
      <c r="E45" s="399"/>
      <c r="F45" s="534" t="str">
        <f>IF($D45&lt;1," ",IF(E45&lt;1," ",(E45)/$D45))</f>
        <v xml:space="preserve"> </v>
      </c>
      <c r="G45" s="400"/>
      <c r="H45" s="534" t="str">
        <f>IF($D45&lt;1," ",IF(G45&lt;1," ",(G45)/$D45))</f>
        <v xml:space="preserve"> </v>
      </c>
      <c r="I45" s="400"/>
      <c r="J45" s="534" t="str">
        <f>IF($D45&lt;1," ",IF(I45&lt;1," ",(I45)/$D45))</f>
        <v xml:space="preserve"> </v>
      </c>
      <c r="K45" s="400"/>
      <c r="L45" s="534" t="str">
        <f>IF($D45&lt;1," ",IF(K45&lt;1," ",(K45)/$D45))</f>
        <v xml:space="preserve"> </v>
      </c>
      <c r="M45" s="400"/>
      <c r="N45" s="341" t="str">
        <f>IF($D45&lt;1," ",IF(M45&lt;1," ",(M45)/$D45))</f>
        <v xml:space="preserve"> </v>
      </c>
      <c r="O45" s="400"/>
      <c r="P45" s="341" t="str">
        <f>IF($D45&lt;1," ",IF(O45&lt;1," ",(O45)/$D45))</f>
        <v xml:space="preserve"> </v>
      </c>
      <c r="Q45" s="400"/>
      <c r="R45" s="534" t="str">
        <f>IF($D45&lt;1," ",IF(Q45&lt;1," ",(Q45)/$D45))</f>
        <v xml:space="preserve"> </v>
      </c>
      <c r="S45" s="400"/>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567"/>
      <c r="AD45" s="1570">
        <f>+E45+G45+I45+K45+M45+O45+Q45+S45+U45+W45+Y45+AA45</f>
        <v>0</v>
      </c>
      <c r="AE45" s="401">
        <f>D45-AD45</f>
        <v>0</v>
      </c>
      <c r="AF45" s="777"/>
      <c r="AG45" s="1571" t="str">
        <f>IF(AD45=D45,"","Prior Year Transactions should be zero'd out by Year End")</f>
        <v/>
      </c>
    </row>
    <row r="46" spans="1:33" ht="15.75">
      <c r="A46" s="413" t="s">
        <v>500</v>
      </c>
      <c r="B46" s="398"/>
      <c r="C46" s="627">
        <v>9640</v>
      </c>
      <c r="D46" s="1020"/>
      <c r="E46" s="399"/>
      <c r="F46" s="534" t="str">
        <f>IF($D46&lt;1," ",IF(E46&lt;1," ",(E46)/$D46))</f>
        <v xml:space="preserve"> </v>
      </c>
      <c r="G46" s="400"/>
      <c r="H46" s="534" t="str">
        <f>IF($D46&lt;1," ",IF(G46&lt;1," ",(G46)/$D46))</f>
        <v xml:space="preserve"> </v>
      </c>
      <c r="I46" s="400"/>
      <c r="J46" s="534" t="str">
        <f>IF($D46&lt;1," ",IF(I46&lt;1," ",(I46)/$D46))</f>
        <v xml:space="preserve"> </v>
      </c>
      <c r="K46" s="400"/>
      <c r="L46" s="534" t="str">
        <f>IF($D46&lt;1," ",IF(K46&lt;1," ",(K46)/$D46))</f>
        <v xml:space="preserve"> </v>
      </c>
      <c r="M46" s="400"/>
      <c r="N46" s="341" t="str">
        <f>IF($D46&lt;1," ",IF(M46&lt;1," ",(M46)/$D46))</f>
        <v xml:space="preserve"> </v>
      </c>
      <c r="O46" s="400"/>
      <c r="P46" s="341" t="str">
        <f>IF($D46&lt;1," ",IF(O46&lt;1," ",(O46)/$D46))</f>
        <v xml:space="preserve"> </v>
      </c>
      <c r="Q46" s="400"/>
      <c r="R46" s="534" t="str">
        <f>IF($D46&lt;1," ",IF(Q46&lt;1," ",(Q46)/$D46))</f>
        <v xml:space="preserve"> </v>
      </c>
      <c r="S46" s="400"/>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567"/>
      <c r="AD46" s="1570">
        <f>+E46+G46+I46+K46+M46+O46+Q46+S46+U46+W46+Y46+AA46</f>
        <v>0</v>
      </c>
      <c r="AE46" s="401">
        <f>D46-AD46</f>
        <v>0</v>
      </c>
      <c r="AF46" s="777"/>
      <c r="AG46" s="1571" t="str">
        <f>IF(AD46=D46,"","Prior Year Transactions should be zero'd out by Year End")</f>
        <v/>
      </c>
    </row>
    <row r="47" spans="1:33" ht="15.75">
      <c r="A47" s="413" t="s">
        <v>501</v>
      </c>
      <c r="B47" s="398"/>
      <c r="C47" s="626">
        <v>9650</v>
      </c>
      <c r="D47" s="1019"/>
      <c r="E47" s="399"/>
      <c r="F47" s="534" t="str">
        <f>IF($D47&lt;1," ",IF(E47&lt;1," ",(E47)/$D47))</f>
        <v xml:space="preserve"> </v>
      </c>
      <c r="G47" s="400"/>
      <c r="H47" s="534" t="str">
        <f>IF($D47&lt;1," ",IF(G47&lt;1," ",(G47)/$D47))</f>
        <v xml:space="preserve"> </v>
      </c>
      <c r="I47" s="400"/>
      <c r="J47" s="534" t="str">
        <f>IF($D47&lt;1," ",IF(I47&lt;1," ",(I47)/$D47))</f>
        <v xml:space="preserve"> </v>
      </c>
      <c r="K47" s="400"/>
      <c r="L47" s="534" t="str">
        <f>IF($D47&lt;1," ",IF(K47&lt;1," ",(K47)/$D47))</f>
        <v xml:space="preserve"> </v>
      </c>
      <c r="M47" s="400"/>
      <c r="N47" s="341" t="str">
        <f>IF($D47&lt;1," ",IF(M47&lt;1," ",(M47)/$D47))</f>
        <v xml:space="preserve"> </v>
      </c>
      <c r="O47" s="400"/>
      <c r="P47" s="341" t="str">
        <f>IF($D47&lt;1," ",IF(O47&lt;1," ",(O47)/$D47))</f>
        <v xml:space="preserve"> </v>
      </c>
      <c r="Q47" s="400"/>
      <c r="R47" s="534" t="str">
        <f>IF($D47&lt;1," ",IF(Q47&lt;1," ",(Q47)/$D47))</f>
        <v xml:space="preserve"> </v>
      </c>
      <c r="S47" s="400"/>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567"/>
      <c r="AD47" s="1570">
        <f>+E47+G47+I47+K47+M47+O47+Q47+S47+U47+W47+Y47+AA47</f>
        <v>0</v>
      </c>
      <c r="AE47" s="401">
        <f>D47-AD47</f>
        <v>0</v>
      </c>
      <c r="AF47" s="777"/>
      <c r="AG47" s="1571" t="str">
        <f>IF(AD47=D47,"","Prior Year Transactions should be zero'd out by Year End")</f>
        <v/>
      </c>
    </row>
    <row r="48" spans="1:33" ht="16.5" thickBot="1">
      <c r="A48" s="70" t="s">
        <v>111</v>
      </c>
      <c r="B48" s="371"/>
      <c r="C48" s="71"/>
      <c r="D48" s="1045">
        <f>+D43+D44-D45-D46-D47</f>
        <v>0</v>
      </c>
      <c r="E48" s="1050">
        <f>+E43+E44-E45-E46-E47</f>
        <v>0</v>
      </c>
      <c r="F48" s="540"/>
      <c r="G48" s="1054">
        <f>+G43+G44-G45-G46-G47</f>
        <v>0</v>
      </c>
      <c r="H48" s="540"/>
      <c r="I48" s="1054">
        <f>+I43+I44-I45-I46-I47</f>
        <v>0</v>
      </c>
      <c r="J48" s="540"/>
      <c r="K48" s="1054">
        <f>+K43+K44-K45-K46-K47</f>
        <v>0</v>
      </c>
      <c r="L48" s="540"/>
      <c r="M48" s="1054">
        <f>+M43+M44-M45-M46-M47</f>
        <v>0</v>
      </c>
      <c r="N48" s="198"/>
      <c r="O48" s="1054">
        <f>+O43+O44-O45-O46-O47</f>
        <v>0</v>
      </c>
      <c r="P48" s="198"/>
      <c r="Q48" s="1054">
        <f>+Q43+Q44-Q45-Q46-Q47</f>
        <v>0</v>
      </c>
      <c r="R48" s="540"/>
      <c r="S48" s="1054">
        <f>+S43+S44-S45-S46-S47</f>
        <v>0</v>
      </c>
      <c r="T48" s="198"/>
      <c r="U48" s="1054">
        <f>+U43+U44-U45-U46-U47</f>
        <v>0</v>
      </c>
      <c r="V48" s="198"/>
      <c r="W48" s="1054">
        <f>+W43+W44-W45-W46-W47</f>
        <v>0</v>
      </c>
      <c r="X48" s="198"/>
      <c r="Y48" s="1054">
        <f>+Y43+Y44-Y45-Y46-Y47</f>
        <v>0</v>
      </c>
      <c r="Z48" s="198"/>
      <c r="AA48" s="1054">
        <f>+AA43+AA44-AA45-AA46-AA47</f>
        <v>0</v>
      </c>
      <c r="AB48" s="198"/>
      <c r="AC48" s="1564"/>
      <c r="AD48" s="776">
        <f>+AD43+AD44-AD45-AD46-AD47</f>
        <v>0</v>
      </c>
      <c r="AE48" s="776">
        <f>+AE43+AE44-AE45-AE46-AE47</f>
        <v>0</v>
      </c>
      <c r="AF48" s="1042"/>
    </row>
    <row r="49" spans="1:33" ht="15.75">
      <c r="A49" s="409"/>
      <c r="B49" s="372"/>
      <c r="C49" s="72"/>
      <c r="D49" s="72"/>
      <c r="E49" s="77"/>
      <c r="F49" s="197"/>
      <c r="G49" s="193"/>
      <c r="H49" s="197"/>
      <c r="I49" s="193"/>
      <c r="J49" s="197"/>
      <c r="K49" s="193"/>
      <c r="L49" s="197"/>
      <c r="M49" s="193"/>
      <c r="N49" s="197"/>
      <c r="O49" s="193"/>
      <c r="P49" s="197"/>
      <c r="Q49" s="193"/>
      <c r="R49" s="197"/>
      <c r="S49" s="193"/>
      <c r="T49" s="197"/>
      <c r="U49" s="193"/>
      <c r="V49" s="197"/>
      <c r="W49" s="193"/>
      <c r="X49" s="197"/>
      <c r="Y49" s="193"/>
      <c r="Z49" s="197"/>
      <c r="AA49" s="193"/>
      <c r="AB49" s="197"/>
      <c r="AC49" s="1024"/>
      <c r="AD49" s="1024"/>
      <c r="AE49" s="1024"/>
      <c r="AF49" s="1040"/>
    </row>
    <row r="50" spans="1:33" ht="15.75">
      <c r="A50" s="67" t="s">
        <v>116</v>
      </c>
      <c r="B50" s="181"/>
      <c r="C50" s="375"/>
      <c r="D50" s="375"/>
      <c r="E50" s="548"/>
      <c r="F50" s="533"/>
      <c r="G50" s="528"/>
      <c r="H50" s="533"/>
      <c r="I50" s="528"/>
      <c r="J50" s="533"/>
      <c r="K50" s="528"/>
      <c r="L50" s="533"/>
      <c r="M50" s="528"/>
      <c r="N50" s="533"/>
      <c r="O50" s="528"/>
      <c r="P50" s="533"/>
      <c r="Q50" s="528"/>
      <c r="R50" s="533"/>
      <c r="S50" s="528"/>
      <c r="T50" s="533"/>
      <c r="U50" s="528"/>
      <c r="V50" s="533"/>
      <c r="W50" s="528"/>
      <c r="X50" s="533"/>
      <c r="Y50" s="528"/>
      <c r="Z50" s="533"/>
      <c r="AA50" s="528"/>
      <c r="AB50" s="533"/>
      <c r="AC50" s="1028"/>
      <c r="AD50" s="1028"/>
      <c r="AE50" s="1028"/>
      <c r="AF50" s="1036"/>
    </row>
    <row r="51" spans="1:33" ht="15.75">
      <c r="A51" s="1816" t="s">
        <v>514</v>
      </c>
      <c r="B51" s="1817"/>
      <c r="C51" s="378"/>
      <c r="D51" s="1599"/>
      <c r="E51" s="399"/>
      <c r="F51" s="341" t="str">
        <f>IF($AE51&lt;1," ",IF(E51&lt;1," ",(E51)/$AE51))</f>
        <v xml:space="preserve"> </v>
      </c>
      <c r="G51" s="400"/>
      <c r="H51" s="341" t="str">
        <f>IF($AE51&lt;1," ",IF(G51&lt;1," ",(G51)/$AE51))</f>
        <v xml:space="preserve"> </v>
      </c>
      <c r="I51" s="400"/>
      <c r="J51" s="341" t="str">
        <f>IF($AE51&lt;1," ",IF(I51&lt;1," ",(I51)/$AE51))</f>
        <v xml:space="preserve"> </v>
      </c>
      <c r="K51" s="400"/>
      <c r="L51" s="341" t="str">
        <f>IF($AE51&lt;1," ",IF(K51&lt;1," ",(K51)/$AE51))</f>
        <v xml:space="preserve"> </v>
      </c>
      <c r="M51" s="400"/>
      <c r="N51" s="534" t="str">
        <f>IF($AE51&lt;1," ",IF(M51&lt;1," ",(M51)/$AE51))</f>
        <v xml:space="preserve"> </v>
      </c>
      <c r="O51" s="400"/>
      <c r="P51" s="341" t="str">
        <f>IF($AE51&lt;1," ",IF(O51&lt;1," ",(O51)/$AE51))</f>
        <v xml:space="preserve"> </v>
      </c>
      <c r="Q51" s="400"/>
      <c r="R51" s="534" t="str">
        <f>IF($AE51&lt;1," ",IF(Q51&lt;1," ",(Q51)/$AE51))</f>
        <v xml:space="preserve"> </v>
      </c>
      <c r="S51" s="514"/>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400"/>
      <c r="AD51" s="381">
        <f>D51+E51+G51+I51+K51+M51+O51+Q51+S51+U51+W51+Y51+AA51+AC51</f>
        <v>0</v>
      </c>
      <c r="AE51" s="778"/>
      <c r="AF51" s="779"/>
      <c r="AG51" s="1203"/>
    </row>
    <row r="52" spans="1:33" ht="15.75">
      <c r="A52" s="1816"/>
      <c r="B52" s="1817"/>
      <c r="C52" s="397"/>
      <c r="D52" s="1599"/>
      <c r="E52" s="399"/>
      <c r="F52" s="341" t="str">
        <f>IF($AE52&lt;1," ",IF(E52&lt;1," ",(E52)/$AE52))</f>
        <v xml:space="preserve"> </v>
      </c>
      <c r="G52" s="400"/>
      <c r="H52" s="341" t="str">
        <f>IF($AE52&lt;1," ",IF(G52&lt;1," ",(G52)/$AE52))</f>
        <v xml:space="preserve"> </v>
      </c>
      <c r="I52" s="400"/>
      <c r="J52" s="341" t="str">
        <f>IF($AE52&lt;1," ",IF(I52&lt;1," ",(I52)/$AE52))</f>
        <v xml:space="preserve"> </v>
      </c>
      <c r="K52" s="400"/>
      <c r="L52" s="341" t="str">
        <f>IF($AE52&lt;1," ",IF(K52&lt;1," ",(K52)/$AE52))</f>
        <v xml:space="preserve"> </v>
      </c>
      <c r="M52" s="400"/>
      <c r="N52" s="534" t="str">
        <f>IF($AE52&lt;1," ",IF(M52&lt;1," ",(M52)/$AE52))</f>
        <v xml:space="preserve"> </v>
      </c>
      <c r="O52" s="400"/>
      <c r="P52" s="341" t="str">
        <f>IF($AE52&lt;1," ",IF(O52&lt;1," ",(O52)/$AE52))</f>
        <v xml:space="preserve"> </v>
      </c>
      <c r="Q52" s="400"/>
      <c r="R52" s="534" t="str">
        <f>IF($AE52&lt;1," ",IF(Q52&lt;1," ",(Q52)/$AE52))</f>
        <v xml:space="preserve"> </v>
      </c>
      <c r="S52" s="514"/>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400"/>
      <c r="AD52" s="381">
        <f>+E52+G52+I52+K52+M52+O52+Q52+S52+U52+W52+Y52+AA52+AC52</f>
        <v>0</v>
      </c>
      <c r="AE52" s="780"/>
      <c r="AF52" s="781"/>
      <c r="AG52" s="1223"/>
    </row>
    <row r="53" spans="1:33" ht="15.75">
      <c r="A53" s="1816"/>
      <c r="B53" s="1817"/>
      <c r="C53" s="378"/>
      <c r="D53" s="1599"/>
      <c r="E53" s="399"/>
      <c r="F53" s="341" t="str">
        <f>IF($AE53&lt;1," ",IF(E53&lt;1," ",(E53)/$AE53))</f>
        <v xml:space="preserve"> </v>
      </c>
      <c r="G53" s="400"/>
      <c r="H53" s="341" t="str">
        <f>IF($AE53&lt;1," ",IF(G53&lt;1," ",(G53)/$AE53))</f>
        <v xml:space="preserve"> </v>
      </c>
      <c r="I53" s="400"/>
      <c r="J53" s="341" t="str">
        <f>IF($AE53&lt;1," ",IF(I53&lt;1," ",(I53)/$AE53))</f>
        <v xml:space="preserve"> </v>
      </c>
      <c r="K53" s="400"/>
      <c r="L53" s="341" t="str">
        <f>IF($AE53&lt;1," ",IF(K53&lt;1," ",(K53)/$AE53))</f>
        <v xml:space="preserve"> </v>
      </c>
      <c r="M53" s="400"/>
      <c r="N53" s="534" t="str">
        <f>IF($AE53&lt;1," ",IF(M53&lt;1," ",(M53)/$AE53))</f>
        <v xml:space="preserve"> </v>
      </c>
      <c r="O53" s="400"/>
      <c r="P53" s="341" t="str">
        <f>IF($AE53&lt;1," ",IF(O53&lt;1," ",(O53)/$AE53))</f>
        <v xml:space="preserve"> </v>
      </c>
      <c r="Q53" s="400"/>
      <c r="R53" s="534" t="str">
        <f>IF($AE53&lt;1," ",IF(Q53&lt;1," ",(Q53)/$AE53))</f>
        <v xml:space="preserve"> </v>
      </c>
      <c r="S53" s="514"/>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400"/>
      <c r="AD53" s="381">
        <f>+E53+G53+I53+K53+M53+O53+Q53+S53+U53+W53+Y53+AA53+AC53</f>
        <v>0</v>
      </c>
      <c r="AE53" s="780"/>
      <c r="AF53" s="781"/>
      <c r="AG53" s="1223"/>
    </row>
    <row r="54" spans="1:33" ht="15.75">
      <c r="A54" s="1816"/>
      <c r="B54" s="1817"/>
      <c r="C54" s="378"/>
      <c r="D54" s="1599"/>
      <c r="E54" s="399"/>
      <c r="F54" s="341" t="str">
        <f>IF($AE54&lt;1," ",IF(E54&lt;1," ",(E54)/$AE54))</f>
        <v xml:space="preserve"> </v>
      </c>
      <c r="G54" s="400"/>
      <c r="H54" s="341" t="str">
        <f>IF($AE54&lt;1," ",IF(G54&lt;1," ",(G54)/$AE54))</f>
        <v xml:space="preserve"> </v>
      </c>
      <c r="I54" s="400"/>
      <c r="J54" s="341" t="str">
        <f>IF($AE54&lt;1," ",IF(I54&lt;1," ",(I54)/$AE54))</f>
        <v xml:space="preserve"> </v>
      </c>
      <c r="K54" s="400"/>
      <c r="L54" s="341" t="str">
        <f>IF($AE54&lt;1," ",IF(K54&lt;1," ",(K54)/$AE54))</f>
        <v xml:space="preserve"> </v>
      </c>
      <c r="M54" s="400"/>
      <c r="N54" s="534" t="str">
        <f>IF($AE54&lt;1," ",IF(M54&lt;1," ",(M54)/$AE54))</f>
        <v xml:space="preserve"> </v>
      </c>
      <c r="O54" s="400"/>
      <c r="P54" s="341" t="str">
        <f>IF($AE54&lt;1," ",IF(O54&lt;1," ",(O54)/$AE54))</f>
        <v xml:space="preserve"> </v>
      </c>
      <c r="Q54" s="400"/>
      <c r="R54" s="534" t="str">
        <f>IF($AE54&lt;1," ",IF(Q54&lt;1," ",(Q54)/$AE54))</f>
        <v xml:space="preserve"> </v>
      </c>
      <c r="S54" s="514"/>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400"/>
      <c r="AD54" s="381">
        <f>+E54+G54+I54+K54+M54+O54+Q54+S54+U54+W54+Y54+AA54+AC54</f>
        <v>0</v>
      </c>
      <c r="AE54" s="780"/>
      <c r="AF54" s="781"/>
      <c r="AG54" s="1203"/>
    </row>
    <row r="55" spans="1:33" ht="15.75">
      <c r="A55" s="1816"/>
      <c r="B55" s="1817"/>
      <c r="C55" s="378"/>
      <c r="D55" s="1599"/>
      <c r="E55" s="399"/>
      <c r="F55" s="341" t="str">
        <f>IF($AE55&lt;1," ",IF(E55&lt;1," ",(E55)/$AE55))</f>
        <v xml:space="preserve"> </v>
      </c>
      <c r="G55" s="400"/>
      <c r="H55" s="341" t="str">
        <f>IF($AE55&lt;1," ",IF(G55&lt;1," ",(G55)/$AE55))</f>
        <v xml:space="preserve"> </v>
      </c>
      <c r="I55" s="400"/>
      <c r="J55" s="341" t="str">
        <f>IF($AE55&lt;1," ",IF(I55&lt;1," ",(I55)/$AE55))</f>
        <v xml:space="preserve"> </v>
      </c>
      <c r="K55" s="400"/>
      <c r="L55" s="341" t="str">
        <f>IF($AE55&lt;1," ",IF(K55&lt;1," ",(K55)/$AE55))</f>
        <v xml:space="preserve"> </v>
      </c>
      <c r="M55" s="400"/>
      <c r="N55" s="534" t="str">
        <f>IF($AE55&lt;1," ",IF(M55&lt;1," ",(M55)/$AE55))</f>
        <v xml:space="preserve"> </v>
      </c>
      <c r="O55" s="400"/>
      <c r="P55" s="341" t="str">
        <f>IF($AE55&lt;1," ",IF(O55&lt;1," ",(O55)/$AE55))</f>
        <v xml:space="preserve"> </v>
      </c>
      <c r="Q55" s="400"/>
      <c r="R55" s="534" t="str">
        <f>IF($AE55&lt;1," ",IF(Q55&lt;1," ",(Q55)/$AE55))</f>
        <v xml:space="preserve"> </v>
      </c>
      <c r="S55" s="514"/>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400"/>
      <c r="AD55" s="381">
        <f>+E55+G55+I55+K55+M55+O55+Q55+S55+U55+W55+Y55+AA55+AC55</f>
        <v>0</v>
      </c>
      <c r="AE55" s="780"/>
      <c r="AF55" s="781"/>
      <c r="AG55" s="1203"/>
    </row>
    <row r="56" spans="1:33" ht="16.5" thickBot="1">
      <c r="A56" s="70" t="s">
        <v>112</v>
      </c>
      <c r="B56" s="371"/>
      <c r="C56" s="71"/>
      <c r="D56" s="1077">
        <f>SUM(D51:D55)</f>
        <v>0</v>
      </c>
      <c r="E56" s="773">
        <f>SUM(E51:E55)</f>
        <v>0</v>
      </c>
      <c r="F56" s="386" t="s">
        <v>2</v>
      </c>
      <c r="G56" s="774">
        <f>SUM(G51:G55)</f>
        <v>0</v>
      </c>
      <c r="H56" s="386" t="s">
        <v>2</v>
      </c>
      <c r="I56" s="774">
        <f>SUM(I51:I55)</f>
        <v>0</v>
      </c>
      <c r="J56" s="386" t="s">
        <v>2</v>
      </c>
      <c r="K56" s="774">
        <f>SUM(K51:K55)</f>
        <v>0</v>
      </c>
      <c r="L56" s="386" t="s">
        <v>2</v>
      </c>
      <c r="M56" s="774">
        <f>SUM(M51:M55)</f>
        <v>0</v>
      </c>
      <c r="N56" s="536" t="s">
        <v>2</v>
      </c>
      <c r="O56" s="774">
        <f>SUM(O51:O55)</f>
        <v>0</v>
      </c>
      <c r="P56" s="386" t="s">
        <v>2</v>
      </c>
      <c r="Q56" s="774">
        <f>SUM(Q51:Q55)</f>
        <v>0</v>
      </c>
      <c r="R56" s="536" t="s">
        <v>2</v>
      </c>
      <c r="S56" s="775">
        <f>SUM(S51:S55)</f>
        <v>0</v>
      </c>
      <c r="T56" s="386" t="s">
        <v>2</v>
      </c>
      <c r="U56" s="774">
        <f>SUM(U51:U55)</f>
        <v>0</v>
      </c>
      <c r="V56" s="386" t="s">
        <v>2</v>
      </c>
      <c r="W56" s="774">
        <f>SUM(W51:W55)</f>
        <v>0</v>
      </c>
      <c r="X56" s="386" t="s">
        <v>2</v>
      </c>
      <c r="Y56" s="774">
        <f>SUM(Y51:Y55)</f>
        <v>0</v>
      </c>
      <c r="Z56" s="386" t="s">
        <v>2</v>
      </c>
      <c r="AA56" s="774">
        <f>SUM(AA51:AA55)</f>
        <v>0</v>
      </c>
      <c r="AB56" s="386" t="s">
        <v>2</v>
      </c>
      <c r="AC56" s="774">
        <f>SUM(AC51:AC55)</f>
        <v>0</v>
      </c>
      <c r="AD56" s="776">
        <f>SUM(AD51:AD55)</f>
        <v>0</v>
      </c>
      <c r="AE56" s="782"/>
      <c r="AF56" s="783"/>
      <c r="AG56" s="1203"/>
    </row>
    <row r="57" spans="1:33" ht="15.75">
      <c r="A57" s="69"/>
      <c r="B57" s="183"/>
      <c r="C57" s="23"/>
      <c r="D57" s="23"/>
      <c r="E57" s="24"/>
      <c r="F57" s="541"/>
      <c r="G57" s="394"/>
      <c r="H57" s="541"/>
      <c r="I57" s="394"/>
      <c r="J57" s="541"/>
      <c r="K57" s="394"/>
      <c r="L57" s="541"/>
      <c r="M57" s="394"/>
      <c r="N57" s="1053"/>
      <c r="O57" s="394"/>
      <c r="P57" s="52"/>
      <c r="Q57" s="394"/>
      <c r="R57" s="541"/>
      <c r="S57" s="394"/>
      <c r="T57" s="52"/>
      <c r="U57" s="394"/>
      <c r="V57" s="52"/>
      <c r="W57" s="394"/>
      <c r="X57" s="52"/>
      <c r="Y57" s="394"/>
      <c r="Z57" s="52"/>
      <c r="AA57" s="394"/>
      <c r="AB57" s="52"/>
      <c r="AC57" s="1568"/>
      <c r="AD57" s="1036"/>
      <c r="AE57" s="1037"/>
      <c r="AF57" s="1043"/>
      <c r="AG57" s="1203"/>
    </row>
    <row r="58" spans="1:33" ht="16.5" thickBot="1">
      <c r="A58" s="402" t="s">
        <v>115</v>
      </c>
      <c r="B58" s="403"/>
      <c r="C58" s="378"/>
      <c r="D58" s="378"/>
      <c r="E58" s="773">
        <f>+E23-E34+E39+E48+E56</f>
        <v>-87990.509346175008</v>
      </c>
      <c r="F58" s="536"/>
      <c r="G58" s="774">
        <f>+G23-G34+G39+G48+G56</f>
        <v>-87990.509346175008</v>
      </c>
      <c r="H58" s="536"/>
      <c r="I58" s="774">
        <f>+I23-I34+I39+I48+I56</f>
        <v>-87990.509346175008</v>
      </c>
      <c r="J58" s="536"/>
      <c r="K58" s="774">
        <f>+K23-K34+K39+K48+K56</f>
        <v>-87990.509346175008</v>
      </c>
      <c r="L58" s="536"/>
      <c r="M58" s="774">
        <f>+M23-M34+M39+M48+M56</f>
        <v>-87990.509346175008</v>
      </c>
      <c r="N58" s="386"/>
      <c r="O58" s="774">
        <f>+O23-O34+O39+O48+O56</f>
        <v>-87990.509346175008</v>
      </c>
      <c r="P58" s="386"/>
      <c r="Q58" s="774">
        <f>+Q23-Q34+Q39+Q48+Q56</f>
        <v>412009.49065382499</v>
      </c>
      <c r="R58" s="536"/>
      <c r="S58" s="774">
        <f>+S23-S34+S39+S48+S56</f>
        <v>-87990.509346175008</v>
      </c>
      <c r="T58" s="386"/>
      <c r="U58" s="774">
        <f>+U23-U34+U39+U48+U56</f>
        <v>-87990.509346175008</v>
      </c>
      <c r="V58" s="386"/>
      <c r="W58" s="774">
        <f>+W23-W34+W39+W48+W56</f>
        <v>-87990.509346175008</v>
      </c>
      <c r="X58" s="386"/>
      <c r="Y58" s="774">
        <f>+Y23-Y34+Y39+Y48+Y56</f>
        <v>-87990.509346175008</v>
      </c>
      <c r="Z58" s="386"/>
      <c r="AA58" s="774">
        <f>+AA23-AA34+AA39+AA48+AA56</f>
        <v>512009.49065382499</v>
      </c>
      <c r="AB58" s="386"/>
      <c r="AC58" s="1564">
        <f>+AC23-AC34+AC39+AC48+AC56</f>
        <v>0</v>
      </c>
      <c r="AD58" s="776">
        <f>+AD23-AD34+AD39+AD48+AD56</f>
        <v>44113.887845898047</v>
      </c>
      <c r="AE58" s="782"/>
      <c r="AF58" s="783"/>
      <c r="AG58" s="1203"/>
    </row>
    <row r="59" spans="1:33" ht="16.5" thickBot="1">
      <c r="A59" s="70"/>
      <c r="B59" s="371"/>
      <c r="C59" s="71"/>
      <c r="D59" s="71"/>
      <c r="E59" s="48"/>
      <c r="F59" s="540"/>
      <c r="G59" s="396"/>
      <c r="H59" s="540"/>
      <c r="I59" s="396"/>
      <c r="J59" s="540"/>
      <c r="K59" s="396"/>
      <c r="L59" s="540"/>
      <c r="M59" s="396"/>
      <c r="N59" s="198"/>
      <c r="O59" s="396"/>
      <c r="P59" s="198"/>
      <c r="Q59" s="396"/>
      <c r="R59" s="540"/>
      <c r="S59" s="396"/>
      <c r="T59" s="198"/>
      <c r="U59" s="396"/>
      <c r="V59" s="198"/>
      <c r="W59" s="396"/>
      <c r="X59" s="198"/>
      <c r="Y59" s="396"/>
      <c r="Z59" s="198"/>
      <c r="AA59" s="396"/>
      <c r="AB59" s="198"/>
      <c r="AC59" s="1569"/>
      <c r="AD59" s="192"/>
      <c r="AE59" s="782"/>
      <c r="AF59" s="783"/>
      <c r="AG59" s="1203"/>
    </row>
    <row r="60" spans="1:33" ht="16.5" thickBot="1">
      <c r="A60" s="70" t="s">
        <v>113</v>
      </c>
      <c r="B60" s="371"/>
      <c r="C60" s="71"/>
      <c r="D60" s="71"/>
      <c r="E60" s="1050">
        <f>+E6+E58</f>
        <v>817466.83363470295</v>
      </c>
      <c r="F60" s="540"/>
      <c r="G60" s="1054">
        <f>+G6+G58</f>
        <v>729476.32428852795</v>
      </c>
      <c r="H60" s="540"/>
      <c r="I60" s="1054">
        <f>+I6+I58</f>
        <v>641485.81494235294</v>
      </c>
      <c r="J60" s="540"/>
      <c r="K60" s="1054">
        <f>+K6+K58</f>
        <v>553495.30559617793</v>
      </c>
      <c r="L60" s="540"/>
      <c r="M60" s="1054">
        <f>+M6+M58</f>
        <v>465504.79625000292</v>
      </c>
      <c r="N60" s="198"/>
      <c r="O60" s="1054">
        <f>+O6+O58</f>
        <v>377514.28690382792</v>
      </c>
      <c r="P60" s="198"/>
      <c r="Q60" s="1054">
        <f>+Q6+Q58</f>
        <v>789523.77755765291</v>
      </c>
      <c r="R60" s="540"/>
      <c r="S60" s="1054">
        <f>+S6+S58</f>
        <v>701533.2682114779</v>
      </c>
      <c r="T60" s="198"/>
      <c r="U60" s="1054">
        <f>+U6+U58</f>
        <v>613542.75886530289</v>
      </c>
      <c r="V60" s="198"/>
      <c r="W60" s="1054">
        <f>+W6+W58</f>
        <v>525552.24951912789</v>
      </c>
      <c r="X60" s="198"/>
      <c r="Y60" s="1054">
        <f>+Y6+Y58</f>
        <v>437561.74017295288</v>
      </c>
      <c r="Z60" s="198"/>
      <c r="AA60" s="1054">
        <f>+AA6+AA58</f>
        <v>949571.23082677787</v>
      </c>
      <c r="AB60" s="198"/>
      <c r="AC60" s="1564">
        <f>+AC6+AC58</f>
        <v>949571.23082677787</v>
      </c>
      <c r="AD60" s="1241"/>
      <c r="AE60" s="1038"/>
      <c r="AF60" s="1044"/>
      <c r="AG60" s="1203"/>
    </row>
    <row r="62" spans="1:33" ht="16.5">
      <c r="AB62" s="1573" t="s">
        <v>502</v>
      </c>
      <c r="AC62" s="1574">
        <f>'1st Interim-Summary MYP'!I55</f>
        <v>77640.112233352324</v>
      </c>
    </row>
    <row r="63" spans="1:33" ht="17.25" thickBot="1">
      <c r="AB63" s="1575" t="s">
        <v>503</v>
      </c>
      <c r="AC63" s="1577">
        <f>AC60-AC62</f>
        <v>871931.11859342549</v>
      </c>
    </row>
    <row r="64" spans="1:33" ht="13.5" thickTop="1"/>
  </sheetData>
  <sheetProtection password="D94D" sheet="1"/>
  <mergeCells count="10">
    <mergeCell ref="F1:L1"/>
    <mergeCell ref="T1:Z1"/>
    <mergeCell ref="G2:K2"/>
    <mergeCell ref="A51:B51"/>
    <mergeCell ref="A52:B52"/>
    <mergeCell ref="A53:B53"/>
    <mergeCell ref="A54:B54"/>
    <mergeCell ref="A55:B55"/>
    <mergeCell ref="D40:D42"/>
    <mergeCell ref="AE40:AE42"/>
  </mergeCells>
  <conditionalFormatting sqref="F1">
    <cfRule type="containsText" dxfId="167" priority="7" stopIfTrue="1" operator="containsText" text="Enter">
      <formula>NOT(ISERROR(SEARCH("Enter",F1)))</formula>
    </cfRule>
  </conditionalFormatting>
  <conditionalFormatting sqref="T1">
    <cfRule type="containsText" dxfId="166" priority="6" stopIfTrue="1" operator="containsText" text="Enter">
      <formula>NOT(ISERROR(SEARCH("Enter",T1)))</formula>
    </cfRule>
  </conditionalFormatting>
  <conditionalFormatting sqref="AD47">
    <cfRule type="cellIs" dxfId="165" priority="1" stopIfTrue="1" operator="notEqual">
      <formula>$D$47</formula>
    </cfRule>
  </conditionalFormatting>
  <conditionalFormatting sqref="AD43">
    <cfRule type="cellIs" dxfId="164" priority="5" stopIfTrue="1" operator="notEqual">
      <formula>$D$43</formula>
    </cfRule>
  </conditionalFormatting>
  <conditionalFormatting sqref="AD44">
    <cfRule type="cellIs" dxfId="163" priority="4" stopIfTrue="1" operator="notEqual">
      <formula>$D$44</formula>
    </cfRule>
  </conditionalFormatting>
  <conditionalFormatting sqref="AD45">
    <cfRule type="cellIs" dxfId="162" priority="3" stopIfTrue="1" operator="notEqual">
      <formula>$D$45</formula>
    </cfRule>
  </conditionalFormatting>
  <conditionalFormatting sqref="AD46">
    <cfRule type="cellIs" dxfId="161" priority="2" stopIfTrue="1" operator="notEqual">
      <formula>$D$46</formula>
    </cfRule>
  </conditionalFormatting>
  <pageMargins left="0.7" right="0.7" top="0.75" bottom="0.75" header="0.3" footer="0.3"/>
  <pageSetup scale="51" fitToWidth="0" orientation="landscape" r:id="rId1"/>
  <headerFooter>
    <oddHeader xml:space="preserve">&amp;RPage &amp;P of &amp;N
</oddHeader>
  </headerFooter>
  <colBreaks count="1" manualBreakCount="1">
    <brk id="18" max="1048575" man="1"/>
  </colBreaks>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J154"/>
  <sheetViews>
    <sheetView workbookViewId="0">
      <pane xSplit="1" ySplit="5" topLeftCell="B156" activePane="bottomRight" state="frozen"/>
      <selection pane="topRight" activeCell="B1" sqref="B1"/>
      <selection pane="bottomLeft" activeCell="A6" sqref="A6"/>
      <selection pane="bottomRight" sqref="A1:E174"/>
    </sheetView>
  </sheetViews>
  <sheetFormatPr defaultColWidth="9.28515625" defaultRowHeight="12.75"/>
  <cols>
    <col min="1" max="1" width="56.7109375" style="1218" customWidth="1"/>
    <col min="2" max="2" width="17" style="1218" customWidth="1"/>
    <col min="3" max="3" width="14" style="1218" customWidth="1"/>
    <col min="4" max="4" width="14.7109375" style="1218" customWidth="1"/>
    <col min="5" max="5" width="14" style="1218" customWidth="1"/>
    <col min="6" max="8" width="9.28515625" style="1218"/>
    <col min="9" max="9" width="19" style="1218" customWidth="1"/>
    <col min="10" max="10" width="23.7109375" style="1218" customWidth="1"/>
    <col min="11" max="16384" width="9.28515625" style="1218"/>
  </cols>
  <sheetData>
    <row r="1" spans="1:10">
      <c r="A1" s="1600" t="str">
        <f>'BUDGET-CERTIFICATION'!H1</f>
        <v>Elite Academic Academy - Virtual Prep Lucerne</v>
      </c>
    </row>
    <row r="2" spans="1:10">
      <c r="A2" s="1600" t="s">
        <v>168</v>
      </c>
    </row>
    <row r="3" spans="1:10">
      <c r="A3" s="1600" t="str">
        <f>'Budget-ADA'!K7</f>
        <v>2022-23</v>
      </c>
    </row>
    <row r="4" spans="1:10">
      <c r="A4" s="1600" t="str">
        <f>'BUDGET-CERTIFICATION'!H3</f>
        <v>Lucerne Valley Unified School District</v>
      </c>
    </row>
    <row r="5" spans="1:10">
      <c r="B5" s="1601" t="s">
        <v>379</v>
      </c>
      <c r="C5" s="1601" t="s">
        <v>377</v>
      </c>
      <c r="D5" s="1601" t="s">
        <v>380</v>
      </c>
      <c r="E5" s="1601" t="s">
        <v>504</v>
      </c>
      <c r="H5" s="1601"/>
      <c r="I5" s="1601"/>
      <c r="J5" s="1601"/>
    </row>
    <row r="6" spans="1:10">
      <c r="A6" s="1218" t="s">
        <v>378</v>
      </c>
      <c r="B6" s="1623">
        <f>'1st Interim-ADA'!J76</f>
        <v>445.25</v>
      </c>
      <c r="C6" s="1623">
        <f>'1st Interim-ADA'!O76</f>
        <v>510.00000000000006</v>
      </c>
      <c r="D6" s="1623">
        <f>'1st Interim-ADA'!R76</f>
        <v>787.00000000000011</v>
      </c>
      <c r="E6" s="1623">
        <f>'1st Interim-ADA'!U76</f>
        <v>787.00000000000011</v>
      </c>
      <c r="H6" s="1602"/>
      <c r="I6" s="1603"/>
      <c r="J6" s="1603"/>
    </row>
    <row r="7" spans="1:10">
      <c r="A7" s="1218" t="s">
        <v>381</v>
      </c>
      <c r="B7" s="1604">
        <f>'1st Interim-Assumptions'!F24</f>
        <v>488</v>
      </c>
      <c r="C7" s="1605">
        <f>'1st Interim-Assumptions'!G24</f>
        <v>576</v>
      </c>
      <c r="D7" s="1605">
        <f>'1st Interim-Assumptions'!H24</f>
        <v>1000</v>
      </c>
      <c r="E7" s="1605">
        <f>'1st Interim-Assumptions'!J24</f>
        <v>1000</v>
      </c>
      <c r="H7" s="1602"/>
      <c r="I7" s="1603"/>
      <c r="J7" s="1603"/>
    </row>
    <row r="8" spans="1:10">
      <c r="A8" s="1218" t="s">
        <v>369</v>
      </c>
      <c r="B8" s="1604">
        <f>'1st Interim-Assumptions'!F27</f>
        <v>283</v>
      </c>
      <c r="C8" s="1605">
        <f>'1st Interim-Assumptions'!G27</f>
        <v>355.96800000000002</v>
      </c>
      <c r="D8" s="1605">
        <f>'1st Interim-Assumptions'!H27</f>
        <v>593.19999999999993</v>
      </c>
      <c r="E8" s="1605">
        <f>'1st Interim-Assumptions'!J27</f>
        <v>595.40000000000009</v>
      </c>
      <c r="H8" s="1602"/>
      <c r="I8" s="1603"/>
      <c r="J8" s="1603"/>
    </row>
    <row r="9" spans="1:10">
      <c r="A9" s="1218" t="s">
        <v>382</v>
      </c>
      <c r="B9" s="1606">
        <f>'1st Interim-Assumptions'!F28</f>
        <v>0.60089999999999999</v>
      </c>
      <c r="C9" s="1606">
        <f>'1st Interim-Assumptions'!G28</f>
        <v>0.61799999999999999</v>
      </c>
      <c r="D9" s="1606">
        <f>'1st Interim-Assumptions'!H28</f>
        <v>0.59319999999999995</v>
      </c>
      <c r="E9" s="1606">
        <f>'1st Interim-Assumptions'!J28</f>
        <v>0.59540000000000004</v>
      </c>
      <c r="H9" s="1602"/>
      <c r="I9" s="1603"/>
      <c r="J9" s="1603"/>
    </row>
    <row r="10" spans="1:10">
      <c r="H10" s="1602"/>
      <c r="I10" s="1603"/>
      <c r="J10" s="1603"/>
    </row>
    <row r="11" spans="1:10">
      <c r="A11" s="1218" t="s">
        <v>155</v>
      </c>
      <c r="B11" s="1608">
        <f>'1st Interim-Unrestricted MYP'!E13+'1st Interim-Unrestricted MYP'!E14+'1st Interim-Unrestricted MYP'!E15+'1st Interim-Unrestricted MYP'!E16</f>
        <v>8452168.0600000005</v>
      </c>
      <c r="C11" s="1608">
        <f>'1st Interim-Assumptions'!G11</f>
        <v>5401118.7999999998</v>
      </c>
      <c r="D11" s="1608">
        <f>'1st Interim-Assumptions'!H11</f>
        <v>8755604.4900000002</v>
      </c>
      <c r="E11" s="1608">
        <f>'1st Interim-Assumptions'!J11</f>
        <v>9076192.2200000007</v>
      </c>
      <c r="H11" s="1602"/>
      <c r="I11" s="1603"/>
      <c r="J11" s="1603"/>
    </row>
    <row r="12" spans="1:10">
      <c r="H12" s="1602"/>
      <c r="I12" s="1603"/>
      <c r="J12" s="1603"/>
    </row>
    <row r="13" spans="1:10">
      <c r="A13" s="1218" t="s">
        <v>383</v>
      </c>
      <c r="C13" s="1623">
        <f>'1st Interim-Assumptions'!G31</f>
        <v>33</v>
      </c>
      <c r="D13" s="1623">
        <f>'1st Interim-Assumptions'!H31</f>
        <v>39</v>
      </c>
      <c r="E13" s="1623">
        <f>'1st Interim-Assumptions'!J31</f>
        <v>39</v>
      </c>
      <c r="H13" s="1602"/>
      <c r="I13" s="1603"/>
      <c r="J13" s="1603"/>
    </row>
    <row r="14" spans="1:10">
      <c r="A14" s="1218" t="s">
        <v>390</v>
      </c>
      <c r="C14" s="1623">
        <f>'1st Interim-Assumptions'!G33</f>
        <v>1</v>
      </c>
      <c r="D14" s="1623">
        <f>'1st Interim-Assumptions'!H33</f>
        <v>1</v>
      </c>
      <c r="E14" s="1623">
        <f>'1st Interim-Assumptions'!J33</f>
        <v>1</v>
      </c>
      <c r="H14" s="1602"/>
      <c r="I14" s="1603"/>
      <c r="J14" s="1603"/>
    </row>
    <row r="15" spans="1:10">
      <c r="A15" s="1218" t="s">
        <v>473</v>
      </c>
      <c r="C15" s="1623">
        <f>'1st Interim-Assumptions'!G32</f>
        <v>6</v>
      </c>
      <c r="D15" s="1623">
        <f>'1st Interim-Assumptions'!H32</f>
        <v>6</v>
      </c>
      <c r="E15" s="1623">
        <f>'1st Interim-Assumptions'!J32</f>
        <v>6</v>
      </c>
      <c r="H15" s="1602"/>
    </row>
    <row r="16" spans="1:10">
      <c r="C16" s="1623"/>
      <c r="D16" s="1623"/>
      <c r="E16" s="1623"/>
      <c r="H16" s="1602"/>
    </row>
    <row r="17" spans="1:5">
      <c r="A17" s="1218" t="s">
        <v>391</v>
      </c>
      <c r="C17" s="1623">
        <f>'1st Interim-Assumptions'!G51</f>
        <v>1</v>
      </c>
      <c r="D17" s="1623">
        <f>'1st Interim-Assumptions'!H51</f>
        <v>2</v>
      </c>
      <c r="E17" s="1623">
        <f>'1st Interim-Assumptions'!J51</f>
        <v>2</v>
      </c>
    </row>
    <row r="18" spans="1:5">
      <c r="A18" s="1218" t="s">
        <v>479</v>
      </c>
      <c r="C18" s="1623">
        <f>'1st Interim-Assumptions'!G52</f>
        <v>1</v>
      </c>
      <c r="D18" s="1623">
        <f>'1st Interim-Assumptions'!H52</f>
        <v>0</v>
      </c>
      <c r="E18" s="1623">
        <f>'1st Interim-Assumptions'!J52</f>
        <v>0</v>
      </c>
    </row>
    <row r="19" spans="1:5">
      <c r="C19" s="1609"/>
      <c r="D19" s="1609"/>
      <c r="E19" s="1609"/>
    </row>
    <row r="20" spans="1:5">
      <c r="A20" s="1218" t="s">
        <v>475</v>
      </c>
      <c r="C20" s="1608">
        <f>'1st Interim-Assumptions'!G36</f>
        <v>65292.090909090912</v>
      </c>
      <c r="D20" s="1608">
        <f>'1st Interim-Assumptions'!H36</f>
        <v>67577.314090909087</v>
      </c>
      <c r="E20" s="1608">
        <f>'1st Interim-Assumptions'!J36</f>
        <v>69942.520084090895</v>
      </c>
    </row>
    <row r="21" spans="1:5">
      <c r="A21" s="1218" t="s">
        <v>474</v>
      </c>
      <c r="C21" s="1608">
        <f>'1st Interim-Assumptions'!G38</f>
        <v>64170</v>
      </c>
      <c r="D21" s="1608">
        <f>'1st Interim-Assumptions'!H38</f>
        <v>66415.95</v>
      </c>
      <c r="E21" s="1608">
        <f>'1st Interim-Assumptions'!J38</f>
        <v>68740.508249999984</v>
      </c>
    </row>
    <row r="22" spans="1:5">
      <c r="A22" s="1218" t="s">
        <v>476</v>
      </c>
      <c r="C22" s="1608">
        <f>'1st Interim-Assumptions'!G37</f>
        <v>102121</v>
      </c>
      <c r="D22" s="1608">
        <f>'1st Interim-Assumptions'!H37</f>
        <v>105695.23499999999</v>
      </c>
      <c r="E22" s="1608">
        <f>'1st Interim-Assumptions'!J37</f>
        <v>109394.56822499998</v>
      </c>
    </row>
    <row r="23" spans="1:5">
      <c r="A23" s="1612" t="s">
        <v>510</v>
      </c>
      <c r="C23" s="1608">
        <f>'1st Interim-Assumptions'!G40</f>
        <v>132000</v>
      </c>
      <c r="D23" s="1608">
        <f>'1st Interim-Assumptions'!H40</f>
        <v>184000</v>
      </c>
      <c r="E23" s="1608">
        <f>'1st Interim-Assumptions'!J40</f>
        <v>184000</v>
      </c>
    </row>
    <row r="24" spans="1:5">
      <c r="A24" s="1612"/>
      <c r="C24" s="1608"/>
      <c r="D24" s="1608"/>
      <c r="E24" s="1608"/>
    </row>
    <row r="25" spans="1:5">
      <c r="A25" s="1218" t="s">
        <v>477</v>
      </c>
      <c r="C25" s="1608">
        <f>'1st Interim-Assumptions'!G53</f>
        <v>60030</v>
      </c>
      <c r="D25" s="1608">
        <f>'1st Interim-Assumptions'!H53</f>
        <v>66576.633749999994</v>
      </c>
      <c r="E25" s="1608">
        <f>'1st Interim-Assumptions'!J53</f>
        <v>68906.815931249992</v>
      </c>
    </row>
    <row r="26" spans="1:5">
      <c r="A26" s="1218" t="s">
        <v>478</v>
      </c>
      <c r="C26" s="1608">
        <f>'1st Interim-Assumptions'!G54</f>
        <v>72800</v>
      </c>
      <c r="D26" s="1608">
        <f>'1st Interim-Assumptions'!H54</f>
        <v>0</v>
      </c>
      <c r="E26" s="1608">
        <f>'1st Interim-Assumptions'!J54</f>
        <v>0</v>
      </c>
    </row>
    <row r="27" spans="1:5">
      <c r="A27" s="1612" t="s">
        <v>511</v>
      </c>
      <c r="C27" s="1608">
        <f>'1st Interim-Assumptions'!G56</f>
        <v>8000</v>
      </c>
      <c r="D27" s="1608">
        <f>'1st Interim-Assumptions'!H56</f>
        <v>8000</v>
      </c>
      <c r="E27" s="1608">
        <f>'1st Interim-Assumptions'!J56</f>
        <v>8000</v>
      </c>
    </row>
    <row r="28" spans="1:5">
      <c r="C28" s="1608"/>
      <c r="D28" s="1608"/>
      <c r="E28" s="1608"/>
    </row>
    <row r="29" spans="1:5">
      <c r="A29" s="1612" t="s">
        <v>457</v>
      </c>
      <c r="C29" s="1608">
        <f>'1st Interim-Assumptions'!G41</f>
        <v>9527.7491995226646</v>
      </c>
      <c r="D29" s="1608">
        <f>'1st Interim-Assumptions'!H41</f>
        <v>9861.2204215059573</v>
      </c>
      <c r="E29" s="1608">
        <f>'1st Interim-Assumptions'!J41</f>
        <v>10206.363136258666</v>
      </c>
    </row>
    <row r="30" spans="1:5">
      <c r="A30" s="1218" t="s">
        <v>458</v>
      </c>
      <c r="C30" s="1608">
        <f>'1st Interim-Assumptions'!G57</f>
        <v>4593</v>
      </c>
      <c r="D30" s="1608">
        <f>'1st Interim-Assumptions'!H57</f>
        <v>8029.5954048208696</v>
      </c>
      <c r="E30" s="1608">
        <f>'1st Interim-Assumptions'!J57</f>
        <v>8310.6312439895992</v>
      </c>
    </row>
    <row r="31" spans="1:5">
      <c r="C31" s="1608"/>
      <c r="D31" s="1608"/>
      <c r="E31" s="1608"/>
    </row>
    <row r="32" spans="1:5">
      <c r="A32" s="1218" t="s">
        <v>447</v>
      </c>
      <c r="C32" s="1619">
        <f>'1st Interim-Assumptions'!G43</f>
        <v>0.14802944702827778</v>
      </c>
      <c r="D32" s="1619">
        <f>'1st Interim-Assumptions'!H43</f>
        <v>0.14802944702827778</v>
      </c>
      <c r="E32" s="1619">
        <f>'1st Interim-Assumptions'!J43</f>
        <v>0.14802944702827778</v>
      </c>
    </row>
    <row r="33" spans="1:5">
      <c r="A33" s="1218" t="s">
        <v>448</v>
      </c>
      <c r="C33" s="1619">
        <f>'1st Interim-Assumptions'!G59</f>
        <v>0</v>
      </c>
      <c r="D33" s="1619">
        <f>'1st Interim-Assumptions'!H59</f>
        <v>0</v>
      </c>
      <c r="E33" s="1619">
        <f>'1st Interim-Assumptions'!J59</f>
        <v>0</v>
      </c>
    </row>
    <row r="34" spans="1:5">
      <c r="A34" s="1218" t="s">
        <v>513</v>
      </c>
      <c r="B34" s="1610"/>
      <c r="C34" s="1603">
        <f>'1st Interim-Assumptions'!G42</f>
        <v>11694.094616969031</v>
      </c>
      <c r="D34" s="1603">
        <f>'1st Interim-Assumptions'!H42</f>
        <v>12103.387928562946</v>
      </c>
      <c r="E34" s="1603">
        <f>'1st Interim-Assumptions'!J42</f>
        <v>12527.006506062649</v>
      </c>
    </row>
    <row r="35" spans="1:5">
      <c r="A35" s="1218" t="s">
        <v>512</v>
      </c>
      <c r="B35" s="1610"/>
      <c r="C35" s="1603">
        <f>'1st Interim-Assumptions'!G57</f>
        <v>4593</v>
      </c>
      <c r="D35" s="1603">
        <f>'1st Interim-Assumptions'!H57</f>
        <v>8029.5954048208696</v>
      </c>
      <c r="E35" s="1603">
        <f>'1st Interim-Assumptions'!J57</f>
        <v>8310.6312439895992</v>
      </c>
    </row>
    <row r="36" spans="1:5">
      <c r="C36" s="1610"/>
      <c r="D36" s="1610"/>
      <c r="E36" s="1610"/>
    </row>
    <row r="37" spans="1:5">
      <c r="A37" s="1613" t="s">
        <v>453</v>
      </c>
      <c r="C37" s="1620">
        <f>'1st Interim-Assumptions'!G67</f>
        <v>1.5605041483138356E-2</v>
      </c>
      <c r="D37" s="1620">
        <f>'1st Interim-Assumptions'!H67</f>
        <v>1.5605041483138356E-2</v>
      </c>
      <c r="E37" s="1620">
        <f>'1st Interim-Assumptions'!J67</f>
        <v>1.5605041483138356E-2</v>
      </c>
    </row>
    <row r="38" spans="1:5">
      <c r="A38" s="1218" t="s">
        <v>454</v>
      </c>
      <c r="C38" s="1621">
        <f>'1st Interim-Assumptions'!G68</f>
        <v>1.3122609729044778E-2</v>
      </c>
      <c r="D38" s="1621">
        <f>'1st Interim-Assumptions'!H68</f>
        <v>1.3122609729044778E-2</v>
      </c>
      <c r="E38" s="1621">
        <f>'1st Interim-Assumptions'!J68</f>
        <v>1.3122609729044778E-2</v>
      </c>
    </row>
    <row r="39" spans="1:5">
      <c r="A39" s="1218" t="s">
        <v>455</v>
      </c>
      <c r="C39" s="1622">
        <f>'1st Interim-Assumptions'!G69</f>
        <v>1.2232472730360889E-2</v>
      </c>
      <c r="D39" s="1622">
        <f>'1st Interim-Assumptions'!H69</f>
        <v>1.2232472730360889E-2</v>
      </c>
      <c r="E39" s="1622">
        <f>'1st Interim-Assumptions'!J69</f>
        <v>1.2232472730360889E-2</v>
      </c>
    </row>
    <row r="40" spans="1:5">
      <c r="A40" s="1218" t="s">
        <v>456</v>
      </c>
      <c r="C40" s="1622">
        <f>'1st Interim-Assumptions'!G70</f>
        <v>0</v>
      </c>
      <c r="D40" s="1622">
        <f>'1st Interim-Assumptions'!H70</f>
        <v>0</v>
      </c>
      <c r="E40" s="1622">
        <f>'1st Interim-Assumptions'!J70</f>
        <v>0</v>
      </c>
    </row>
    <row r="41" spans="1:5">
      <c r="C41" s="1610"/>
      <c r="D41" s="1610"/>
      <c r="E41" s="1610"/>
    </row>
    <row r="42" spans="1:5">
      <c r="A42" s="1218" t="s">
        <v>400</v>
      </c>
      <c r="B42" s="1603"/>
      <c r="C42" s="1603"/>
      <c r="D42" s="1603"/>
      <c r="E42" s="1603"/>
    </row>
    <row r="43" spans="1:5">
      <c r="A43" s="1218" t="s">
        <v>396</v>
      </c>
      <c r="B43" s="1603">
        <f>'1st Interim-Unrestricted MYP'!E49</f>
        <v>193690.83966911718</v>
      </c>
      <c r="C43" s="1603">
        <f>'1st Interim-Unrestricted MYP'!G49</f>
        <v>193690.83966911718</v>
      </c>
      <c r="D43" s="1603">
        <f>'1st Interim-Unrestricted MYP'!I49</f>
        <v>0</v>
      </c>
      <c r="E43" s="1603">
        <f>'1st Interim-Unrestricted MYP'!K49</f>
        <v>0</v>
      </c>
    </row>
    <row r="44" spans="1:5">
      <c r="A44" s="1218" t="s">
        <v>410</v>
      </c>
      <c r="B44" s="1603">
        <f>'1st Interim-Unrestricted MYP'!E50</f>
        <v>0</v>
      </c>
      <c r="C44" s="1603">
        <f>'1st Interim-Unrestricted MYP'!G50</f>
        <v>0</v>
      </c>
      <c r="D44" s="1603">
        <f>'1st Interim-Unrestricted MYP'!I50</f>
        <v>0</v>
      </c>
      <c r="E44" s="1603">
        <f>'1st Interim-Unrestricted MYP'!K50</f>
        <v>0</v>
      </c>
    </row>
    <row r="45" spans="1:5">
      <c r="A45" s="1218" t="s">
        <v>236</v>
      </c>
      <c r="B45" s="1603">
        <f>'1st Interim-Unrestricted MYP'!E51</f>
        <v>0</v>
      </c>
      <c r="C45" s="1617">
        <f>'1st Interim-Unrestricted MYP'!G51</f>
        <v>193690.83966911718</v>
      </c>
      <c r="D45" s="1603">
        <f>'1st Interim-Unrestricted MYP'!I51</f>
        <v>0</v>
      </c>
      <c r="E45" s="1603">
        <f>'1st Interim-Unrestricted MYP'!K51</f>
        <v>0</v>
      </c>
    </row>
    <row r="46" spans="1:5">
      <c r="A46" s="1218" t="s">
        <v>397</v>
      </c>
      <c r="B46" s="1603">
        <f>'1st Interim-Unrestricted MYP'!E52</f>
        <v>0</v>
      </c>
      <c r="C46" s="1617">
        <f>'1st Interim-Unrestricted MYP'!G52</f>
        <v>0</v>
      </c>
      <c r="D46" s="1603">
        <f>'1st Interim-Unrestricted MYP'!I52</f>
        <v>0</v>
      </c>
      <c r="E46" s="1603">
        <f>'1st Interim-Unrestricted MYP'!K52</f>
        <v>0</v>
      </c>
    </row>
    <row r="47" spans="1:5">
      <c r="A47" s="1218" t="s">
        <v>398</v>
      </c>
      <c r="B47" s="1603">
        <f>'1st Interim-Unrestricted MYP'!E53</f>
        <v>0</v>
      </c>
      <c r="C47" s="1603">
        <f>'1st Interim-Unrestricted MYP'!G53</f>
        <v>0</v>
      </c>
      <c r="D47" s="1603">
        <f>'1st Interim-Unrestricted MYP'!I53</f>
        <v>0</v>
      </c>
      <c r="E47" s="1603">
        <f>'1st Interim-Unrestricted MYP'!K53</f>
        <v>0</v>
      </c>
    </row>
    <row r="48" spans="1:5">
      <c r="A48" s="1218" t="s">
        <v>284</v>
      </c>
      <c r="B48" s="1603">
        <f>'1st Interim-Unrestricted MYP'!E54</f>
        <v>0</v>
      </c>
      <c r="C48" s="1617">
        <f>'1st Interim-Unrestricted MYP'!G54</f>
        <v>193690.83966911718</v>
      </c>
      <c r="D48" s="1603">
        <f>'1st Interim-Unrestricted MYP'!I54</f>
        <v>267338.50730245042</v>
      </c>
      <c r="E48" s="1603">
        <f>'1st Interim-Unrestricted MYP'!K54</f>
        <v>389604.11223335232</v>
      </c>
    </row>
    <row r="49" spans="1:5">
      <c r="A49" s="1218" t="s">
        <v>399</v>
      </c>
      <c r="B49" s="1603">
        <f>'1st Interim-Unrestricted MYP'!E55</f>
        <v>385104.05864251911</v>
      </c>
      <c r="C49" s="1617">
        <f>'1st Interim-Unrestricted MYP'!G55</f>
        <v>267338.50730245042</v>
      </c>
      <c r="D49" s="1603">
        <f>'1st Interim-Unrestricted MYP'!I55</f>
        <v>389604.11223335232</v>
      </c>
      <c r="E49" s="1603">
        <f>'1st Interim-Unrestricted MYP'!K55</f>
        <v>410009.92683976743</v>
      </c>
    </row>
    <row r="50" spans="1:5">
      <c r="B50" s="1603"/>
      <c r="C50" s="1617"/>
      <c r="D50" s="1603"/>
      <c r="E50" s="1603"/>
    </row>
    <row r="51" spans="1:5">
      <c r="A51" s="1218" t="s">
        <v>402</v>
      </c>
      <c r="B51" s="1603">
        <f>'1st Interim-Unrestricted MYP'!E59</f>
        <v>0</v>
      </c>
      <c r="C51" s="1617">
        <f>'1st Interim-Unrestricted MYP'!G59</f>
        <v>0</v>
      </c>
      <c r="D51" s="1603">
        <f>'1st Interim-Unrestricted MYP'!I59</f>
        <v>0</v>
      </c>
      <c r="E51" s="1603">
        <f>'1st Interim-Unrestricted MYP'!K59</f>
        <v>0</v>
      </c>
    </row>
    <row r="52" spans="1:5">
      <c r="A52" s="1218" t="s">
        <v>411</v>
      </c>
      <c r="B52" s="1603">
        <f>'1st Interim-Unrestricted MYP'!E60</f>
        <v>0</v>
      </c>
      <c r="C52" s="1603">
        <f>'1st Interim-Unrestricted MYP'!G60</f>
        <v>0</v>
      </c>
      <c r="D52" s="1603">
        <f>'1st Interim-Unrestricted MYP'!I60</f>
        <v>0</v>
      </c>
      <c r="E52" s="1603">
        <f>'1st Interim-Unrestricted MYP'!K60</f>
        <v>0</v>
      </c>
    </row>
    <row r="53" spans="1:5">
      <c r="A53" s="1614" t="s">
        <v>403</v>
      </c>
      <c r="B53" s="1618">
        <f>'1st Interim-Unrestricted MYP'!E61</f>
        <v>0</v>
      </c>
      <c r="C53" s="1603">
        <f>'1st Interim-Unrestricted MYP'!G61</f>
        <v>0</v>
      </c>
      <c r="D53" s="1603">
        <f>'1st Interim-Unrestricted MYP'!I61</f>
        <v>0</v>
      </c>
      <c r="E53" s="1603">
        <f>'1st Interim-Unrestricted MYP'!K61</f>
        <v>0</v>
      </c>
    </row>
    <row r="54" spans="1:5">
      <c r="A54" s="1614" t="s">
        <v>404</v>
      </c>
      <c r="B54" s="1618">
        <f>'1st Interim-Unrestricted MYP'!E62</f>
        <v>0</v>
      </c>
      <c r="C54" s="1603">
        <f>'1st Interim-Unrestricted MYP'!G62</f>
        <v>0</v>
      </c>
      <c r="D54" s="1603">
        <f>'1st Interim-Unrestricted MYP'!I62</f>
        <v>0</v>
      </c>
      <c r="E54" s="1603">
        <f>'1st Interim-Unrestricted MYP'!K62</f>
        <v>0</v>
      </c>
    </row>
    <row r="55" spans="1:5">
      <c r="A55" s="1614" t="s">
        <v>405</v>
      </c>
      <c r="B55" s="1618">
        <f>'1st Interim-Unrestricted MYP'!E65</f>
        <v>0</v>
      </c>
      <c r="C55" s="1603">
        <f>'1st Interim-Unrestricted MYP'!G65</f>
        <v>0</v>
      </c>
      <c r="D55" s="1603">
        <f>'1st Interim-Unrestricted MYP'!I65</f>
        <v>0</v>
      </c>
      <c r="E55" s="1603">
        <f>'1st Interim-Unrestricted MYP'!K65</f>
        <v>0</v>
      </c>
    </row>
    <row r="56" spans="1:5">
      <c r="A56" s="1614" t="s">
        <v>406</v>
      </c>
      <c r="B56" s="1618">
        <f>'1st Interim-Unrestricted MYP'!E66</f>
        <v>0</v>
      </c>
      <c r="C56" s="1603">
        <f>'1st Interim-Unrestricted MYP'!G66</f>
        <v>0</v>
      </c>
      <c r="D56" s="1603">
        <f>'1st Interim-Unrestricted MYP'!I66</f>
        <v>0</v>
      </c>
      <c r="E56" s="1603">
        <f>'1st Interim-Unrestricted MYP'!K66</f>
        <v>0</v>
      </c>
    </row>
    <row r="57" spans="1:5">
      <c r="A57" s="1614" t="s">
        <v>407</v>
      </c>
      <c r="B57" s="1618">
        <f>'1st Interim-Unrestricted MYP'!E66</f>
        <v>0</v>
      </c>
      <c r="C57" s="1603">
        <f>'1st Interim-Unrestricted MYP'!G66</f>
        <v>0</v>
      </c>
      <c r="D57" s="1603">
        <f>'1st Interim-Unrestricted MYP'!I66</f>
        <v>0</v>
      </c>
      <c r="E57" s="1603">
        <f>'1st Interim-Unrestricted MYP'!K66</f>
        <v>0</v>
      </c>
    </row>
    <row r="58" spans="1:5">
      <c r="A58" s="1614" t="s">
        <v>408</v>
      </c>
      <c r="B58" s="1618">
        <f>'1st Interim-Unrestricted MYP'!E69</f>
        <v>0</v>
      </c>
      <c r="C58" s="1603">
        <f>'1st Interim-Unrestricted MYP'!G69</f>
        <v>0</v>
      </c>
      <c r="D58" s="1603">
        <f>'1st Interim-Unrestricted MYP'!I69</f>
        <v>0</v>
      </c>
      <c r="E58" s="1603">
        <f>'1st Interim-Unrestricted MYP'!K69</f>
        <v>0</v>
      </c>
    </row>
    <row r="59" spans="1:5">
      <c r="A59" s="1614" t="s">
        <v>409</v>
      </c>
      <c r="B59" s="1618">
        <f>'1st Interim-Unrestricted MYP'!E70</f>
        <v>385104.05864251911</v>
      </c>
      <c r="C59" s="1603">
        <f>'1st Interim-Unrestricted MYP'!G70</f>
        <v>267338.50730245042</v>
      </c>
      <c r="D59" s="1603">
        <f>'1st Interim-Unrestricted MYP'!I70</f>
        <v>389604.11223335232</v>
      </c>
      <c r="E59" s="1603">
        <f>'1st Interim-Unrestricted MYP'!K70</f>
        <v>410009.92683976743</v>
      </c>
    </row>
    <row r="60" spans="1:5">
      <c r="A60" s="1614"/>
      <c r="B60" s="1618"/>
      <c r="C60" s="1603"/>
      <c r="D60" s="1603"/>
      <c r="E60" s="1603"/>
    </row>
    <row r="61" spans="1:5">
      <c r="A61" s="1614" t="s">
        <v>401</v>
      </c>
      <c r="B61" s="1618"/>
      <c r="C61" s="1603"/>
      <c r="D61" s="1603"/>
      <c r="E61" s="1603"/>
    </row>
    <row r="62" spans="1:5">
      <c r="A62" s="1218" t="s">
        <v>396</v>
      </c>
      <c r="B62" s="1603">
        <f>'1st Interim-Restricted MYP'!E49</f>
        <v>0</v>
      </c>
      <c r="C62" s="1603">
        <f>'1st Interim-Restricted MYP'!G49</f>
        <v>0</v>
      </c>
      <c r="D62" s="1603">
        <f>'1st Interim-Restricted MYP'!I49</f>
        <v>0</v>
      </c>
      <c r="E62" s="1603">
        <f>'1st Interim-Restricted MYP'!K49</f>
        <v>0</v>
      </c>
    </row>
    <row r="63" spans="1:5">
      <c r="A63" s="1218" t="s">
        <v>410</v>
      </c>
      <c r="B63" s="1603">
        <f>'1st Interim-Restricted MYP'!E50</f>
        <v>0</v>
      </c>
      <c r="C63" s="1603">
        <f>'1st Interim-Restricted MYP'!G50</f>
        <v>0</v>
      </c>
      <c r="D63" s="1603">
        <f>'1st Interim-Restricted MYP'!I50</f>
        <v>0</v>
      </c>
      <c r="E63" s="1603">
        <f>'1st Interim-Restricted MYP'!K50</f>
        <v>0</v>
      </c>
    </row>
    <row r="64" spans="1:5">
      <c r="A64" s="1218" t="s">
        <v>236</v>
      </c>
      <c r="B64" s="1603">
        <f>B62+B63</f>
        <v>0</v>
      </c>
      <c r="C64" s="1603">
        <f>C62+C63</f>
        <v>0</v>
      </c>
      <c r="D64" s="1603">
        <f>D62+D63</f>
        <v>0</v>
      </c>
      <c r="E64" s="1603">
        <f>E62+E63</f>
        <v>0</v>
      </c>
    </row>
    <row r="65" spans="1:5">
      <c r="A65" s="1218" t="s">
        <v>397</v>
      </c>
      <c r="B65" s="1603">
        <f>'1st Interim-Restricted MYP'!E52</f>
        <v>0</v>
      </c>
      <c r="C65" s="1603">
        <f>'1st Interim-Restricted MYP'!G52</f>
        <v>0</v>
      </c>
      <c r="D65" s="1603">
        <f>'1st Interim-Restricted MYP'!I52</f>
        <v>0</v>
      </c>
      <c r="E65" s="1603">
        <f>'1st Interim-Restricted MYP'!K52</f>
        <v>0</v>
      </c>
    </row>
    <row r="66" spans="1:5">
      <c r="A66" s="1218" t="s">
        <v>398</v>
      </c>
      <c r="B66" s="1603">
        <f>'1st Interim-Restricted MYP'!E53</f>
        <v>0</v>
      </c>
      <c r="C66" s="1603">
        <f>'1st Interim-Restricted MYP'!G53</f>
        <v>0</v>
      </c>
      <c r="D66" s="1603">
        <f>'1st Interim-Restricted MYP'!I53</f>
        <v>0</v>
      </c>
      <c r="E66" s="1603">
        <f>'1st Interim-Restricted MYP'!K53</f>
        <v>0</v>
      </c>
    </row>
    <row r="67" spans="1:5">
      <c r="A67" s="1218" t="s">
        <v>284</v>
      </c>
      <c r="B67" s="1603">
        <f>'1st Interim-Restricted MYP'!E54</f>
        <v>0</v>
      </c>
      <c r="C67" s="1603">
        <f>'1st Interim-Restricted MYP'!G54</f>
        <v>0</v>
      </c>
      <c r="D67" s="1603">
        <f>'1st Interim-Restricted MYP'!I54</f>
        <v>-233812</v>
      </c>
      <c r="E67" s="1603">
        <f>'1st Interim-Restricted MYP'!K54</f>
        <v>-311964</v>
      </c>
    </row>
    <row r="68" spans="1:5">
      <c r="A68" s="1218" t="s">
        <v>399</v>
      </c>
      <c r="B68" s="1603">
        <f>'1st Interim-Restricted MYP'!E55</f>
        <v>78152</v>
      </c>
      <c r="C68" s="1603">
        <f>'1st Interim-Restricted MYP'!G55</f>
        <v>-233812</v>
      </c>
      <c r="D68" s="1603">
        <f>'1st Interim-Restricted MYP'!I55</f>
        <v>-311964</v>
      </c>
      <c r="E68" s="1603">
        <f>'1st Interim-Restricted MYP'!K55</f>
        <v>-311964</v>
      </c>
    </row>
    <row r="69" spans="1:5">
      <c r="B69" s="1603"/>
      <c r="C69" s="1603"/>
      <c r="D69" s="1603"/>
      <c r="E69" s="1603"/>
    </row>
    <row r="70" spans="1:5">
      <c r="A70" s="1218" t="s">
        <v>393</v>
      </c>
      <c r="B70" s="1603">
        <f>'1st Interim-Unrestricted MYP'!E13</f>
        <v>8090636.0600000005</v>
      </c>
      <c r="C70" s="1603">
        <f>'1st Interim-Unrestricted MYP'!G13</f>
        <v>5166835</v>
      </c>
      <c r="D70" s="1603">
        <f>'1st Interim-Unrestricted MYP'!I13</f>
        <v>8394946</v>
      </c>
      <c r="E70" s="1603">
        <f>'1st Interim-Unrestricted MYP'!K13</f>
        <v>8715699</v>
      </c>
    </row>
    <row r="71" spans="1:5">
      <c r="A71" s="1218" t="s">
        <v>412</v>
      </c>
      <c r="B71" s="1603">
        <f>'1st Interim-Unrestricted MYP'!E14</f>
        <v>157400</v>
      </c>
      <c r="C71" s="1603">
        <f>'1st Interim-Unrestricted MYP'!G15</f>
        <v>0</v>
      </c>
      <c r="D71" s="1603">
        <f>'1st Interim-Unrestricted MYP'!I14</f>
        <v>157400</v>
      </c>
      <c r="E71" s="1603">
        <f>'1st Interim-Unrestricted MYP'!K14</f>
        <v>157400</v>
      </c>
    </row>
    <row r="72" spans="1:5">
      <c r="A72" s="1218" t="s">
        <v>395</v>
      </c>
      <c r="B72" s="1603">
        <f>'1st Interim-Unrestricted MYP'!E15</f>
        <v>0</v>
      </c>
      <c r="C72" s="1603">
        <f>'1st Interim-Unrestricted MYP'!G15</f>
        <v>0</v>
      </c>
      <c r="D72" s="1603">
        <f>'1st Interim-Unrestricted MYP'!I15</f>
        <v>0</v>
      </c>
      <c r="E72" s="1603">
        <f>'1st Interim-Unrestricted MYP'!K15</f>
        <v>0</v>
      </c>
    </row>
    <row r="73" spans="1:5">
      <c r="A73" s="1218" t="s">
        <v>394</v>
      </c>
      <c r="B73" s="1603">
        <f>'1st Interim-Unrestricted MYP'!E16</f>
        <v>204132</v>
      </c>
      <c r="C73" s="1603">
        <f>'1st Interim-Unrestricted MYP'!G16</f>
        <v>132283.79999999999</v>
      </c>
      <c r="D73" s="1603">
        <f>'1st Interim-Unrestricted MYP'!I16</f>
        <v>203258.49</v>
      </c>
      <c r="E73" s="1603">
        <f>'1st Interim-Unrestricted MYP'!K16</f>
        <v>203093.22</v>
      </c>
    </row>
    <row r="74" spans="1:5">
      <c r="B74" s="1607"/>
      <c r="C74" s="1607"/>
      <c r="D74" s="1607"/>
      <c r="E74" s="1607"/>
    </row>
    <row r="75" spans="1:5">
      <c r="A75" s="1218" t="s">
        <v>467</v>
      </c>
      <c r="B75" s="1616">
        <f>'1st Interim-Summary MYP'!E73</f>
        <v>0.04</v>
      </c>
      <c r="C75" s="1616">
        <f>'1st Interim-Summary MYP'!G73</f>
        <v>0.04</v>
      </c>
      <c r="D75" s="1616">
        <f>'1st Interim-Summary MYP'!I73</f>
        <v>0.04</v>
      </c>
      <c r="E75" s="1616">
        <f>'1st Interim-Summary MYP'!K73</f>
        <v>0.04</v>
      </c>
    </row>
    <row r="76" spans="1:5">
      <c r="A76" s="1218" t="s">
        <v>483</v>
      </c>
      <c r="B76" s="1616" t="str">
        <f>IF('1st Interim-Summary MYP'!E74="","",'1st Interim-Summary MYP'!E74)</f>
        <v/>
      </c>
      <c r="C76" s="1616" t="str">
        <f>IF('1st Interim-Summary MYP'!G74="","",'1st Interim-Summary MYP'!G74)</f>
        <v/>
      </c>
      <c r="D76" s="1616" t="str">
        <f>IF('1st Interim-Summary MYP'!I74="","",'1st Interim-Summary MYP'!I74)</f>
        <v/>
      </c>
      <c r="E76" s="1616" t="str">
        <f>IF('1st Interim-Summary MYP'!K74="","",'1st Interim-Summary MYP'!K74)</f>
        <v/>
      </c>
    </row>
    <row r="77" spans="1:5">
      <c r="A77" s="1218" t="s">
        <v>426</v>
      </c>
      <c r="B77" s="1611">
        <f>'1st Interim-Summary MYP'!E71</f>
        <v>4.0550920051036034E-2</v>
      </c>
      <c r="C77" s="1611">
        <f>'1st Interim-Summary MYP'!G71</f>
        <v>4.0498567666291965E-2</v>
      </c>
      <c r="D77" s="1611">
        <f>'1st Interim-Summary MYP'!I71</f>
        <v>4.1050648784389909E-2</v>
      </c>
      <c r="E77" s="1611">
        <f>'1st Interim-Summary MYP'!K71</f>
        <v>4.1688390000210948E-2</v>
      </c>
    </row>
    <row r="78" spans="1:5">
      <c r="A78" s="1218" t="s">
        <v>421</v>
      </c>
      <c r="B78" s="1611">
        <f>'1st Interim-Summary MYP'!E81</f>
        <v>1.4E-2</v>
      </c>
      <c r="C78" s="1611">
        <f>'1st Interim-Summary MYP'!G81</f>
        <v>1.2999999999999999E-2</v>
      </c>
      <c r="D78" s="1611">
        <f>'1st Interim-Summary MYP'!I81</f>
        <v>1.4E-2</v>
      </c>
      <c r="E78" s="1611">
        <f>'1st Interim-Summary MYP'!K81</f>
        <v>1.4E-2</v>
      </c>
    </row>
    <row r="79" spans="1:5">
      <c r="A79" s="1218" t="s">
        <v>427</v>
      </c>
      <c r="B79" s="1611">
        <f>'1st Interim-Summary MYP'!E80</f>
        <v>0</v>
      </c>
      <c r="C79" s="1611">
        <f>'1st Interim-Summary MYP'!G80</f>
        <v>0</v>
      </c>
      <c r="D79" s="1611">
        <f>'1st Interim-Summary MYP'!I80</f>
        <v>0</v>
      </c>
      <c r="E79" s="1611">
        <f>'1st Interim-Summary MYP'!K80</f>
        <v>0</v>
      </c>
    </row>
    <row r="80" spans="1:5">
      <c r="B80" s="1611"/>
      <c r="C80" s="1611"/>
      <c r="D80" s="1611"/>
      <c r="E80" s="1611"/>
    </row>
    <row r="81" spans="1:5">
      <c r="A81" s="1218" t="s">
        <v>435</v>
      </c>
      <c r="B81" s="1615">
        <f>'1st Interim-Unrestricted MYP'!E26+'1st Interim-Unrestricted MYP'!E42</f>
        <v>8586152.4332600012</v>
      </c>
      <c r="C81" s="1615">
        <f>'1st Interim-Unrestricted MYP'!G26+'1st Interim-Unrestricted MYP'!G42</f>
        <v>5487944.7598000001</v>
      </c>
      <c r="D81" s="1615">
        <f>'1st Interim-Unrestricted MYP'!I26+'1st Interim-Unrestricted MYP'!I42</f>
        <v>8482233.8632600009</v>
      </c>
      <c r="E81" s="1615">
        <f>'1st Interim-Unrestricted MYP'!K26+'1st Interim-Unrestricted MYP'!K42</f>
        <v>8694878.5932600014</v>
      </c>
    </row>
    <row r="82" spans="1:5">
      <c r="A82" s="1218" t="s">
        <v>436</v>
      </c>
      <c r="B82" s="1603">
        <f>'1st Interim-Unrestricted MYP'!E37+'1st Interim-Unrestricted MYP'!E43</f>
        <v>8394739.2142865993</v>
      </c>
      <c r="C82" s="1603">
        <f>'1st Interim-Unrestricted MYP'!G37+'1st Interim-Unrestricted MYP'!G43</f>
        <v>5414297.0921666669</v>
      </c>
      <c r="D82" s="1603">
        <f>'1st Interim-Unrestricted MYP'!I37+'1st Interim-Unrestricted MYP'!I43</f>
        <v>8359968.258329099</v>
      </c>
      <c r="E82" s="1603">
        <f>'1st Interim-Unrestricted MYP'!K37+'1st Interim-Unrestricted MYP'!K43</f>
        <v>8674472.7786535863</v>
      </c>
    </row>
    <row r="83" spans="1:5">
      <c r="B83" s="1603"/>
      <c r="C83" s="1603"/>
      <c r="D83" s="1603"/>
      <c r="E83" s="1603"/>
    </row>
    <row r="84" spans="1:5">
      <c r="A84" s="1218" t="s">
        <v>437</v>
      </c>
      <c r="B84" s="1603">
        <f>'1st Interim-Restricted MYP'!E26+'1st Interim-Restricted MYP'!E42</f>
        <v>1180215</v>
      </c>
      <c r="C84" s="1603">
        <f>'1st Interim-Restricted MYP'!G26+'1st Interim-Restricted MYP'!G42</f>
        <v>953075</v>
      </c>
      <c r="D84" s="1603">
        <f>'1st Interim-Restricted MYP'!I26+'1st Interim-Restricted MYP'!I42</f>
        <v>1052695</v>
      </c>
      <c r="E84" s="1603">
        <f>'1st Interim-Restricted MYP'!K26+'1st Interim-Restricted MYP'!K42</f>
        <v>1160638</v>
      </c>
    </row>
    <row r="85" spans="1:5">
      <c r="A85" s="1218" t="s">
        <v>438</v>
      </c>
      <c r="B85" s="1603">
        <f>'1st Interim-Restricted MYP'!E37+'1st Interim-Restricted MYP'!E43</f>
        <v>1102063.031</v>
      </c>
      <c r="C85" s="1603">
        <f>'1st Interim-Restricted MYP'!G37+'1st Interim-Restricted MYP'!G43</f>
        <v>1186887.1646524551</v>
      </c>
      <c r="D85" s="1603">
        <f>'1st Interim-Restricted MYP'!I37+'1st Interim-Restricted MYP'!I43</f>
        <v>1130846.7170849999</v>
      </c>
      <c r="E85" s="1603">
        <f>'1st Interim-Restricted MYP'!K37+'1st Interim-Restricted MYP'!K43</f>
        <v>1160637.8321829748</v>
      </c>
    </row>
    <row r="86" spans="1:5">
      <c r="B86" s="1608"/>
      <c r="C86" s="1608"/>
      <c r="D86" s="1608"/>
      <c r="E86" s="1608"/>
    </row>
    <row r="87" spans="1:5">
      <c r="A87" s="1218" t="s">
        <v>439</v>
      </c>
      <c r="B87" s="1608"/>
      <c r="C87" s="1624">
        <f>'1st Interim-Restricted MYP'!G149</f>
        <v>0.13700000000000001</v>
      </c>
      <c r="D87" s="1624">
        <f>'1st Interim-Restricted MYP'!I149</f>
        <v>0.13700000000000001</v>
      </c>
      <c r="E87" s="1624">
        <f>'1st Interim-Restricted MYP'!K149</f>
        <v>0.13700000000000001</v>
      </c>
    </row>
    <row r="88" spans="1:5">
      <c r="A88" s="1218" t="s">
        <v>445</v>
      </c>
      <c r="C88" s="1218" t="str">
        <f>T('1st Interim-Restricted MYP'!E150:L150)</f>
        <v>Member</v>
      </c>
    </row>
    <row r="89" spans="1:5">
      <c r="A89" s="1218" t="s">
        <v>441</v>
      </c>
      <c r="B89" s="1610"/>
      <c r="C89" s="1603">
        <f>'1st Interim-Restricted MYP'!G151</f>
        <v>418200.00000000006</v>
      </c>
      <c r="D89" s="1603">
        <f>'1st Interim-Restricted MYP'!I151</f>
        <v>645340</v>
      </c>
      <c r="E89" s="1603">
        <f>'1st Interim-Restricted MYP'!K151</f>
        <v>645340</v>
      </c>
    </row>
    <row r="90" spans="1:5">
      <c r="A90" s="1218" t="s">
        <v>442</v>
      </c>
      <c r="C90" s="1603">
        <f>'1st Interim-Restricted MYP'!G152</f>
        <v>0</v>
      </c>
      <c r="D90" s="1603">
        <f>'1st Interim-Restricted MYP'!I152</f>
        <v>0</v>
      </c>
      <c r="E90" s="1603">
        <f>'1st Interim-Restricted MYP'!K152</f>
        <v>0</v>
      </c>
    </row>
    <row r="91" spans="1:5">
      <c r="A91" s="1218" t="s">
        <v>440</v>
      </c>
      <c r="B91" s="1608"/>
      <c r="C91" s="1608">
        <f>'1st Interim-Restricted MYP'!G153</f>
        <v>0</v>
      </c>
      <c r="D91" s="1608">
        <f>'1st Interim-Restricted MYP'!I153</f>
        <v>0</v>
      </c>
      <c r="E91" s="1608">
        <f>'1st Interim-Restricted MYP'!K153</f>
        <v>0</v>
      </c>
    </row>
    <row r="92" spans="1:5">
      <c r="A92" s="1218" t="s">
        <v>443</v>
      </c>
      <c r="B92" s="1608"/>
      <c r="C92" s="1608">
        <f>'1st Interim-Restricted MYP'!G154</f>
        <v>418200.00000000006</v>
      </c>
      <c r="D92" s="1608">
        <f>'1st Interim-Restricted MYP'!I154</f>
        <v>645340</v>
      </c>
      <c r="E92" s="1608">
        <f>'1st Interim-Restricted MYP'!K154</f>
        <v>645340</v>
      </c>
    </row>
    <row r="93" spans="1:5">
      <c r="A93" s="1218" t="s">
        <v>444</v>
      </c>
      <c r="B93" s="1608"/>
      <c r="C93" s="1608">
        <f>'1st Interim-Restricted MYP'!G155</f>
        <v>1186887.1646524551</v>
      </c>
      <c r="D93" s="1608">
        <f>'1st Interim-Restricted MYP'!I155</f>
        <v>1130846.7170849999</v>
      </c>
      <c r="E93" s="1608">
        <f>'1st Interim-Restricted MYP'!K155</f>
        <v>1160637.8321829748</v>
      </c>
    </row>
    <row r="94" spans="1:5">
      <c r="B94" s="1608"/>
      <c r="C94" s="1608"/>
      <c r="D94" s="1608"/>
      <c r="E94" s="1608"/>
    </row>
    <row r="95" spans="1:5">
      <c r="A95" s="1218" t="s">
        <v>449</v>
      </c>
      <c r="B95" s="1608"/>
      <c r="C95" s="1608"/>
      <c r="D95" s="1608"/>
      <c r="E95" s="1608"/>
    </row>
    <row r="96" spans="1:5">
      <c r="A96" s="1218" t="s">
        <v>4</v>
      </c>
      <c r="B96" s="1603">
        <f>'1st Interim-Unrestricted MYP'!E29</f>
        <v>3153669</v>
      </c>
      <c r="C96" s="1603">
        <f>'1st Interim-Unrestricted MYP'!G29</f>
        <v>2466726.8433333333</v>
      </c>
      <c r="D96" s="1603">
        <f>'1st Interim-Unrestricted MYP'!I29</f>
        <v>3260968.4649999999</v>
      </c>
      <c r="E96" s="1603">
        <f>'1st Interim-Unrestricted MYP'!K29</f>
        <v>3372023.4112749989</v>
      </c>
    </row>
    <row r="97" spans="1:5">
      <c r="A97" s="1218" t="s">
        <v>23</v>
      </c>
      <c r="B97" s="1603">
        <f>'1st Interim-Unrestricted MYP'!E30</f>
        <v>136650.5</v>
      </c>
      <c r="C97" s="1603">
        <f>'1st Interim-Unrestricted MYP'!G30</f>
        <v>111193.33333333334</v>
      </c>
      <c r="D97" s="1603">
        <f>'1st Interim-Unrestricted MYP'!I30</f>
        <v>141153.26749999999</v>
      </c>
      <c r="E97" s="1603">
        <f>'1st Interim-Unrestricted MYP'!K30</f>
        <v>145813.63186249998</v>
      </c>
    </row>
    <row r="98" spans="1:5">
      <c r="A98" s="1218" t="s">
        <v>24</v>
      </c>
      <c r="B98" s="1603">
        <f>'1st Interim-Unrestricted MYP'!E31</f>
        <v>968504.72549999994</v>
      </c>
      <c r="C98" s="1603">
        <f>'1st Interim-Unrestricted MYP'!G31</f>
        <v>587212</v>
      </c>
      <c r="D98" s="1603">
        <f>'1st Interim-Unrestricted MYP'!I31</f>
        <v>1003051.6153424999</v>
      </c>
      <c r="E98" s="1603">
        <f>'1st Interim-Unrestricted MYP'!K31</f>
        <v>1038807.6463294872</v>
      </c>
    </row>
    <row r="99" spans="1:5">
      <c r="A99" s="1218" t="s">
        <v>25</v>
      </c>
      <c r="B99" s="1603">
        <f>'1st Interim-Unrestricted MYP'!E32</f>
        <v>522371.33</v>
      </c>
      <c r="C99" s="1603">
        <f>'1st Interim-Unrestricted MYP'!G32</f>
        <v>370313</v>
      </c>
      <c r="D99" s="1603">
        <f>'1st Interim-Unrestricted MYP'!I32</f>
        <v>522371.33</v>
      </c>
      <c r="E99" s="1603">
        <f>'1st Interim-Unrestricted MYP'!K32</f>
        <v>522371.33</v>
      </c>
    </row>
    <row r="100" spans="1:5">
      <c r="A100" s="1218" t="s">
        <v>26</v>
      </c>
      <c r="B100" s="1603">
        <f>'1st Interim-Unrestricted MYP'!E33</f>
        <v>4541682.3687866004</v>
      </c>
      <c r="C100" s="1603">
        <f>'1st Interim-Unrestricted MYP'!G33</f>
        <v>2214236.9155000001</v>
      </c>
      <c r="D100" s="1603">
        <f>'1st Interim-Unrestricted MYP'!I33</f>
        <v>4515562.2904866003</v>
      </c>
      <c r="E100" s="1603">
        <f>'1st Interim-Unrestricted MYP'!K33</f>
        <v>4578595.4691866003</v>
      </c>
    </row>
    <row r="101" spans="1:5">
      <c r="A101" s="1218" t="s">
        <v>5</v>
      </c>
      <c r="B101" s="1603">
        <f>'1st Interim-Unrestricted MYP'!E34</f>
        <v>14362.290000000005</v>
      </c>
      <c r="C101" s="1603">
        <f>'1st Interim-Unrestricted MYP'!G34</f>
        <v>22116</v>
      </c>
      <c r="D101" s="1603">
        <f>'1st Interim-Unrestricted MYP'!I34</f>
        <v>14362.290000000005</v>
      </c>
      <c r="E101" s="1603">
        <f>'1st Interim-Unrestricted MYP'!K34</f>
        <v>14362.290000000005</v>
      </c>
    </row>
    <row r="102" spans="1:5">
      <c r="A102" s="1218" t="s">
        <v>27</v>
      </c>
      <c r="B102" s="1603">
        <f>'1st Interim-Unrestricted MYP'!E35</f>
        <v>2499</v>
      </c>
      <c r="C102" s="1603">
        <f>'1st Interim-Unrestricted MYP'!G35</f>
        <v>2499</v>
      </c>
      <c r="D102" s="1603">
        <f>'1st Interim-Unrestricted MYP'!I35</f>
        <v>2499</v>
      </c>
      <c r="E102" s="1603">
        <f>'1st Interim-Unrestricted MYP'!K35</f>
        <v>2499</v>
      </c>
    </row>
    <row r="103" spans="1:5">
      <c r="A103" s="1218" t="s">
        <v>149</v>
      </c>
      <c r="B103" s="1603">
        <f>'1st Interim-Unrestricted MYP'!E36</f>
        <v>0</v>
      </c>
      <c r="C103" s="1603">
        <f>'1st Interim-Unrestricted MYP'!G36</f>
        <v>0</v>
      </c>
      <c r="D103" s="1603">
        <f>'1st Interim-Unrestricted MYP'!I36</f>
        <v>0</v>
      </c>
      <c r="E103" s="1603">
        <f>'1st Interim-Unrestricted MYP'!K36</f>
        <v>0</v>
      </c>
    </row>
    <row r="104" spans="1:5">
      <c r="A104" s="1218" t="s">
        <v>450</v>
      </c>
      <c r="B104" s="1603">
        <f>'1st Interim-Unrestricted MYP'!E37</f>
        <v>9339739.2142865993</v>
      </c>
      <c r="C104" s="1603">
        <f>'1st Interim-Unrestricted MYP'!G37</f>
        <v>5774297.0921666669</v>
      </c>
      <c r="D104" s="1603">
        <f>'1st Interim-Unrestricted MYP'!I37</f>
        <v>9459968.258329099</v>
      </c>
      <c r="E104" s="1603">
        <f>'1st Interim-Unrestricted MYP'!K37</f>
        <v>9674472.7786535863</v>
      </c>
    </row>
    <row r="105" spans="1:5">
      <c r="B105" s="1603"/>
      <c r="C105" s="1603"/>
      <c r="D105" s="1603"/>
      <c r="E105" s="1603"/>
    </row>
    <row r="106" spans="1:5">
      <c r="A106" s="1218" t="s">
        <v>451</v>
      </c>
      <c r="B106" s="1603"/>
      <c r="C106" s="1603"/>
      <c r="D106" s="1603"/>
      <c r="E106" s="1603"/>
    </row>
    <row r="107" spans="1:5">
      <c r="A107" s="1218" t="s">
        <v>4</v>
      </c>
      <c r="B107" s="1603">
        <f>'1st Interim-Restricted MYP'!E29</f>
        <v>664259</v>
      </c>
      <c r="C107" s="1603">
        <f>'1st Interim-Restricted MYP'!G29</f>
        <v>528442.22</v>
      </c>
      <c r="D107" s="1603">
        <f>'1st Interim-Restricted MYP'!I29</f>
        <v>686248.06499999994</v>
      </c>
      <c r="E107" s="1603">
        <f>'1st Interim-Restricted MYP'!K29</f>
        <v>709006.74727499986</v>
      </c>
    </row>
    <row r="108" spans="1:5">
      <c r="A108" s="1218" t="s">
        <v>23</v>
      </c>
      <c r="B108" s="1603">
        <f>'1st Interim-Restricted MYP'!E30</f>
        <v>0</v>
      </c>
      <c r="C108" s="1603">
        <f>'1st Interim-Restricted MYP'!G30</f>
        <v>0</v>
      </c>
      <c r="D108" s="1603">
        <f>'1st Interim-Restricted MYP'!I30</f>
        <v>0</v>
      </c>
      <c r="E108" s="1603">
        <f>'1st Interim-Restricted MYP'!K30</f>
        <v>0</v>
      </c>
    </row>
    <row r="109" spans="1:5">
      <c r="A109" s="1218" t="s">
        <v>24</v>
      </c>
      <c r="B109" s="1603">
        <f>'1st Interim-Restricted MYP'!E31</f>
        <v>195932.03099999999</v>
      </c>
      <c r="C109" s="1603">
        <f>'1st Interim-Restricted MYP'!G31</f>
        <v>189885.8601524551</v>
      </c>
      <c r="D109" s="1603">
        <f>'1st Interim-Restricted MYP'!I31</f>
        <v>202726.65208499998</v>
      </c>
      <c r="E109" s="1603">
        <f>'1st Interim-Restricted MYP'!K31</f>
        <v>209759.08490797496</v>
      </c>
    </row>
    <row r="110" spans="1:5">
      <c r="A110" s="1218" t="s">
        <v>25</v>
      </c>
      <c r="B110" s="1603">
        <f>'1st Interim-Restricted MYP'!E32</f>
        <v>0</v>
      </c>
      <c r="C110" s="1603">
        <f>'1st Interim-Restricted MYP'!G32</f>
        <v>0</v>
      </c>
      <c r="D110" s="1603">
        <f>'1st Interim-Restricted MYP'!I32</f>
        <v>0</v>
      </c>
      <c r="E110" s="1603">
        <f>'1st Interim-Restricted MYP'!K32</f>
        <v>0</v>
      </c>
    </row>
    <row r="111" spans="1:5">
      <c r="A111" s="1218" t="s">
        <v>26</v>
      </c>
      <c r="B111" s="1603">
        <f>'1st Interim-Restricted MYP'!E33</f>
        <v>241872</v>
      </c>
      <c r="C111" s="1603">
        <f>'1st Interim-Restricted MYP'!G33</f>
        <v>468559.0845</v>
      </c>
      <c r="D111" s="1603">
        <f>'1st Interim-Restricted MYP'!I33</f>
        <v>241872</v>
      </c>
      <c r="E111" s="1603">
        <f>'1st Interim-Restricted MYP'!K33</f>
        <v>241872</v>
      </c>
    </row>
    <row r="112" spans="1:5">
      <c r="A112" s="1218" t="s">
        <v>5</v>
      </c>
      <c r="B112" s="1603">
        <f>'1st Interim-Restricted MYP'!E34</f>
        <v>0</v>
      </c>
      <c r="C112" s="1603">
        <f>'1st Interim-Restricted MYP'!G34</f>
        <v>0</v>
      </c>
      <c r="D112" s="1603">
        <f>'1st Interim-Restricted MYP'!I34</f>
        <v>0</v>
      </c>
      <c r="E112" s="1603">
        <f>'1st Interim-Restricted MYP'!K34</f>
        <v>0</v>
      </c>
    </row>
    <row r="113" spans="1:5">
      <c r="A113" s="1218" t="s">
        <v>27</v>
      </c>
      <c r="B113" s="1603">
        <f>'1st Interim-Restricted MYP'!E35</f>
        <v>0</v>
      </c>
      <c r="C113" s="1603">
        <f>'1st Interim-Restricted MYP'!G35</f>
        <v>0</v>
      </c>
      <c r="D113" s="1603">
        <f>'1st Interim-Restricted MYP'!I35</f>
        <v>0</v>
      </c>
      <c r="E113" s="1603">
        <f>'1st Interim-Restricted MYP'!K35</f>
        <v>0</v>
      </c>
    </row>
    <row r="114" spans="1:5">
      <c r="A114" s="1218" t="s">
        <v>149</v>
      </c>
      <c r="B114" s="1603">
        <f>'1st Interim-Restricted MYP'!E36</f>
        <v>0</v>
      </c>
      <c r="C114" s="1603">
        <f>'1st Interim-Restricted MYP'!G36</f>
        <v>0</v>
      </c>
      <c r="D114" s="1603">
        <f>'1st Interim-Restricted MYP'!I36</f>
        <v>0</v>
      </c>
      <c r="E114" s="1603">
        <f>'1st Interim-Restricted MYP'!K36</f>
        <v>0</v>
      </c>
    </row>
    <row r="115" spans="1:5">
      <c r="A115" s="1218" t="s">
        <v>450</v>
      </c>
      <c r="B115" s="1603">
        <f>'1st Interim-Restricted MYP'!E37</f>
        <v>1102063.031</v>
      </c>
      <c r="C115" s="1603">
        <f>'1st Interim-Restricted MYP'!G37</f>
        <v>1186887.1646524551</v>
      </c>
      <c r="D115" s="1603">
        <f>'1st Interim-Restricted MYP'!I37</f>
        <v>1130846.7170849999</v>
      </c>
      <c r="E115" s="1603">
        <f>'1st Interim-Restricted MYP'!K37</f>
        <v>1160637.8321829748</v>
      </c>
    </row>
    <row r="116" spans="1:5">
      <c r="B116" s="1603"/>
      <c r="C116" s="1603"/>
      <c r="D116" s="1603"/>
      <c r="E116" s="1603"/>
    </row>
    <row r="117" spans="1:5">
      <c r="A117" s="1218" t="s">
        <v>340</v>
      </c>
      <c r="B117" s="1603"/>
      <c r="C117" s="1603">
        <f>'1st Interim-Assumptions'!G73</f>
        <v>18315.059999999998</v>
      </c>
      <c r="D117" s="1603">
        <f>'1st Interim-Assumptions'!H73</f>
        <v>18896.490476190476</v>
      </c>
      <c r="E117" s="1603">
        <f>'1st Interim-Assumptions'!J73</f>
        <v>18896.490476190476</v>
      </c>
    </row>
    <row r="118" spans="1:5">
      <c r="A118" s="1218" t="s">
        <v>341</v>
      </c>
      <c r="B118" s="1603"/>
      <c r="C118" s="1603">
        <f>'1st Interim-Assumptions'!G74</f>
        <v>0</v>
      </c>
      <c r="D118" s="1603">
        <f>'1st Interim-Assumptions'!H74</f>
        <v>0</v>
      </c>
      <c r="E118" s="1603">
        <f>'1st Interim-Assumptions'!J74</f>
        <v>0</v>
      </c>
    </row>
    <row r="119" spans="1:5">
      <c r="A119" s="1218" t="s">
        <v>342</v>
      </c>
      <c r="B119" s="1603"/>
      <c r="C119" s="1603">
        <f>'1st Interim-Assumptions'!G75</f>
        <v>0</v>
      </c>
      <c r="D119" s="1603">
        <f>'1st Interim-Assumptions'!H75</f>
        <v>0</v>
      </c>
      <c r="E119" s="1603">
        <f>'1st Interim-Assumptions'!J75</f>
        <v>0</v>
      </c>
    </row>
    <row r="120" spans="1:5">
      <c r="A120" s="1218" t="s">
        <v>161</v>
      </c>
      <c r="B120" s="1603"/>
      <c r="C120" s="1603">
        <f>'1st Interim-Assumptions'!G76</f>
        <v>0</v>
      </c>
      <c r="D120" s="1603">
        <f>'1st Interim-Assumptions'!H76</f>
        <v>0</v>
      </c>
      <c r="E120" s="1603">
        <f>'1st Interim-Assumptions'!J76</f>
        <v>0</v>
      </c>
    </row>
    <row r="121" spans="1:5">
      <c r="C121" s="1608"/>
      <c r="D121" s="1608"/>
      <c r="E121" s="1608"/>
    </row>
    <row r="122" spans="1:5">
      <c r="A122" s="1218" t="s">
        <v>41</v>
      </c>
      <c r="C122" s="1608">
        <f>'1st Interim-Assumptions'!G82</f>
        <v>162033.56399999998</v>
      </c>
      <c r="D122" s="1608">
        <f>'1st Interim-Assumptions'!H82</f>
        <v>262668.1347</v>
      </c>
      <c r="E122" s="1608">
        <f>'1st Interim-Assumptions'!J82</f>
        <v>272285.76660000003</v>
      </c>
    </row>
    <row r="123" spans="1:5">
      <c r="A123" s="1218" t="s">
        <v>235</v>
      </c>
      <c r="C123" s="1603">
        <f>'1st Interim-Assumptions'!G83</f>
        <v>2030113</v>
      </c>
      <c r="D123" s="1603">
        <f>'1st Interim-Assumptions'!H83</f>
        <v>3490662.3143580304</v>
      </c>
      <c r="E123" s="1603">
        <f>'1st Interim-Assumptions'!J83</f>
        <v>3534043.8711580299</v>
      </c>
    </row>
    <row r="124" spans="1:5">
      <c r="A124" s="1218" t="s">
        <v>515</v>
      </c>
      <c r="C124" s="1608">
        <f>'1st Interim-Assumptions'!G84</f>
        <v>0</v>
      </c>
      <c r="D124" s="1608">
        <f>'1st Interim-Assumptions'!H84</f>
        <v>0</v>
      </c>
      <c r="E124" s="1608">
        <f>'1st Interim-Assumptions'!J84</f>
        <v>0</v>
      </c>
    </row>
    <row r="125" spans="1:5">
      <c r="C125" s="1608"/>
      <c r="D125" s="1608"/>
      <c r="E125" s="1608"/>
    </row>
    <row r="126" spans="1:5">
      <c r="A126" s="1218" t="s">
        <v>482</v>
      </c>
      <c r="C126" s="1608"/>
      <c r="D126" s="1608"/>
      <c r="E126" s="1608"/>
    </row>
    <row r="127" spans="1:5">
      <c r="A127" s="1218" t="str">
        <f>T('1st Interim-DEBT'!A15)</f>
        <v>State School Building Loans</v>
      </c>
      <c r="C127" s="1608">
        <f>'1st Interim-DEBT'!E15+'1st Interim-DEBT'!F15</f>
        <v>0</v>
      </c>
      <c r="D127" s="1608">
        <f>'1st Interim-DEBT'!G15+'1st Interim-DEBT'!H15</f>
        <v>0</v>
      </c>
      <c r="E127" s="1608">
        <f>'1st Interim-DEBT'!I15+'1st Interim-DEBT'!J15</f>
        <v>0</v>
      </c>
    </row>
    <row r="128" spans="1:5">
      <c r="A128" s="1218" t="str">
        <f>T('1st Interim-DEBT'!A16)</f>
        <v>Charter School Start-up Loans</v>
      </c>
      <c r="C128" s="1603">
        <f>'1st Interim-DEBT'!E16+'1st Interim-DEBT'!F16</f>
        <v>63600</v>
      </c>
      <c r="D128" s="1603">
        <f>'1st Interim-DEBT'!G16+'1st Interim-DEBT'!H16</f>
        <v>0</v>
      </c>
      <c r="E128" s="1603">
        <f>'1st Interim-DEBT'!I16+'1st Interim-DEBT'!J16</f>
        <v>0</v>
      </c>
    </row>
    <row r="129" spans="1:5">
      <c r="A129" s="1218" t="str">
        <f>T('1st Interim-DEBT'!A17)</f>
        <v>Other Post Employment Benefits</v>
      </c>
      <c r="C129" s="1603">
        <f>'1st Interim-DEBT'!E17+'1st Interim-DEBT'!F17</f>
        <v>0</v>
      </c>
      <c r="D129" s="1603">
        <f>'1st Interim-DEBT'!G17+'1st Interim-DEBT'!H17</f>
        <v>0</v>
      </c>
      <c r="E129" s="1603">
        <f>'1st Interim-DEBT'!I17+'1st Interim-DEBT'!J17</f>
        <v>0</v>
      </c>
    </row>
    <row r="130" spans="1:5">
      <c r="A130" s="1218" t="str">
        <f>T('1st Interim-DEBT'!A18)</f>
        <v>Compensated Absences</v>
      </c>
      <c r="C130" s="1603">
        <f>'1st Interim-DEBT'!E18+'1st Interim-DEBT'!F18</f>
        <v>0</v>
      </c>
      <c r="D130" s="1603">
        <f>'1st Interim-DEBT'!G18+'1st Interim-DEBT'!H18</f>
        <v>0</v>
      </c>
      <c r="E130" s="1603">
        <f>'1st Interim-DEBT'!I18+'1st Interim-DEBT'!J18</f>
        <v>0</v>
      </c>
    </row>
    <row r="131" spans="1:5">
      <c r="A131" s="1218" t="str">
        <f>T('1st Interim-DEBT'!A19)</f>
        <v>Bank Line of Credit Loans</v>
      </c>
      <c r="C131" s="1603">
        <f>'1st Interim-DEBT'!E19+'1st Interim-DEBT'!F19</f>
        <v>0</v>
      </c>
      <c r="D131" s="1603">
        <f>'1st Interim-DEBT'!G19+'1st Interim-DEBT'!H19</f>
        <v>0</v>
      </c>
      <c r="E131" s="1603">
        <f>'1st Interim-DEBT'!I19+'1st Interim-DEBT'!J19</f>
        <v>0</v>
      </c>
    </row>
    <row r="132" spans="1:5">
      <c r="A132" s="1218" t="str">
        <f>T('1st Interim-DEBT'!A20)</f>
        <v>Municipal Lease</v>
      </c>
      <c r="C132" s="1603">
        <f>'1st Interim-DEBT'!E20+'1st Interim-DEBT'!F20</f>
        <v>0</v>
      </c>
      <c r="D132" s="1603">
        <f>'1st Interim-DEBT'!G20+'1st Interim-DEBT'!H20</f>
        <v>0</v>
      </c>
      <c r="E132" s="1603">
        <f>'1st Interim-DEBT'!I20+'1st Interim-DEBT'!J20</f>
        <v>0</v>
      </c>
    </row>
    <row r="133" spans="1:5">
      <c r="A133" s="1218" t="str">
        <f>T('1st Interim-DEBT'!A21)</f>
        <v>Capital Lease</v>
      </c>
      <c r="C133" s="1603">
        <f>'1st Interim-DEBT'!E21+'1st Interim-DEBT'!F21</f>
        <v>0</v>
      </c>
      <c r="D133" s="1603">
        <f>'1st Interim-DEBT'!G21+'1st Interim-DEBT'!H21</f>
        <v>0</v>
      </c>
      <c r="E133" s="1603">
        <f>'1st Interim-DEBT'!I21+'1st Interim-DEBT'!J21</f>
        <v>0</v>
      </c>
    </row>
    <row r="134" spans="1:5">
      <c r="A134" s="1218" t="str">
        <f>T('1st Interim-DEBT'!A22)</f>
        <v>Capital Lease</v>
      </c>
      <c r="C134" s="1603">
        <f>'1st Interim-DEBT'!E22+'1st Interim-DEBT'!F22</f>
        <v>0</v>
      </c>
      <c r="D134" s="1603">
        <f>'1st Interim-DEBT'!G22+'1st Interim-DEBT'!H22</f>
        <v>0</v>
      </c>
      <c r="E134" s="1603">
        <f>'1st Interim-DEBT'!I22+'1st Interim-DEBT'!J22</f>
        <v>0</v>
      </c>
    </row>
    <row r="135" spans="1:5">
      <c r="A135" s="1218" t="str">
        <f>T('1st Interim-DEBT'!A23)</f>
        <v>Capital Lease</v>
      </c>
      <c r="C135" s="1603">
        <f>'1st Interim-DEBT'!E23+'1st Interim-DEBT'!F23</f>
        <v>0</v>
      </c>
      <c r="D135" s="1603">
        <f>'1st Interim-DEBT'!G23+'1st Interim-DEBT'!H23</f>
        <v>0</v>
      </c>
      <c r="E135" s="1603">
        <f>'1st Interim-DEBT'!I23+'1st Interim-DEBT'!J23</f>
        <v>0</v>
      </c>
    </row>
    <row r="136" spans="1:5">
      <c r="A136" s="1218" t="str">
        <f>T('1st Interim-DEBT'!A24)</f>
        <v>Inter-Agency Borrowing</v>
      </c>
      <c r="C136" s="1603">
        <f>'1st Interim-DEBT'!E24+'1st Interim-DEBT'!F24</f>
        <v>0</v>
      </c>
      <c r="D136" s="1603">
        <f>'1st Interim-DEBT'!G24+'1st Interim-DEBT'!H24</f>
        <v>0</v>
      </c>
      <c r="E136" s="1603">
        <f>'1st Interim-DEBT'!I24+'1st Interim-DEBT'!J24</f>
        <v>0</v>
      </c>
    </row>
    <row r="137" spans="1:5">
      <c r="A137" s="1218" t="str">
        <f>T('1st Interim-DEBT'!A25)</f>
        <v>Other</v>
      </c>
      <c r="C137" s="1603">
        <f>'1st Interim-DEBT'!E25+'1st Interim-DEBT'!F25</f>
        <v>0</v>
      </c>
      <c r="D137" s="1603">
        <f>'1st Interim-DEBT'!G25+'1st Interim-DEBT'!H25</f>
        <v>0</v>
      </c>
      <c r="E137" s="1603">
        <f>'1st Interim-DEBT'!I25+'1st Interim-DEBT'!J25</f>
        <v>0</v>
      </c>
    </row>
    <row r="138" spans="1:5">
      <c r="A138" s="1218" t="str">
        <f>T('1st Interim-DEBT'!A26)</f>
        <v/>
      </c>
      <c r="C138" s="1607"/>
      <c r="D138" s="1607"/>
      <c r="E138" s="1607"/>
    </row>
    <row r="139" spans="1:5">
      <c r="A139" s="1218" t="s">
        <v>480</v>
      </c>
      <c r="C139" s="1607"/>
      <c r="D139" s="1607"/>
      <c r="E139" s="1607"/>
    </row>
    <row r="140" spans="1:5">
      <c r="A140" s="1218" t="s">
        <v>481</v>
      </c>
      <c r="C140" s="1603">
        <f>'1st Interim-Cash Flow Year 1'!E6</f>
        <v>1065621.8400000003</v>
      </c>
      <c r="D140" s="1603">
        <f>'1st Interim-Cash Flow Year 2'!E6</f>
        <v>905457.34298087796</v>
      </c>
    </row>
    <row r="141" spans="1:5">
      <c r="A141" s="1218" t="s">
        <v>79</v>
      </c>
      <c r="C141" s="1603">
        <f>'1st Interim-Cash Flow Year 1'!E60</f>
        <v>1022274.7985817401</v>
      </c>
      <c r="D141" s="1603">
        <f>'1st Interim-Cash Flow Year 2'!E60</f>
        <v>817466.83363470295</v>
      </c>
    </row>
    <row r="142" spans="1:5">
      <c r="A142" s="1218" t="s">
        <v>81</v>
      </c>
      <c r="C142" s="1603">
        <f>'1st Interim-Cash Flow Year 1'!G60</f>
        <v>978927.75716347992</v>
      </c>
      <c r="D142" s="1603">
        <f>'1st Interim-Cash Flow Year 2'!G60</f>
        <v>729476.32428852795</v>
      </c>
    </row>
    <row r="143" spans="1:5">
      <c r="A143" s="1218" t="s">
        <v>83</v>
      </c>
      <c r="C143" s="1608">
        <f>'1st Interim-Cash Flow Year 1'!I60</f>
        <v>935580.71574521973</v>
      </c>
      <c r="D143" s="1608">
        <f>'1st Interim-Cash Flow Year 2'!I60</f>
        <v>641485.81494235294</v>
      </c>
    </row>
    <row r="144" spans="1:5">
      <c r="A144" s="1218" t="s">
        <v>84</v>
      </c>
      <c r="C144" s="1608">
        <f>'1st Interim-Cash Flow Year 1'!K60</f>
        <v>892233.67432695953</v>
      </c>
      <c r="D144" s="1608">
        <f>'1st Interim-Cash Flow Year 2'!K60</f>
        <v>553495.30559617793</v>
      </c>
    </row>
    <row r="145" spans="1:4">
      <c r="A145" s="1218" t="s">
        <v>85</v>
      </c>
      <c r="C145" s="1608">
        <f>'1st Interim-Cash Flow Year 1'!M60</f>
        <v>848886.63290869934</v>
      </c>
      <c r="D145" s="1608">
        <f>'1st Interim-Cash Flow Year 2'!M60</f>
        <v>465504.79625000292</v>
      </c>
    </row>
    <row r="146" spans="1:4">
      <c r="A146" s="1218" t="s">
        <v>86</v>
      </c>
      <c r="C146" s="1608">
        <f>'1st Interim-Cash Flow Year 1'!O60</f>
        <v>805539.59149043914</v>
      </c>
      <c r="D146" s="1608">
        <f>'1st Interim-Cash Flow Year 2'!O60</f>
        <v>377514.28690382792</v>
      </c>
    </row>
    <row r="147" spans="1:4">
      <c r="A147" s="1218" t="s">
        <v>87</v>
      </c>
      <c r="C147" s="1608">
        <f>'1st Interim-Cash Flow Year 1'!Q60</f>
        <v>762192.55007217894</v>
      </c>
      <c r="D147" s="1608">
        <f>'1st Interim-Cash Flow Year 2'!Q60</f>
        <v>789523.77755765291</v>
      </c>
    </row>
    <row r="148" spans="1:4">
      <c r="A148" s="1218" t="s">
        <v>88</v>
      </c>
      <c r="C148" s="1608">
        <f>'1st Interim-Cash Flow Year 1'!S60</f>
        <v>718845.50865391875</v>
      </c>
      <c r="D148" s="1608">
        <f>'1st Interim-Cash Flow Year 2'!S60</f>
        <v>701533.2682114779</v>
      </c>
    </row>
    <row r="149" spans="1:4">
      <c r="A149" s="1218" t="s">
        <v>89</v>
      </c>
      <c r="C149" s="1608">
        <f>'1st Interim-Cash Flow Year 1'!U60</f>
        <v>675498.46723565855</v>
      </c>
      <c r="D149" s="1608">
        <f>'1st Interim-Cash Flow Year 2'!U60</f>
        <v>613542.75886530289</v>
      </c>
    </row>
    <row r="150" spans="1:4">
      <c r="A150" s="1218" t="s">
        <v>90</v>
      </c>
      <c r="C150" s="1608">
        <f>'1st Interim-Cash Flow Year 1'!W60</f>
        <v>632151.42581739835</v>
      </c>
      <c r="D150" s="1608">
        <f>'1st Interim-Cash Flow Year 2'!W60</f>
        <v>525552.24951912789</v>
      </c>
    </row>
    <row r="151" spans="1:4">
      <c r="A151" s="1218" t="s">
        <v>91</v>
      </c>
      <c r="C151" s="1608">
        <f>'1st Interim-Cash Flow Year 1'!Y60</f>
        <v>588804.38439913816</v>
      </c>
      <c r="D151" s="1608">
        <f>'1st Interim-Cash Flow Year 2'!Y60</f>
        <v>437561.74017295288</v>
      </c>
    </row>
    <row r="152" spans="1:4">
      <c r="A152" s="1218" t="s">
        <v>92</v>
      </c>
      <c r="C152" s="1608">
        <f>'1st Interim-Cash Flow Year 1'!AA60</f>
        <v>905457.34298087796</v>
      </c>
      <c r="D152" s="1608">
        <f>'1st Interim-Cash Flow Year 2'!AA60</f>
        <v>949571.23082677787</v>
      </c>
    </row>
    <row r="153" spans="1:4">
      <c r="C153" s="1608"/>
      <c r="D153" s="1608"/>
    </row>
    <row r="154" spans="1:4">
      <c r="C154" s="1608"/>
      <c r="D154" s="1608"/>
    </row>
  </sheetData>
  <sheetProtection password="D94D" sheet="1"/>
  <conditionalFormatting sqref="A77">
    <cfRule type="expression" dxfId="160" priority="2" stopIfTrue="1">
      <formula>$E$87=""</formula>
    </cfRule>
  </conditionalFormatting>
  <conditionalFormatting sqref="A78">
    <cfRule type="expression" dxfId="159" priority="1" stopIfTrue="1">
      <formula>$E$87&lt;&gt;0</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tabColor theme="5"/>
  </sheetPr>
  <dimension ref="A1:W91"/>
  <sheetViews>
    <sheetView showGridLines="0" zoomScale="85" zoomScaleNormal="85" workbookViewId="0">
      <pane xSplit="7" ySplit="9" topLeftCell="H10" activePane="bottomRight" state="frozen"/>
      <selection activeCell="J13" sqref="J13"/>
      <selection pane="topRight" activeCell="J13" sqref="J13"/>
      <selection pane="bottomLeft" activeCell="J13" sqref="J13"/>
      <selection pane="bottomRight" activeCell="G10" sqref="G10"/>
    </sheetView>
  </sheetViews>
  <sheetFormatPr defaultColWidth="5" defaultRowHeight="12" customHeight="1"/>
  <cols>
    <col min="1" max="1" width="2.7109375" style="5" customWidth="1"/>
    <col min="2" max="2" width="9.28515625" style="7" customWidth="1"/>
    <col min="3" max="8" width="9.28515625" style="5" customWidth="1"/>
    <col min="9" max="19" width="14" style="5" customWidth="1"/>
    <col min="20" max="20" width="14" style="28" customWidth="1"/>
    <col min="21" max="22" width="14" style="5" customWidth="1"/>
    <col min="23" max="23" width="71.7109375" style="1204" customWidth="1"/>
    <col min="24" max="16384" width="5" style="5"/>
  </cols>
  <sheetData>
    <row r="1" spans="1:23" ht="15.75">
      <c r="A1" s="43" t="s">
        <v>39</v>
      </c>
      <c r="B1" s="44"/>
      <c r="C1" s="45"/>
      <c r="D1" s="45"/>
      <c r="E1" s="45"/>
      <c r="F1" s="45"/>
      <c r="G1" s="45"/>
      <c r="H1" s="450"/>
      <c r="I1" s="1684" t="str">
        <f>IF('INTERIM-CERTIFICATION'!$M$1="","CHARTER NAME: Enter Charter Name on INTERIM-CERTIFICATION Worksheet",(CONCATENATE("CHARTER NAME: ",'INTERIM-CERTIFICATION'!$M$1)))</f>
        <v>CHARTER NAME: Elite Academic Academy - Virtual Prep Lucerne</v>
      </c>
      <c r="J1" s="1684"/>
      <c r="K1" s="1684"/>
      <c r="L1" s="1684"/>
      <c r="M1" s="1684"/>
      <c r="N1" s="1684"/>
      <c r="O1" s="98"/>
      <c r="P1" s="98"/>
      <c r="Q1" s="98"/>
      <c r="R1" s="205"/>
      <c r="S1" s="205"/>
      <c r="T1" s="258"/>
      <c r="U1" s="258"/>
      <c r="V1" s="451"/>
    </row>
    <row r="2" spans="1:23" ht="16.5" thickBot="1">
      <c r="A2" s="452"/>
      <c r="B2" s="33"/>
      <c r="C2" s="34"/>
      <c r="D2" s="34"/>
      <c r="E2" s="34"/>
      <c r="F2" s="34"/>
      <c r="G2" s="34"/>
      <c r="H2" s="415"/>
      <c r="I2" s="1685" t="str">
        <f>IF('INTERIM-CERTIFICATION'!$M$5="","CHARTER #: Enter Charter # on INTERIM-CERTIFICATION Worksheet",(_xlfn.CONCAT("CHARTER #: ",'INTERIM-CERTIFICATION'!$M$5)))</f>
        <v>CHARTER #: 1975</v>
      </c>
      <c r="J2" s="1685"/>
      <c r="K2" s="1685"/>
      <c r="L2" s="1685"/>
      <c r="M2" s="1685"/>
      <c r="N2" s="1685"/>
      <c r="O2" s="206"/>
      <c r="P2" s="11"/>
      <c r="Q2" s="11"/>
      <c r="R2" s="11"/>
      <c r="S2" s="11"/>
      <c r="T2"/>
      <c r="U2"/>
      <c r="V2" s="453"/>
    </row>
    <row r="3" spans="1:23" ht="16.5" thickTop="1">
      <c r="A3" s="452"/>
      <c r="B3" s="33"/>
      <c r="C3" s="34"/>
      <c r="D3" s="34"/>
      <c r="E3" s="34"/>
      <c r="F3" s="34"/>
      <c r="G3" s="34"/>
      <c r="H3" s="35"/>
      <c r="I3" s="91"/>
      <c r="J3" s="35"/>
      <c r="K3" s="35"/>
      <c r="L3" s="35"/>
      <c r="M3" s="35"/>
      <c r="N3" s="35"/>
      <c r="O3" s="35"/>
      <c r="P3" s="35"/>
      <c r="Q3" s="35"/>
      <c r="R3" s="35"/>
      <c r="S3" s="35"/>
      <c r="T3"/>
      <c r="U3"/>
      <c r="V3" s="453"/>
    </row>
    <row r="4" spans="1:23" s="1370" customFormat="1" ht="15.75">
      <c r="A4" s="40"/>
      <c r="B4" s="36"/>
      <c r="C4"/>
      <c r="D4"/>
      <c r="E4" s="37"/>
      <c r="F4" s="37"/>
      <c r="G4" s="37"/>
      <c r="H4" s="37"/>
      <c r="I4" s="37"/>
      <c r="J4" s="94" t="str">
        <f>"Fiscal Year "&amp;'Budget-ADA'!K7&amp;" Second Interim Report"</f>
        <v>Fiscal Year 2022-23 Second Interim Report</v>
      </c>
      <c r="K4" s="37"/>
      <c r="L4" s="37"/>
      <c r="M4" s="37"/>
      <c r="N4" s="37"/>
      <c r="O4" s="37"/>
      <c r="P4" s="37"/>
      <c r="Q4" s="37"/>
      <c r="R4" s="37"/>
      <c r="S4" s="37"/>
      <c r="T4"/>
      <c r="U4" s="88"/>
      <c r="V4" s="454"/>
      <c r="W4" s="1205"/>
    </row>
    <row r="5" spans="1:23" s="1370" customFormat="1" ht="15.75">
      <c r="A5" s="40"/>
      <c r="B5" s="36"/>
      <c r="C5" s="36"/>
      <c r="D5"/>
      <c r="E5" s="37"/>
      <c r="F5" s="37"/>
      <c r="G5" s="37"/>
      <c r="H5" s="37"/>
      <c r="I5" s="37"/>
      <c r="J5" s="37" t="str">
        <f>"Projected ADA as of January 31, "&amp;'Budget-DEBT'!$D$13+1&amp;""</f>
        <v>Projected ADA as of January 31, 2023</v>
      </c>
      <c r="K5" s="37"/>
      <c r="L5" s="37"/>
      <c r="M5" s="37"/>
      <c r="N5" s="37"/>
      <c r="O5" s="37"/>
      <c r="P5" s="37"/>
      <c r="Q5" s="37"/>
      <c r="R5" s="37"/>
      <c r="S5" s="37"/>
      <c r="T5"/>
      <c r="U5" s="88"/>
      <c r="V5" s="454"/>
      <c r="W5" s="1205"/>
    </row>
    <row r="6" spans="1:23" s="1370" customFormat="1" ht="16.5" thickBot="1">
      <c r="A6" s="1866" t="str">
        <f>Instructions!H1</f>
        <v>Form Orignated 5/16/2022</v>
      </c>
      <c r="B6" s="1867"/>
      <c r="C6" s="1867"/>
      <c r="D6" s="1867"/>
      <c r="E6" s="1867"/>
      <c r="F6" s="1867"/>
      <c r="G6" s="1867"/>
      <c r="H6" s="1867"/>
      <c r="I6" s="106"/>
      <c r="J6" s="105"/>
      <c r="K6" s="236"/>
      <c r="L6" s="236"/>
      <c r="M6" s="236"/>
      <c r="N6" s="236"/>
      <c r="O6" s="236"/>
      <c r="P6" s="236"/>
      <c r="Q6" s="1"/>
      <c r="R6" s="1"/>
      <c r="S6" s="1"/>
      <c r="T6"/>
      <c r="U6"/>
      <c r="V6" s="454"/>
      <c r="W6" s="1205"/>
    </row>
    <row r="7" spans="1:23" s="1370" customFormat="1" ht="16.5" customHeight="1">
      <c r="A7" s="1676" t="str">
        <f>IF('INTERIM-CERTIFICATION'!$H$3="","Charter Authorizer: Enter Charter Authorizer on INTERIM-CERTIFICATION Worksheet",(_xlfn.CONCAT("Charter Authorizer: ",'INTERIM-CERTIFICATION'!$H$3)))</f>
        <v>Charter Authorizer: Enter Charter Authorizer on INTERIM-CERTIFICATION Worksheet</v>
      </c>
      <c r="B7" s="1677"/>
      <c r="C7" s="1677"/>
      <c r="D7" s="1677"/>
      <c r="E7" s="1677"/>
      <c r="F7" s="1677"/>
      <c r="G7" s="1678"/>
      <c r="H7" s="242"/>
      <c r="I7" s="1659" t="str">
        <f>'Budget-ADA'!I7</f>
        <v>2021-22</v>
      </c>
      <c r="J7" s="1837"/>
      <c r="K7" s="430"/>
      <c r="L7" s="431" t="str">
        <f>""&amp;'Budget-ADA'!$K$7&amp;" Adopted Budget"</f>
        <v>2022-23 Adopted Budget</v>
      </c>
      <c r="M7" s="432"/>
      <c r="N7" s="430"/>
      <c r="O7" s="431" t="str">
        <f>""&amp;'Budget-ADA'!$K$7&amp;" Second Interim"</f>
        <v>2022-23 Second Interim</v>
      </c>
      <c r="P7" s="432"/>
      <c r="Q7" s="430"/>
      <c r="R7" s="431" t="str">
        <f>""&amp;'Budget-ADA'!$N$7&amp;" Second Interim"</f>
        <v>2023-24 Second Interim</v>
      </c>
      <c r="S7" s="432"/>
      <c r="T7" s="430"/>
      <c r="U7" s="431" t="str">
        <f>""&amp;'Budget-ADA'!$Q$7&amp;" Second Interim"</f>
        <v>2024-25 Second Interim</v>
      </c>
      <c r="V7" s="433"/>
      <c r="W7" s="1205"/>
    </row>
    <row r="8" spans="1:23" s="1370" customFormat="1" ht="21" thickBot="1">
      <c r="A8" s="1679"/>
      <c r="B8" s="1680"/>
      <c r="C8" s="1680"/>
      <c r="D8" s="1680"/>
      <c r="E8" s="1680"/>
      <c r="F8" s="1680"/>
      <c r="G8" s="1681"/>
      <c r="H8" s="40"/>
      <c r="I8" s="427" t="s">
        <v>196</v>
      </c>
      <c r="J8" s="428" t="s">
        <v>199</v>
      </c>
      <c r="K8" s="434" t="s">
        <v>197</v>
      </c>
      <c r="L8" s="435" t="s">
        <v>199</v>
      </c>
      <c r="M8" s="1833" t="s">
        <v>231</v>
      </c>
      <c r="N8" s="434" t="s">
        <v>197</v>
      </c>
      <c r="O8" s="435" t="s">
        <v>199</v>
      </c>
      <c r="P8" s="1833" t="s">
        <v>232</v>
      </c>
      <c r="Q8" s="434" t="s">
        <v>197</v>
      </c>
      <c r="R8" s="435" t="s">
        <v>199</v>
      </c>
      <c r="S8" s="1833" t="s">
        <v>231</v>
      </c>
      <c r="T8" s="434" t="s">
        <v>197</v>
      </c>
      <c r="U8" s="435" t="s">
        <v>199</v>
      </c>
      <c r="V8" s="1831" t="s">
        <v>231</v>
      </c>
      <c r="W8" s="1205"/>
    </row>
    <row r="9" spans="1:23" ht="16.5" thickBot="1">
      <c r="A9" s="418" t="s">
        <v>2</v>
      </c>
      <c r="B9" s="419"/>
      <c r="C9" s="419"/>
      <c r="D9" s="419"/>
      <c r="E9" s="420"/>
      <c r="F9" s="421"/>
      <c r="G9" s="420"/>
      <c r="H9" s="426" t="s">
        <v>37</v>
      </c>
      <c r="I9" s="233" t="s">
        <v>170</v>
      </c>
      <c r="J9" s="90"/>
      <c r="K9" s="87" t="s">
        <v>170</v>
      </c>
      <c r="L9" s="90"/>
      <c r="M9" s="1834"/>
      <c r="N9" s="87" t="s">
        <v>170</v>
      </c>
      <c r="O9" s="90"/>
      <c r="P9" s="1834"/>
      <c r="Q9" s="87" t="s">
        <v>170</v>
      </c>
      <c r="R9" s="90"/>
      <c r="S9" s="1834"/>
      <c r="T9" s="87" t="s">
        <v>170</v>
      </c>
      <c r="U9" s="90"/>
      <c r="V9" s="1832"/>
    </row>
    <row r="10" spans="1:23" ht="17.25" thickTop="1" thickBot="1">
      <c r="A10" s="416" t="s">
        <v>337</v>
      </c>
      <c r="B10" s="417"/>
      <c r="C10" s="417"/>
      <c r="D10" s="45"/>
      <c r="E10" s="45"/>
      <c r="F10" s="45"/>
      <c r="G10" s="1002"/>
      <c r="H10" s="560"/>
      <c r="I10" s="561"/>
      <c r="J10" s="560"/>
      <c r="K10" s="560"/>
      <c r="L10" s="560"/>
      <c r="M10" s="560"/>
      <c r="N10" s="560"/>
      <c r="O10" s="560"/>
      <c r="P10" s="560"/>
      <c r="Q10" s="560"/>
      <c r="R10" s="560"/>
      <c r="S10" s="560"/>
      <c r="T10" s="560"/>
      <c r="U10" s="560"/>
      <c r="V10" s="562"/>
    </row>
    <row r="11" spans="1:23" ht="15.75">
      <c r="A11" s="42" t="s">
        <v>174</v>
      </c>
      <c r="B11" s="243"/>
      <c r="C11"/>
      <c r="D11" s="34"/>
      <c r="E11" s="34"/>
      <c r="F11" s="34"/>
      <c r="G11" s="34"/>
      <c r="H11" s="563"/>
      <c r="I11" s="440"/>
      <c r="J11" s="243"/>
      <c r="K11" s="243"/>
      <c r="L11" s="243"/>
      <c r="M11" s="243"/>
      <c r="N11" s="243"/>
      <c r="O11" s="243"/>
      <c r="P11" s="243"/>
      <c r="Q11" s="243"/>
      <c r="R11" s="243"/>
      <c r="S11" s="243"/>
      <c r="T11" s="243"/>
      <c r="U11" s="243"/>
      <c r="V11" s="439"/>
    </row>
    <row r="12" spans="1:23" ht="15.75">
      <c r="A12" s="68"/>
      <c r="B12" s="247"/>
      <c r="C12" s="248" t="s">
        <v>171</v>
      </c>
      <c r="D12" s="245"/>
      <c r="E12" s="245"/>
      <c r="F12" s="245"/>
      <c r="G12" s="245"/>
      <c r="H12" s="246" t="s">
        <v>175</v>
      </c>
      <c r="I12" s="429">
        <f>'Budget-ADA'!I12</f>
        <v>157.73795999999999</v>
      </c>
      <c r="J12" s="787"/>
      <c r="K12" s="256">
        <f>'Budget-ADA'!K12</f>
        <v>279.690050949051</v>
      </c>
      <c r="L12" s="787"/>
      <c r="M12" s="252">
        <f>'Budget-ADA'!M12</f>
        <v>0.77313089981036287</v>
      </c>
      <c r="N12" s="250"/>
      <c r="O12" s="787"/>
      <c r="P12" s="251" t="str">
        <f t="shared" ref="P12:P23" si="0">IF(K12&lt;1," ",IF(N12&lt;1," ",(N12-K12)/K12))</f>
        <v xml:space="preserve"> </v>
      </c>
      <c r="Q12" s="250"/>
      <c r="R12" s="787"/>
      <c r="S12" s="251" t="str">
        <f t="shared" ref="S12:S23" si="1">IF(N12&lt;1," ",IF(Q12&lt;1," ",(Q12-N12)/N12))</f>
        <v xml:space="preserve"> </v>
      </c>
      <c r="T12" s="250"/>
      <c r="U12" s="787"/>
      <c r="V12" s="253" t="str">
        <f t="shared" ref="V12:V23" si="2">IF(Q12&lt;1," ",IF(T12&lt;1," ",(T12-Q12)/Q12))</f>
        <v xml:space="preserve"> </v>
      </c>
    </row>
    <row r="13" spans="1:23" ht="15.75">
      <c r="A13" s="239"/>
      <c r="B13" s="247"/>
      <c r="C13" s="141" t="s">
        <v>184</v>
      </c>
      <c r="D13" s="245"/>
      <c r="E13" s="245"/>
      <c r="F13" s="245"/>
      <c r="G13" s="245"/>
      <c r="H13" s="246" t="s">
        <v>176</v>
      </c>
      <c r="I13" s="429">
        <f>'Budget-ADA'!I13</f>
        <v>0</v>
      </c>
      <c r="J13" s="660"/>
      <c r="K13" s="256">
        <f>'Budget-ADA'!K13</f>
        <v>0</v>
      </c>
      <c r="L13" s="660"/>
      <c r="M13" s="252" t="str">
        <f>'Budget-ADA'!M13</f>
        <v xml:space="preserve"> </v>
      </c>
      <c r="N13" s="250"/>
      <c r="O13" s="660"/>
      <c r="P13" s="251" t="str">
        <f t="shared" si="0"/>
        <v xml:space="preserve"> </v>
      </c>
      <c r="Q13" s="250"/>
      <c r="R13" s="660"/>
      <c r="S13" s="251" t="str">
        <f t="shared" si="1"/>
        <v xml:space="preserve"> </v>
      </c>
      <c r="T13" s="250"/>
      <c r="U13" s="660"/>
      <c r="V13" s="253" t="str">
        <f t="shared" si="2"/>
        <v xml:space="preserve"> </v>
      </c>
    </row>
    <row r="14" spans="1:23" ht="15.75">
      <c r="A14" s="68"/>
      <c r="B14" s="247"/>
      <c r="C14" s="248" t="s">
        <v>172</v>
      </c>
      <c r="D14" s="245"/>
      <c r="E14" s="245"/>
      <c r="F14" s="245"/>
      <c r="G14" s="245"/>
      <c r="H14" s="246" t="s">
        <v>177</v>
      </c>
      <c r="I14" s="429">
        <f>'Budget-ADA'!I14</f>
        <v>0</v>
      </c>
      <c r="J14" s="660"/>
      <c r="K14" s="256">
        <f>'Budget-ADA'!K14</f>
        <v>0</v>
      </c>
      <c r="L14" s="660"/>
      <c r="M14" s="252" t="str">
        <f>'Budget-ADA'!M14</f>
        <v xml:space="preserve"> </v>
      </c>
      <c r="N14" s="250"/>
      <c r="O14" s="660"/>
      <c r="P14" s="251" t="str">
        <f t="shared" si="0"/>
        <v xml:space="preserve"> </v>
      </c>
      <c r="Q14" s="250"/>
      <c r="R14" s="660"/>
      <c r="S14" s="251" t="str">
        <f t="shared" si="1"/>
        <v xml:space="preserve"> </v>
      </c>
      <c r="T14" s="250"/>
      <c r="U14" s="660"/>
      <c r="V14" s="253" t="str">
        <f t="shared" si="2"/>
        <v xml:space="preserve"> </v>
      </c>
    </row>
    <row r="15" spans="1:23" ht="15.75">
      <c r="A15" s="68"/>
      <c r="B15" s="247"/>
      <c r="C15" s="141" t="s">
        <v>185</v>
      </c>
      <c r="D15" s="245"/>
      <c r="E15" s="245"/>
      <c r="F15" s="245"/>
      <c r="G15" s="245"/>
      <c r="H15" s="246" t="s">
        <v>178</v>
      </c>
      <c r="I15" s="429">
        <f>'Budget-ADA'!I15</f>
        <v>0</v>
      </c>
      <c r="J15" s="660"/>
      <c r="K15" s="256">
        <f>'Budget-ADA'!K15</f>
        <v>0</v>
      </c>
      <c r="L15" s="660"/>
      <c r="M15" s="252" t="str">
        <f>'Budget-ADA'!M15</f>
        <v xml:space="preserve"> </v>
      </c>
      <c r="N15" s="250"/>
      <c r="O15" s="660"/>
      <c r="P15" s="251" t="str">
        <f t="shared" si="0"/>
        <v xml:space="preserve"> </v>
      </c>
      <c r="Q15" s="250"/>
      <c r="R15" s="660"/>
      <c r="S15" s="251" t="str">
        <f t="shared" si="1"/>
        <v xml:space="preserve"> </v>
      </c>
      <c r="T15" s="250"/>
      <c r="U15" s="660"/>
      <c r="V15" s="253" t="str">
        <f t="shared" si="2"/>
        <v xml:space="preserve"> </v>
      </c>
    </row>
    <row r="16" spans="1:23" ht="15.75">
      <c r="A16" s="68"/>
      <c r="B16" s="247"/>
      <c r="C16" s="248" t="s">
        <v>173</v>
      </c>
      <c r="D16" s="245"/>
      <c r="E16" s="245"/>
      <c r="F16" s="245"/>
      <c r="G16" s="245"/>
      <c r="H16" s="246" t="s">
        <v>179</v>
      </c>
      <c r="I16" s="429">
        <f>'Budget-ADA'!I16</f>
        <v>29.822040000000015</v>
      </c>
      <c r="J16" s="660"/>
      <c r="K16" s="256">
        <f>'Budget-ADA'!K16</f>
        <v>52.878380619380607</v>
      </c>
      <c r="L16" s="660"/>
      <c r="M16" s="252">
        <f>'Budget-ADA'!M16</f>
        <v>0.77313089981036109</v>
      </c>
      <c r="N16" s="250"/>
      <c r="O16" s="660"/>
      <c r="P16" s="251" t="str">
        <f t="shared" si="0"/>
        <v xml:space="preserve"> </v>
      </c>
      <c r="Q16" s="250"/>
      <c r="R16" s="660"/>
      <c r="S16" s="251" t="str">
        <f t="shared" si="1"/>
        <v xml:space="preserve"> </v>
      </c>
      <c r="T16" s="250"/>
      <c r="U16" s="660"/>
      <c r="V16" s="253" t="str">
        <f t="shared" si="2"/>
        <v xml:space="preserve"> </v>
      </c>
    </row>
    <row r="17" spans="1:22" ht="15.75">
      <c r="A17" s="68"/>
      <c r="B17" s="247"/>
      <c r="C17" s="141" t="s">
        <v>186</v>
      </c>
      <c r="D17" s="245"/>
      <c r="E17" s="245"/>
      <c r="F17" s="245"/>
      <c r="G17" s="245"/>
      <c r="H17" s="246" t="s">
        <v>190</v>
      </c>
      <c r="I17" s="429">
        <f>'Budget-ADA'!I17</f>
        <v>0</v>
      </c>
      <c r="J17" s="660"/>
      <c r="K17" s="256">
        <f>'Budget-ADA'!K17</f>
        <v>0</v>
      </c>
      <c r="L17" s="660"/>
      <c r="M17" s="252" t="str">
        <f>'Budget-ADA'!M17</f>
        <v xml:space="preserve"> </v>
      </c>
      <c r="N17" s="250"/>
      <c r="O17" s="660"/>
      <c r="P17" s="251" t="str">
        <f t="shared" si="0"/>
        <v xml:space="preserve"> </v>
      </c>
      <c r="Q17" s="250"/>
      <c r="R17" s="660"/>
      <c r="S17" s="251" t="str">
        <f t="shared" si="1"/>
        <v xml:space="preserve"> </v>
      </c>
      <c r="T17" s="250"/>
      <c r="U17" s="660"/>
      <c r="V17" s="253" t="str">
        <f t="shared" si="2"/>
        <v xml:space="preserve"> </v>
      </c>
    </row>
    <row r="18" spans="1:22" ht="15.75">
      <c r="A18" s="68"/>
      <c r="B18" s="247"/>
      <c r="C18" s="248" t="s">
        <v>187</v>
      </c>
      <c r="D18" s="245"/>
      <c r="E18" s="245"/>
      <c r="F18" s="245"/>
      <c r="G18" s="245"/>
      <c r="H18" s="246" t="s">
        <v>191</v>
      </c>
      <c r="I18" s="429">
        <f>'Budget-ADA'!I18</f>
        <v>0</v>
      </c>
      <c r="J18" s="660"/>
      <c r="K18" s="256">
        <f>'Budget-ADA'!K18</f>
        <v>0</v>
      </c>
      <c r="L18" s="660"/>
      <c r="M18" s="252" t="str">
        <f>'Budget-ADA'!M18</f>
        <v xml:space="preserve"> </v>
      </c>
      <c r="N18" s="250"/>
      <c r="O18" s="660"/>
      <c r="P18" s="251" t="str">
        <f t="shared" si="0"/>
        <v xml:space="preserve"> </v>
      </c>
      <c r="Q18" s="250"/>
      <c r="R18" s="660"/>
      <c r="S18" s="251" t="str">
        <f t="shared" si="1"/>
        <v xml:space="preserve"> </v>
      </c>
      <c r="T18" s="250"/>
      <c r="U18" s="660"/>
      <c r="V18" s="253" t="str">
        <f t="shared" si="2"/>
        <v xml:space="preserve"> </v>
      </c>
    </row>
    <row r="19" spans="1:22" ht="15.75">
      <c r="A19" s="68"/>
      <c r="B19" s="247"/>
      <c r="C19" s="141" t="s">
        <v>188</v>
      </c>
      <c r="D19" s="245"/>
      <c r="E19" s="245"/>
      <c r="F19" s="245"/>
      <c r="G19" s="245"/>
      <c r="H19" s="246" t="s">
        <v>192</v>
      </c>
      <c r="I19" s="429">
        <f>'Budget-ADA'!I19</f>
        <v>0</v>
      </c>
      <c r="J19" s="660"/>
      <c r="K19" s="256">
        <f>'Budget-ADA'!K19</f>
        <v>0</v>
      </c>
      <c r="L19" s="660"/>
      <c r="M19" s="252" t="str">
        <f>'Budget-ADA'!M19</f>
        <v xml:space="preserve"> </v>
      </c>
      <c r="N19" s="250"/>
      <c r="O19" s="660"/>
      <c r="P19" s="251" t="str">
        <f t="shared" si="0"/>
        <v xml:space="preserve"> </v>
      </c>
      <c r="Q19" s="250"/>
      <c r="R19" s="660"/>
      <c r="S19" s="251" t="str">
        <f t="shared" si="1"/>
        <v xml:space="preserve"> </v>
      </c>
      <c r="T19" s="250"/>
      <c r="U19" s="660"/>
      <c r="V19" s="253" t="str">
        <f t="shared" si="2"/>
        <v xml:space="preserve"> </v>
      </c>
    </row>
    <row r="20" spans="1:22" ht="18.75" customHeight="1">
      <c r="A20" s="68"/>
      <c r="B20" s="1671" t="s">
        <v>364</v>
      </c>
      <c r="C20" s="1672"/>
      <c r="D20" s="1672"/>
      <c r="E20" s="1672"/>
      <c r="F20" s="1672"/>
      <c r="G20" s="1673"/>
      <c r="H20" s="246" t="s">
        <v>193</v>
      </c>
      <c r="I20" s="429">
        <f>'Budget-ADA'!I20</f>
        <v>187.56</v>
      </c>
      <c r="J20" s="255">
        <f>IF(('Budget-ADA'!J20="Cell G10 CANNOT be blank"), "Missing Data, BUDGET-ADA Tab, cell G10",'Budget-ADA'!J20)</f>
        <v>0</v>
      </c>
      <c r="K20" s="256">
        <f>'Budget-ADA'!K20</f>
        <v>332.56843156843161</v>
      </c>
      <c r="L20" s="444">
        <f>IF(('Budget-ADA'!L20="Cell G10 CANNOT be blank"), "Missing Data, BUDGET-ADA Tab, cell G10",'Budget-ADA'!L20)</f>
        <v>0</v>
      </c>
      <c r="M20" s="443">
        <f>'Budget-ADA'!M20</f>
        <v>0.77313089981036254</v>
      </c>
      <c r="N20" s="254">
        <f>N12+N14+N16+N18</f>
        <v>0</v>
      </c>
      <c r="O20" s="660"/>
      <c r="P20" s="252" t="str">
        <f t="shared" si="0"/>
        <v xml:space="preserve"> </v>
      </c>
      <c r="Q20" s="254">
        <f>Q12+Q14+Q16+Q18</f>
        <v>0</v>
      </c>
      <c r="R20" s="660"/>
      <c r="S20" s="252" t="str">
        <f t="shared" si="1"/>
        <v xml:space="preserve"> </v>
      </c>
      <c r="T20" s="254">
        <f>T12+T14+T16+T18</f>
        <v>0</v>
      </c>
      <c r="U20" s="660"/>
      <c r="V20" s="436" t="str">
        <f t="shared" si="2"/>
        <v xml:space="preserve"> </v>
      </c>
    </row>
    <row r="21" spans="1:22" ht="15.75">
      <c r="A21" s="68"/>
      <c r="B21" s="1671" t="s">
        <v>365</v>
      </c>
      <c r="C21" s="1672"/>
      <c r="D21" s="1672"/>
      <c r="E21" s="1672"/>
      <c r="F21" s="1672"/>
      <c r="G21" s="1673"/>
      <c r="H21" s="246" t="s">
        <v>194</v>
      </c>
      <c r="I21" s="429">
        <f>'Budget-ADA'!I21</f>
        <v>0</v>
      </c>
      <c r="J21" s="255">
        <f>'Budget-ADA'!J21</f>
        <v>0</v>
      </c>
      <c r="K21" s="256">
        <f>'Budget-ADA'!K21</f>
        <v>0</v>
      </c>
      <c r="L21" s="444">
        <f>'Budget-ADA'!L21</f>
        <v>0</v>
      </c>
      <c r="M21" s="443" t="str">
        <f>'Budget-ADA'!M21</f>
        <v xml:space="preserve"> </v>
      </c>
      <c r="N21" s="254">
        <f>N13+N15+N17+N19</f>
        <v>0</v>
      </c>
      <c r="O21" s="444">
        <f>N21</f>
        <v>0</v>
      </c>
      <c r="P21" s="252" t="str">
        <f t="shared" si="0"/>
        <v xml:space="preserve"> </v>
      </c>
      <c r="Q21" s="254">
        <f>Q13+Q15+Q17+Q19</f>
        <v>0</v>
      </c>
      <c r="R21" s="444">
        <f>Q21</f>
        <v>0</v>
      </c>
      <c r="S21" s="252" t="str">
        <f t="shared" si="1"/>
        <v xml:space="preserve"> </v>
      </c>
      <c r="T21" s="254">
        <f>T13+T15+T17+T19</f>
        <v>0</v>
      </c>
      <c r="U21" s="444">
        <f>T21</f>
        <v>0</v>
      </c>
      <c r="V21" s="436" t="str">
        <f t="shared" si="2"/>
        <v xml:space="preserve"> </v>
      </c>
    </row>
    <row r="22" spans="1:22" ht="47.25" customHeight="1">
      <c r="A22" s="68"/>
      <c r="B22" s="1671" t="s">
        <v>362</v>
      </c>
      <c r="C22" s="1672"/>
      <c r="D22" s="1672"/>
      <c r="E22" s="1672"/>
      <c r="F22" s="1672"/>
      <c r="G22" s="1673"/>
      <c r="H22" s="246" t="s">
        <v>361</v>
      </c>
      <c r="I22" s="429">
        <f>'Budget-ADA'!I22</f>
        <v>187.56</v>
      </c>
      <c r="J22" s="444">
        <f>'Budget-ADA'!J22</f>
        <v>187.56</v>
      </c>
      <c r="K22" s="256">
        <f>'Budget-ADA'!K22</f>
        <v>332.56843156843161</v>
      </c>
      <c r="L22" s="444">
        <f>'Budget-ADA'!L22</f>
        <v>332.56843156843161</v>
      </c>
      <c r="M22" s="252">
        <f>'Budget-ADA'!M22</f>
        <v>0.77313089981036254</v>
      </c>
      <c r="N22" s="254">
        <f>N20-N21</f>
        <v>0</v>
      </c>
      <c r="O22" s="444" t="str">
        <f>IF($G$10="","Cell G10 CANNOT be blank",N22*$G$10)</f>
        <v>Cell G10 CANNOT be blank</v>
      </c>
      <c r="P22" s="252" t="str">
        <f t="shared" si="0"/>
        <v xml:space="preserve"> </v>
      </c>
      <c r="Q22" s="256">
        <f>Q20-Q21</f>
        <v>0</v>
      </c>
      <c r="R22" s="444" t="str">
        <f>IF($G$10="","Cell G10 CANNOT be blank",Q22*$G$10)</f>
        <v>Cell G10 CANNOT be blank</v>
      </c>
      <c r="S22" s="252" t="str">
        <f t="shared" si="1"/>
        <v xml:space="preserve"> </v>
      </c>
      <c r="T22" s="256">
        <f>T20-T21</f>
        <v>0</v>
      </c>
      <c r="U22" s="444" t="str">
        <f>IF($G$10="","Cell G10 CANNOT be blank",T22*$G$10)</f>
        <v>Cell G10 CANNOT be blank</v>
      </c>
      <c r="V22" s="436" t="str">
        <f t="shared" si="2"/>
        <v xml:space="preserve"> </v>
      </c>
    </row>
    <row r="23" spans="1:22" ht="31.5" customHeight="1">
      <c r="A23" s="68"/>
      <c r="B23" s="1664" t="s">
        <v>189</v>
      </c>
      <c r="C23" s="1665"/>
      <c r="D23" s="1665"/>
      <c r="E23" s="1665"/>
      <c r="F23" s="1665"/>
      <c r="G23" s="1666"/>
      <c r="H23" s="246" t="s">
        <v>195</v>
      </c>
      <c r="I23" s="429">
        <f>'Budget-ADA'!I23</f>
        <v>0</v>
      </c>
      <c r="J23" s="660"/>
      <c r="K23" s="256">
        <f>'Budget-ADA'!K23</f>
        <v>0</v>
      </c>
      <c r="L23" s="660"/>
      <c r="M23" s="252" t="str">
        <f>'Budget-ADA'!M23</f>
        <v xml:space="preserve"> </v>
      </c>
      <c r="N23" s="250"/>
      <c r="O23" s="660"/>
      <c r="P23" s="251" t="str">
        <f t="shared" si="0"/>
        <v xml:space="preserve"> </v>
      </c>
      <c r="Q23" s="250"/>
      <c r="R23" s="660"/>
      <c r="S23" s="251" t="str">
        <f t="shared" si="1"/>
        <v xml:space="preserve"> </v>
      </c>
      <c r="T23" s="250"/>
      <c r="U23" s="660"/>
      <c r="V23" s="436" t="str">
        <f t="shared" si="2"/>
        <v xml:space="preserve"> </v>
      </c>
    </row>
    <row r="24" spans="1:22" ht="15.75">
      <c r="A24" s="68"/>
      <c r="B24" s="568"/>
      <c r="C24" s="437"/>
      <c r="D24" s="437"/>
      <c r="E24" s="437"/>
      <c r="F24" s="437"/>
      <c r="G24" s="437"/>
      <c r="H24" s="564"/>
      <c r="I24" s="565"/>
      <c r="J24" s="565"/>
      <c r="K24" s="565"/>
      <c r="L24" s="565"/>
      <c r="M24" s="569"/>
      <c r="N24" s="107"/>
      <c r="O24" s="565"/>
      <c r="P24" s="569"/>
      <c r="Q24" s="107"/>
      <c r="R24" s="565"/>
      <c r="S24" s="569"/>
      <c r="T24" s="576"/>
      <c r="U24" s="565"/>
      <c r="V24" s="570"/>
    </row>
    <row r="25" spans="1:22" ht="15.75">
      <c r="A25" s="42" t="s">
        <v>180</v>
      </c>
      <c r="B25" s="243"/>
      <c r="C25"/>
      <c r="D25" s="34"/>
      <c r="E25" s="34"/>
      <c r="F25" s="34"/>
      <c r="G25" s="34"/>
      <c r="H25" s="571"/>
      <c r="I25" s="92"/>
      <c r="J25" s="38"/>
      <c r="K25" s="38"/>
      <c r="L25" s="38"/>
      <c r="M25" s="38"/>
      <c r="N25" s="38"/>
      <c r="O25" s="38"/>
      <c r="P25" s="38"/>
      <c r="Q25" s="38"/>
      <c r="R25" s="38"/>
      <c r="S25" s="38"/>
      <c r="T25" s="38"/>
      <c r="U25" s="38"/>
      <c r="V25" s="238"/>
    </row>
    <row r="26" spans="1:22" ht="15.75">
      <c r="A26" s="68"/>
      <c r="B26" s="247"/>
      <c r="C26" s="248" t="s">
        <v>171</v>
      </c>
      <c r="D26" s="245"/>
      <c r="E26" s="245"/>
      <c r="F26" s="245"/>
      <c r="G26" s="245"/>
      <c r="H26" s="246" t="s">
        <v>175</v>
      </c>
      <c r="I26" s="429">
        <f>'Budget-ADA'!I26</f>
        <v>102.13104</v>
      </c>
      <c r="J26" s="787"/>
      <c r="K26" s="256">
        <f>'Budget-ADA'!K26</f>
        <v>122.98427772227772</v>
      </c>
      <c r="L26" s="787"/>
      <c r="M26" s="252">
        <f>'Budget-ADA'!M26</f>
        <v>0.20418119429977141</v>
      </c>
      <c r="N26" s="250"/>
      <c r="O26" s="787"/>
      <c r="P26" s="251" t="str">
        <f t="shared" ref="P26:P36" si="3">IF(K26&lt;1," ",IF(N26&lt;1," ",(N26-K26)/K26))</f>
        <v xml:space="preserve"> </v>
      </c>
      <c r="Q26" s="250"/>
      <c r="R26" s="787"/>
      <c r="S26" s="251" t="str">
        <f t="shared" ref="S26:S36" si="4">IF(N26&lt;1," ",IF(Q26&lt;1," ",(Q26-N26)/N26))</f>
        <v xml:space="preserve"> </v>
      </c>
      <c r="T26" s="250"/>
      <c r="U26" s="787"/>
      <c r="V26" s="253" t="str">
        <f t="shared" ref="V26:V36" si="5">IF(Q26&lt;1," ",IF(T26&lt;1," ",(T26-Q26)/Q26))</f>
        <v xml:space="preserve"> </v>
      </c>
    </row>
    <row r="27" spans="1:22" ht="15.75">
      <c r="A27" s="68"/>
      <c r="B27" s="247"/>
      <c r="C27" s="141" t="s">
        <v>184</v>
      </c>
      <c r="D27" s="245"/>
      <c r="E27" s="245"/>
      <c r="F27" s="245"/>
      <c r="G27" s="245"/>
      <c r="H27" s="246" t="s">
        <v>176</v>
      </c>
      <c r="I27" s="429">
        <f>'Budget-ADA'!I27</f>
        <v>0</v>
      </c>
      <c r="J27" s="660"/>
      <c r="K27" s="256">
        <f>'Budget-ADA'!K27</f>
        <v>0</v>
      </c>
      <c r="L27" s="660"/>
      <c r="M27" s="252" t="str">
        <f>'Budget-ADA'!M27</f>
        <v xml:space="preserve"> </v>
      </c>
      <c r="N27" s="250"/>
      <c r="O27" s="660"/>
      <c r="P27" s="251" t="str">
        <f t="shared" si="3"/>
        <v xml:space="preserve"> </v>
      </c>
      <c r="Q27" s="250"/>
      <c r="R27" s="660"/>
      <c r="S27" s="251" t="str">
        <f t="shared" si="4"/>
        <v xml:space="preserve"> </v>
      </c>
      <c r="T27" s="250"/>
      <c r="U27" s="660"/>
      <c r="V27" s="253" t="str">
        <f t="shared" si="5"/>
        <v xml:space="preserve"> </v>
      </c>
    </row>
    <row r="28" spans="1:22" ht="15.75">
      <c r="A28" s="68"/>
      <c r="B28" s="247"/>
      <c r="C28" s="248" t="s">
        <v>172</v>
      </c>
      <c r="D28" s="245"/>
      <c r="E28" s="245"/>
      <c r="F28" s="245"/>
      <c r="G28" s="245"/>
      <c r="H28" s="246" t="s">
        <v>177</v>
      </c>
      <c r="I28" s="429">
        <f>'Budget-ADA'!I28</f>
        <v>0</v>
      </c>
      <c r="J28" s="660"/>
      <c r="K28" s="256">
        <f>'Budget-ADA'!K28</f>
        <v>0</v>
      </c>
      <c r="L28" s="660"/>
      <c r="M28" s="252" t="str">
        <f>'Budget-ADA'!M28</f>
        <v xml:space="preserve"> </v>
      </c>
      <c r="N28" s="250"/>
      <c r="O28" s="660"/>
      <c r="P28" s="251" t="str">
        <f t="shared" si="3"/>
        <v xml:space="preserve"> </v>
      </c>
      <c r="Q28" s="250"/>
      <c r="R28" s="660"/>
      <c r="S28" s="251" t="str">
        <f t="shared" si="4"/>
        <v xml:space="preserve"> </v>
      </c>
      <c r="T28" s="250"/>
      <c r="U28" s="660"/>
      <c r="V28" s="253" t="str">
        <f t="shared" si="5"/>
        <v xml:space="preserve"> </v>
      </c>
    </row>
    <row r="29" spans="1:22" ht="15.75">
      <c r="A29" s="68"/>
      <c r="B29" s="247"/>
      <c r="C29" s="141" t="s">
        <v>185</v>
      </c>
      <c r="D29" s="245"/>
      <c r="E29" s="245"/>
      <c r="F29" s="245"/>
      <c r="G29" s="245"/>
      <c r="H29" s="246" t="s">
        <v>178</v>
      </c>
      <c r="I29" s="429">
        <f>'Budget-ADA'!I29</f>
        <v>0</v>
      </c>
      <c r="J29" s="660"/>
      <c r="K29" s="256">
        <f>'Budget-ADA'!K29</f>
        <v>0</v>
      </c>
      <c r="L29" s="660"/>
      <c r="M29" s="252" t="str">
        <f>'Budget-ADA'!M29</f>
        <v xml:space="preserve"> </v>
      </c>
      <c r="N29" s="250"/>
      <c r="O29" s="660"/>
      <c r="P29" s="251" t="str">
        <f t="shared" si="3"/>
        <v xml:space="preserve"> </v>
      </c>
      <c r="Q29" s="250"/>
      <c r="R29" s="660"/>
      <c r="S29" s="251" t="str">
        <f t="shared" si="4"/>
        <v xml:space="preserve"> </v>
      </c>
      <c r="T29" s="250"/>
      <c r="U29" s="660"/>
      <c r="V29" s="253" t="str">
        <f t="shared" si="5"/>
        <v xml:space="preserve"> </v>
      </c>
    </row>
    <row r="30" spans="1:22" ht="15.75">
      <c r="A30" s="68"/>
      <c r="B30" s="247"/>
      <c r="C30" s="248" t="s">
        <v>173</v>
      </c>
      <c r="D30" s="245"/>
      <c r="E30" s="245"/>
      <c r="F30" s="245"/>
      <c r="G30" s="245"/>
      <c r="H30" s="246" t="s">
        <v>179</v>
      </c>
      <c r="I30" s="429">
        <f>'Budget-ADA'!I30</f>
        <v>19.308959999999999</v>
      </c>
      <c r="J30" s="660"/>
      <c r="K30" s="256">
        <f>'Budget-ADA'!K30</f>
        <v>23.251486513486512</v>
      </c>
      <c r="L30" s="660"/>
      <c r="M30" s="252">
        <f>'Budget-ADA'!M30</f>
        <v>0.20418119429977136</v>
      </c>
      <c r="N30" s="250"/>
      <c r="O30" s="660"/>
      <c r="P30" s="251" t="str">
        <f t="shared" si="3"/>
        <v xml:space="preserve"> </v>
      </c>
      <c r="Q30" s="250"/>
      <c r="R30" s="660"/>
      <c r="S30" s="251" t="str">
        <f t="shared" si="4"/>
        <v xml:space="preserve"> </v>
      </c>
      <c r="T30" s="250"/>
      <c r="U30" s="660"/>
      <c r="V30" s="253" t="str">
        <f t="shared" si="5"/>
        <v xml:space="preserve"> </v>
      </c>
    </row>
    <row r="31" spans="1:22" ht="15.75">
      <c r="A31" s="68"/>
      <c r="B31" s="247"/>
      <c r="C31" s="141" t="s">
        <v>186</v>
      </c>
      <c r="D31" s="245"/>
      <c r="E31" s="245"/>
      <c r="F31" s="245"/>
      <c r="G31" s="245"/>
      <c r="H31" s="246" t="s">
        <v>190</v>
      </c>
      <c r="I31" s="429">
        <f>'Budget-ADA'!I31</f>
        <v>0</v>
      </c>
      <c r="J31" s="660"/>
      <c r="K31" s="256">
        <f>'Budget-ADA'!K31</f>
        <v>0</v>
      </c>
      <c r="L31" s="660"/>
      <c r="M31" s="252" t="str">
        <f>'Budget-ADA'!M31</f>
        <v xml:space="preserve"> </v>
      </c>
      <c r="N31" s="250"/>
      <c r="O31" s="660"/>
      <c r="P31" s="251" t="str">
        <f t="shared" si="3"/>
        <v xml:space="preserve"> </v>
      </c>
      <c r="Q31" s="250"/>
      <c r="R31" s="660"/>
      <c r="S31" s="251" t="str">
        <f t="shared" si="4"/>
        <v xml:space="preserve"> </v>
      </c>
      <c r="T31" s="250"/>
      <c r="U31" s="660"/>
      <c r="V31" s="253" t="str">
        <f t="shared" si="5"/>
        <v xml:space="preserve"> </v>
      </c>
    </row>
    <row r="32" spans="1:22" ht="15.75">
      <c r="A32" s="68"/>
      <c r="B32" s="247"/>
      <c r="C32" s="248" t="s">
        <v>187</v>
      </c>
      <c r="D32" s="245"/>
      <c r="E32" s="245"/>
      <c r="F32" s="245"/>
      <c r="G32" s="245"/>
      <c r="H32" s="246" t="s">
        <v>191</v>
      </c>
      <c r="I32" s="429">
        <f>'Budget-ADA'!I32</f>
        <v>0</v>
      </c>
      <c r="J32" s="660"/>
      <c r="K32" s="256">
        <f>'Budget-ADA'!K32</f>
        <v>0</v>
      </c>
      <c r="L32" s="660"/>
      <c r="M32" s="252" t="str">
        <f>'Budget-ADA'!M32</f>
        <v xml:space="preserve"> </v>
      </c>
      <c r="N32" s="250"/>
      <c r="O32" s="660"/>
      <c r="P32" s="251" t="str">
        <f t="shared" si="3"/>
        <v xml:space="preserve"> </v>
      </c>
      <c r="Q32" s="250"/>
      <c r="R32" s="660"/>
      <c r="S32" s="251" t="str">
        <f t="shared" si="4"/>
        <v xml:space="preserve"> </v>
      </c>
      <c r="T32" s="250"/>
      <c r="U32" s="660"/>
      <c r="V32" s="253" t="str">
        <f t="shared" si="5"/>
        <v xml:space="preserve"> </v>
      </c>
    </row>
    <row r="33" spans="1:22" ht="15.75" customHeight="1">
      <c r="A33" s="68"/>
      <c r="B33" s="247"/>
      <c r="C33" s="653" t="s">
        <v>188</v>
      </c>
      <c r="D33" s="245"/>
      <c r="E33" s="245"/>
      <c r="F33" s="245"/>
      <c r="G33" s="245"/>
      <c r="H33" s="246" t="s">
        <v>192</v>
      </c>
      <c r="I33" s="429">
        <f>'Budget-ADA'!I33</f>
        <v>0</v>
      </c>
      <c r="J33" s="660"/>
      <c r="K33" s="256">
        <f>'Budget-ADA'!K33</f>
        <v>0</v>
      </c>
      <c r="L33" s="660"/>
      <c r="M33" s="252" t="str">
        <f>'Budget-ADA'!M33</f>
        <v xml:space="preserve"> </v>
      </c>
      <c r="N33" s="250"/>
      <c r="O33" s="660"/>
      <c r="P33" s="251" t="str">
        <f t="shared" si="3"/>
        <v xml:space="preserve"> </v>
      </c>
      <c r="Q33" s="250"/>
      <c r="R33" s="660"/>
      <c r="S33" s="251" t="str">
        <f t="shared" si="4"/>
        <v xml:space="preserve"> </v>
      </c>
      <c r="T33" s="250"/>
      <c r="U33" s="660"/>
      <c r="V33" s="253" t="str">
        <f t="shared" si="5"/>
        <v xml:space="preserve"> </v>
      </c>
    </row>
    <row r="34" spans="1:22" ht="18.75" customHeight="1">
      <c r="A34" s="68"/>
      <c r="B34" s="1671" t="s">
        <v>364</v>
      </c>
      <c r="C34" s="1672"/>
      <c r="D34" s="1672"/>
      <c r="E34" s="1672"/>
      <c r="F34" s="1672"/>
      <c r="G34" s="1673"/>
      <c r="H34" s="246" t="s">
        <v>193</v>
      </c>
      <c r="I34" s="429">
        <f>'Budget-ADA'!I34</f>
        <v>121.44</v>
      </c>
      <c r="J34" s="255">
        <f>IF(('Budget-ADA'!J34="Cell G10 CANNOT be blank"), "Missing Data, BUDGET-ADA Tab, cell G10",'Budget-ADA'!J34)</f>
        <v>0</v>
      </c>
      <c r="K34" s="256">
        <f>'Budget-ADA'!K34</f>
        <v>146.23576423576424</v>
      </c>
      <c r="L34" s="444">
        <f>IF(('Budget-ADA'!L34="Cell G10 CANNOT be blank"), "Missing Data, BUDGET-ADA Tab, cell G10",'Budget-ADA'!L34)</f>
        <v>0</v>
      </c>
      <c r="M34" s="443">
        <f>'Budget-ADA'!M34</f>
        <v>0.20418119429977141</v>
      </c>
      <c r="N34" s="254">
        <f>N26+N28+N30+N32</f>
        <v>0</v>
      </c>
      <c r="O34" s="660"/>
      <c r="P34" s="252" t="str">
        <f t="shared" si="3"/>
        <v xml:space="preserve"> </v>
      </c>
      <c r="Q34" s="254">
        <f>Q26+Q28+Q30+Q32</f>
        <v>0</v>
      </c>
      <c r="R34" s="660"/>
      <c r="S34" s="252" t="str">
        <f t="shared" si="4"/>
        <v xml:space="preserve"> </v>
      </c>
      <c r="T34" s="254">
        <f>T26+T28+T30+T32</f>
        <v>0</v>
      </c>
      <c r="U34" s="660"/>
      <c r="V34" s="436" t="str">
        <f t="shared" si="5"/>
        <v xml:space="preserve"> </v>
      </c>
    </row>
    <row r="35" spans="1:22" ht="15.75">
      <c r="A35" s="68"/>
      <c r="B35" s="1671" t="s">
        <v>365</v>
      </c>
      <c r="C35" s="1672"/>
      <c r="D35" s="1672"/>
      <c r="E35" s="1672"/>
      <c r="F35" s="1672"/>
      <c r="G35" s="1673"/>
      <c r="H35" s="246" t="s">
        <v>194</v>
      </c>
      <c r="I35" s="429">
        <f>'Budget-ADA'!I35</f>
        <v>0</v>
      </c>
      <c r="J35" s="255">
        <f>'Budget-ADA'!J35</f>
        <v>0</v>
      </c>
      <c r="K35" s="256">
        <f>'Budget-ADA'!K35</f>
        <v>0</v>
      </c>
      <c r="L35" s="444">
        <f>'Budget-ADA'!L35</f>
        <v>0</v>
      </c>
      <c r="M35" s="443" t="str">
        <f>'Budget-ADA'!M35</f>
        <v xml:space="preserve"> </v>
      </c>
      <c r="N35" s="254">
        <f>N27+N29+N31+N33</f>
        <v>0</v>
      </c>
      <c r="O35" s="444">
        <f>N35</f>
        <v>0</v>
      </c>
      <c r="P35" s="252" t="str">
        <f t="shared" si="3"/>
        <v xml:space="preserve"> </v>
      </c>
      <c r="Q35" s="254">
        <f>Q27+Q29+Q31+Q33</f>
        <v>0</v>
      </c>
      <c r="R35" s="444">
        <f>Q35</f>
        <v>0</v>
      </c>
      <c r="S35" s="252" t="str">
        <f t="shared" si="4"/>
        <v xml:space="preserve"> </v>
      </c>
      <c r="T35" s="254">
        <f>T27+T29+T31+T33</f>
        <v>0</v>
      </c>
      <c r="U35" s="444">
        <f>T35</f>
        <v>0</v>
      </c>
      <c r="V35" s="436" t="str">
        <f t="shared" si="5"/>
        <v xml:space="preserve"> </v>
      </c>
    </row>
    <row r="36" spans="1:22" ht="47.25" customHeight="1">
      <c r="A36" s="68"/>
      <c r="B36" s="1671" t="s">
        <v>362</v>
      </c>
      <c r="C36" s="1672"/>
      <c r="D36" s="1672"/>
      <c r="E36" s="1672"/>
      <c r="F36" s="1672"/>
      <c r="G36" s="1673"/>
      <c r="H36" s="246" t="s">
        <v>361</v>
      </c>
      <c r="I36" s="429">
        <f>'Budget-ADA'!I36</f>
        <v>121.44</v>
      </c>
      <c r="J36" s="444">
        <f>'Budget-ADA'!J36</f>
        <v>121.44</v>
      </c>
      <c r="K36" s="256">
        <f>'Budget-ADA'!K36</f>
        <v>146.23576423576424</v>
      </c>
      <c r="L36" s="444">
        <f>'Budget-ADA'!L36</f>
        <v>146.23576423576424</v>
      </c>
      <c r="M36" s="252">
        <f>'Budget-ADA'!M36</f>
        <v>0.20418119429977141</v>
      </c>
      <c r="N36" s="254">
        <f>N34-N35</f>
        <v>0</v>
      </c>
      <c r="O36" s="444" t="str">
        <f>IF($G$10="","Cell G10 CANNOT be blank",N36*$G$10)</f>
        <v>Cell G10 CANNOT be blank</v>
      </c>
      <c r="P36" s="252" t="str">
        <f t="shared" si="3"/>
        <v xml:space="preserve"> </v>
      </c>
      <c r="Q36" s="256">
        <f>Q34-Q35</f>
        <v>0</v>
      </c>
      <c r="R36" s="444" t="str">
        <f>IF($G$10="","Cell G10 CANNOT be blank",Q36*$G$10)</f>
        <v>Cell G10 CANNOT be blank</v>
      </c>
      <c r="S36" s="252" t="str">
        <f t="shared" si="4"/>
        <v xml:space="preserve"> </v>
      </c>
      <c r="T36" s="256">
        <f>T34-T35</f>
        <v>0</v>
      </c>
      <c r="U36" s="444" t="str">
        <f>IF($G$10="","Cell G10 CANNOT be blank",T36*$G$10)</f>
        <v>Cell G10 CANNOT be blank</v>
      </c>
      <c r="V36" s="436" t="str">
        <f t="shared" si="5"/>
        <v xml:space="preserve"> </v>
      </c>
    </row>
    <row r="37" spans="1:22" ht="15.75">
      <c r="A37" s="68"/>
      <c r="B37" s="568"/>
      <c r="C37" s="437"/>
      <c r="D37" s="437"/>
      <c r="E37" s="437"/>
      <c r="F37" s="437"/>
      <c r="G37" s="437"/>
      <c r="H37" s="564"/>
      <c r="I37" s="565"/>
      <c r="J37" s="566"/>
      <c r="K37" s="566"/>
      <c r="L37" s="566"/>
      <c r="M37" s="566"/>
      <c r="N37" s="566"/>
      <c r="O37" s="566"/>
      <c r="P37" s="566"/>
      <c r="Q37" s="566"/>
      <c r="R37" s="566"/>
      <c r="S37" s="566"/>
      <c r="T37" s="566"/>
      <c r="U37" s="566"/>
      <c r="V37" s="567"/>
    </row>
    <row r="38" spans="1:22" ht="15.75">
      <c r="A38" s="42" t="s">
        <v>181</v>
      </c>
      <c r="B38" s="438"/>
      <c r="C38" s="152"/>
      <c r="D38" s="244"/>
      <c r="E38" s="244"/>
      <c r="F38" s="244"/>
      <c r="G38" s="244"/>
      <c r="H38" s="563"/>
      <c r="I38" s="440"/>
      <c r="J38" s="243"/>
      <c r="K38" s="440"/>
      <c r="L38" s="243"/>
      <c r="M38" s="572"/>
      <c r="N38" s="440"/>
      <c r="O38" s="243"/>
      <c r="P38" s="243"/>
      <c r="Q38" s="440"/>
      <c r="R38" s="243"/>
      <c r="S38" s="243"/>
      <c r="T38" s="440"/>
      <c r="U38" s="243"/>
      <c r="V38" s="439"/>
    </row>
    <row r="39" spans="1:22" ht="15.75">
      <c r="A39" s="442"/>
      <c r="B39" s="247"/>
      <c r="C39" s="248" t="s">
        <v>171</v>
      </c>
      <c r="D39" s="245"/>
      <c r="E39" s="245"/>
      <c r="F39" s="245"/>
      <c r="G39" s="245"/>
      <c r="H39" s="246" t="s">
        <v>175</v>
      </c>
      <c r="I39" s="429">
        <f>'Budget-ADA'!I39</f>
        <v>74.327579999999998</v>
      </c>
      <c r="J39" s="787"/>
      <c r="K39" s="256">
        <f>'Budget-ADA'!K39</f>
        <v>138.19201098901098</v>
      </c>
      <c r="L39" s="787"/>
      <c r="M39" s="252">
        <f>'Budget-ADA'!M39</f>
        <v>0.85922925230460867</v>
      </c>
      <c r="N39" s="250"/>
      <c r="O39" s="787"/>
      <c r="P39" s="251" t="str">
        <f t="shared" ref="P39:P49" si="6">IF(K39&lt;1," ",IF(N39&lt;1," ",(N39-K39)/K39))</f>
        <v xml:space="preserve"> </v>
      </c>
      <c r="Q39" s="250"/>
      <c r="R39" s="787"/>
      <c r="S39" s="251" t="str">
        <f t="shared" ref="S39:S49" si="7">IF(N39&lt;1," ",IF(Q39&lt;1," ",(Q39-N39)/N39))</f>
        <v xml:space="preserve"> </v>
      </c>
      <c r="T39" s="250"/>
      <c r="U39" s="787"/>
      <c r="V39" s="253" t="str">
        <f t="shared" ref="V39:V49" si="8">IF(Q39&lt;1," ",IF(T39&lt;1," ",(T39-Q39)/Q39))</f>
        <v xml:space="preserve"> </v>
      </c>
    </row>
    <row r="40" spans="1:22" ht="15.75">
      <c r="A40" s="41"/>
      <c r="B40" s="247"/>
      <c r="C40" s="141" t="s">
        <v>184</v>
      </c>
      <c r="D40" s="245"/>
      <c r="E40" s="245"/>
      <c r="F40" s="245"/>
      <c r="G40" s="245"/>
      <c r="H40" s="246" t="s">
        <v>176</v>
      </c>
      <c r="I40" s="429">
        <f>'Budget-ADA'!I40</f>
        <v>0</v>
      </c>
      <c r="J40" s="660"/>
      <c r="K40" s="256">
        <f>'Budget-ADA'!K40</f>
        <v>0</v>
      </c>
      <c r="L40" s="660"/>
      <c r="M40" s="252" t="str">
        <f>'Budget-ADA'!M40</f>
        <v xml:space="preserve"> </v>
      </c>
      <c r="N40" s="250"/>
      <c r="O40" s="660"/>
      <c r="P40" s="251" t="str">
        <f t="shared" si="6"/>
        <v xml:space="preserve"> </v>
      </c>
      <c r="Q40" s="250"/>
      <c r="R40" s="660"/>
      <c r="S40" s="251" t="str">
        <f t="shared" si="7"/>
        <v xml:space="preserve"> </v>
      </c>
      <c r="T40" s="250"/>
      <c r="U40" s="660"/>
      <c r="V40" s="253" t="str">
        <f t="shared" si="8"/>
        <v xml:space="preserve"> </v>
      </c>
    </row>
    <row r="41" spans="1:22" ht="15.75">
      <c r="A41" s="41"/>
      <c r="B41" s="247"/>
      <c r="C41" s="248" t="s">
        <v>172</v>
      </c>
      <c r="D41" s="245"/>
      <c r="E41" s="245"/>
      <c r="F41" s="245"/>
      <c r="G41" s="245"/>
      <c r="H41" s="246" t="s">
        <v>177</v>
      </c>
      <c r="I41" s="429">
        <f>'Budget-ADA'!I41</f>
        <v>0</v>
      </c>
      <c r="J41" s="660"/>
      <c r="K41" s="256">
        <f>'Budget-ADA'!K41</f>
        <v>0</v>
      </c>
      <c r="L41" s="660"/>
      <c r="M41" s="252" t="str">
        <f>'Budget-ADA'!M41</f>
        <v xml:space="preserve"> </v>
      </c>
      <c r="N41" s="250"/>
      <c r="O41" s="660"/>
      <c r="P41" s="251" t="str">
        <f t="shared" si="6"/>
        <v xml:space="preserve"> </v>
      </c>
      <c r="Q41" s="250"/>
      <c r="R41" s="660"/>
      <c r="S41" s="251" t="str">
        <f t="shared" si="7"/>
        <v xml:space="preserve"> </v>
      </c>
      <c r="T41" s="250"/>
      <c r="U41" s="660"/>
      <c r="V41" s="253" t="str">
        <f t="shared" si="8"/>
        <v xml:space="preserve"> </v>
      </c>
    </row>
    <row r="42" spans="1:22" ht="15.75">
      <c r="A42" s="41"/>
      <c r="B42" s="247"/>
      <c r="C42" s="141" t="s">
        <v>185</v>
      </c>
      <c r="D42" s="245"/>
      <c r="E42" s="245"/>
      <c r="F42" s="245"/>
      <c r="G42" s="245"/>
      <c r="H42" s="246" t="s">
        <v>178</v>
      </c>
      <c r="I42" s="429">
        <f>'Budget-ADA'!I42</f>
        <v>0</v>
      </c>
      <c r="J42" s="660"/>
      <c r="K42" s="256">
        <f>'Budget-ADA'!K42</f>
        <v>0</v>
      </c>
      <c r="L42" s="660"/>
      <c r="M42" s="252" t="str">
        <f>'Budget-ADA'!M42</f>
        <v xml:space="preserve"> </v>
      </c>
      <c r="N42" s="250"/>
      <c r="O42" s="660"/>
      <c r="P42" s="251" t="str">
        <f t="shared" si="6"/>
        <v xml:space="preserve"> </v>
      </c>
      <c r="Q42" s="250"/>
      <c r="R42" s="660"/>
      <c r="S42" s="251" t="str">
        <f t="shared" si="7"/>
        <v xml:space="preserve"> </v>
      </c>
      <c r="T42" s="250"/>
      <c r="U42" s="660"/>
      <c r="V42" s="253" t="str">
        <f t="shared" si="8"/>
        <v xml:space="preserve"> </v>
      </c>
    </row>
    <row r="43" spans="1:22" ht="15.75">
      <c r="A43" s="41"/>
      <c r="B43" s="247"/>
      <c r="C43" s="248" t="s">
        <v>173</v>
      </c>
      <c r="D43" s="245"/>
      <c r="E43" s="245"/>
      <c r="F43" s="245"/>
      <c r="G43" s="245"/>
      <c r="H43" s="246" t="s">
        <v>179</v>
      </c>
      <c r="I43" s="429">
        <f>'Budget-ADA'!I43</f>
        <v>14.052419999999998</v>
      </c>
      <c r="J43" s="660"/>
      <c r="K43" s="256">
        <f>'Budget-ADA'!K43</f>
        <v>26.126670329670333</v>
      </c>
      <c r="L43" s="660"/>
      <c r="M43" s="252">
        <f>'Budget-ADA'!M43</f>
        <v>0.85922925230460923</v>
      </c>
      <c r="N43" s="250"/>
      <c r="O43" s="660"/>
      <c r="P43" s="251" t="str">
        <f t="shared" si="6"/>
        <v xml:space="preserve"> </v>
      </c>
      <c r="Q43" s="250"/>
      <c r="R43" s="660"/>
      <c r="S43" s="251" t="str">
        <f t="shared" si="7"/>
        <v xml:space="preserve"> </v>
      </c>
      <c r="T43" s="250"/>
      <c r="U43" s="660"/>
      <c r="V43" s="253" t="str">
        <f t="shared" si="8"/>
        <v xml:space="preserve"> </v>
      </c>
    </row>
    <row r="44" spans="1:22" ht="15.75">
      <c r="A44" s="41"/>
      <c r="B44" s="247"/>
      <c r="C44" s="141" t="s">
        <v>186</v>
      </c>
      <c r="D44" s="245"/>
      <c r="E44" s="245"/>
      <c r="F44" s="245"/>
      <c r="G44" s="245"/>
      <c r="H44" s="246" t="s">
        <v>190</v>
      </c>
      <c r="I44" s="429">
        <f>'Budget-ADA'!I44</f>
        <v>0</v>
      </c>
      <c r="J44" s="660"/>
      <c r="K44" s="256">
        <f>'Budget-ADA'!K44</f>
        <v>0</v>
      </c>
      <c r="L44" s="660"/>
      <c r="M44" s="252" t="str">
        <f>'Budget-ADA'!M44</f>
        <v xml:space="preserve"> </v>
      </c>
      <c r="N44" s="250"/>
      <c r="O44" s="660"/>
      <c r="P44" s="251" t="str">
        <f t="shared" si="6"/>
        <v xml:space="preserve"> </v>
      </c>
      <c r="Q44" s="250"/>
      <c r="R44" s="660"/>
      <c r="S44" s="251" t="str">
        <f t="shared" si="7"/>
        <v xml:space="preserve"> </v>
      </c>
      <c r="T44" s="250"/>
      <c r="U44" s="660"/>
      <c r="V44" s="253" t="str">
        <f t="shared" si="8"/>
        <v xml:space="preserve"> </v>
      </c>
    </row>
    <row r="45" spans="1:22" ht="15.75">
      <c r="A45" s="41"/>
      <c r="B45" s="247"/>
      <c r="C45" s="248" t="s">
        <v>187</v>
      </c>
      <c r="D45" s="245"/>
      <c r="E45" s="245"/>
      <c r="F45" s="245"/>
      <c r="G45" s="245"/>
      <c r="H45" s="246" t="s">
        <v>191</v>
      </c>
      <c r="I45" s="429">
        <f>'Budget-ADA'!I45</f>
        <v>0</v>
      </c>
      <c r="J45" s="660"/>
      <c r="K45" s="256">
        <f>'Budget-ADA'!K45</f>
        <v>0</v>
      </c>
      <c r="L45" s="660"/>
      <c r="M45" s="252" t="str">
        <f>'Budget-ADA'!M45</f>
        <v xml:space="preserve"> </v>
      </c>
      <c r="N45" s="250"/>
      <c r="O45" s="660"/>
      <c r="P45" s="251" t="str">
        <f t="shared" si="6"/>
        <v xml:space="preserve"> </v>
      </c>
      <c r="Q45" s="250"/>
      <c r="R45" s="660"/>
      <c r="S45" s="251" t="str">
        <f t="shared" si="7"/>
        <v xml:space="preserve"> </v>
      </c>
      <c r="T45" s="250"/>
      <c r="U45" s="660"/>
      <c r="V45" s="253" t="str">
        <f t="shared" si="8"/>
        <v xml:space="preserve"> </v>
      </c>
    </row>
    <row r="46" spans="1:22" ht="15.75">
      <c r="A46" s="41"/>
      <c r="B46" s="247"/>
      <c r="C46" s="141" t="s">
        <v>188</v>
      </c>
      <c r="D46" s="245"/>
      <c r="E46" s="245"/>
      <c r="F46" s="245"/>
      <c r="G46" s="245"/>
      <c r="H46" s="246" t="s">
        <v>192</v>
      </c>
      <c r="I46" s="429">
        <f>'Budget-ADA'!I46</f>
        <v>0</v>
      </c>
      <c r="J46" s="660"/>
      <c r="K46" s="256">
        <f>'Budget-ADA'!K46</f>
        <v>0</v>
      </c>
      <c r="L46" s="660"/>
      <c r="M46" s="252" t="str">
        <f>'Budget-ADA'!M46</f>
        <v xml:space="preserve"> </v>
      </c>
      <c r="N46" s="250"/>
      <c r="O46" s="660"/>
      <c r="P46" s="251" t="str">
        <f t="shared" si="6"/>
        <v xml:space="preserve"> </v>
      </c>
      <c r="Q46" s="250"/>
      <c r="R46" s="660"/>
      <c r="S46" s="251" t="str">
        <f t="shared" si="7"/>
        <v xml:space="preserve"> </v>
      </c>
      <c r="T46" s="250"/>
      <c r="U46" s="660"/>
      <c r="V46" s="253" t="str">
        <f t="shared" si="8"/>
        <v xml:space="preserve"> </v>
      </c>
    </row>
    <row r="47" spans="1:22" ht="18.75" customHeight="1">
      <c r="A47" s="68"/>
      <c r="B47" s="1671" t="s">
        <v>364</v>
      </c>
      <c r="C47" s="1672"/>
      <c r="D47" s="1672"/>
      <c r="E47" s="1672"/>
      <c r="F47" s="1672"/>
      <c r="G47" s="1673"/>
      <c r="H47" s="246" t="s">
        <v>193</v>
      </c>
      <c r="I47" s="429">
        <f>'Budget-ADA'!I47</f>
        <v>88.38</v>
      </c>
      <c r="J47" s="255">
        <f>IF(('Budget-ADA'!J47="Cell G10 CANNOT be blank"), "Missing Data, BUDGET-ADA Tab, cell G10",'Budget-ADA'!J47)</f>
        <v>0</v>
      </c>
      <c r="K47" s="256">
        <f>'Budget-ADA'!K47</f>
        <v>164.31868131868131</v>
      </c>
      <c r="L47" s="444">
        <f>IF(('Budget-ADA'!L47="Cell G10 CANNOT be blank"), "Missing Data, BUDGET-ADA Tab, cell G10",'Budget-ADA'!L47)</f>
        <v>0</v>
      </c>
      <c r="M47" s="443">
        <f>'Budget-ADA'!M47</f>
        <v>0.85922925230460878</v>
      </c>
      <c r="N47" s="254">
        <f>N39+N41+N43+N45</f>
        <v>0</v>
      </c>
      <c r="O47" s="660"/>
      <c r="P47" s="252" t="str">
        <f t="shared" si="6"/>
        <v xml:space="preserve"> </v>
      </c>
      <c r="Q47" s="254">
        <f>Q39+Q41+Q43+Q45</f>
        <v>0</v>
      </c>
      <c r="R47" s="660"/>
      <c r="S47" s="252" t="str">
        <f t="shared" si="7"/>
        <v xml:space="preserve"> </v>
      </c>
      <c r="T47" s="254">
        <f>T39+T41+T43+T45</f>
        <v>0</v>
      </c>
      <c r="U47" s="660"/>
      <c r="V47" s="436" t="str">
        <f t="shared" si="8"/>
        <v xml:space="preserve"> </v>
      </c>
    </row>
    <row r="48" spans="1:22" ht="15.75">
      <c r="A48" s="68"/>
      <c r="B48" s="1671" t="s">
        <v>365</v>
      </c>
      <c r="C48" s="1672"/>
      <c r="D48" s="1672"/>
      <c r="E48" s="1672"/>
      <c r="F48" s="1672"/>
      <c r="G48" s="1673"/>
      <c r="H48" s="246" t="s">
        <v>194</v>
      </c>
      <c r="I48" s="429">
        <f>'Budget-ADA'!I48</f>
        <v>0</v>
      </c>
      <c r="J48" s="255">
        <f>'Budget-ADA'!J48</f>
        <v>0</v>
      </c>
      <c r="K48" s="256">
        <f>'Budget-ADA'!K48</f>
        <v>0</v>
      </c>
      <c r="L48" s="444">
        <f>'Budget-ADA'!L48</f>
        <v>0</v>
      </c>
      <c r="M48" s="443" t="str">
        <f>'Budget-ADA'!M48</f>
        <v xml:space="preserve"> </v>
      </c>
      <c r="N48" s="254">
        <f>N40+N42+N44+N46</f>
        <v>0</v>
      </c>
      <c r="O48" s="444">
        <f>N48</f>
        <v>0</v>
      </c>
      <c r="P48" s="252" t="str">
        <f t="shared" si="6"/>
        <v xml:space="preserve"> </v>
      </c>
      <c r="Q48" s="254">
        <f>Q40+Q42+Q44+Q46</f>
        <v>0</v>
      </c>
      <c r="R48" s="444">
        <f>Q48</f>
        <v>0</v>
      </c>
      <c r="S48" s="252" t="str">
        <f t="shared" si="7"/>
        <v xml:space="preserve"> </v>
      </c>
      <c r="T48" s="254">
        <f>T40+T42+T44+T46</f>
        <v>0</v>
      </c>
      <c r="U48" s="444">
        <f>T48</f>
        <v>0</v>
      </c>
      <c r="V48" s="436" t="str">
        <f t="shared" si="8"/>
        <v xml:space="preserve"> </v>
      </c>
    </row>
    <row r="49" spans="1:22" ht="47.25" customHeight="1">
      <c r="A49" s="68"/>
      <c r="B49" s="1671" t="s">
        <v>362</v>
      </c>
      <c r="C49" s="1672"/>
      <c r="D49" s="1672"/>
      <c r="E49" s="1672"/>
      <c r="F49" s="1672"/>
      <c r="G49" s="1673"/>
      <c r="H49" s="246" t="s">
        <v>361</v>
      </c>
      <c r="I49" s="429">
        <f>'Budget-ADA'!I49</f>
        <v>88.38</v>
      </c>
      <c r="J49" s="444">
        <f>'Budget-ADA'!J49</f>
        <v>88.38</v>
      </c>
      <c r="K49" s="256">
        <f>'Budget-ADA'!K49</f>
        <v>164.31868131868131</v>
      </c>
      <c r="L49" s="444">
        <f>'Budget-ADA'!L49</f>
        <v>164.31868131868131</v>
      </c>
      <c r="M49" s="252">
        <f>'Budget-ADA'!M49</f>
        <v>0.85922925230460878</v>
      </c>
      <c r="N49" s="254">
        <f>N47-N48</f>
        <v>0</v>
      </c>
      <c r="O49" s="444" t="str">
        <f>IF($G$10="","Cell G10 CANNOT be blank",N49*$G$10)</f>
        <v>Cell G10 CANNOT be blank</v>
      </c>
      <c r="P49" s="252" t="str">
        <f t="shared" si="6"/>
        <v xml:space="preserve"> </v>
      </c>
      <c r="Q49" s="256">
        <f>Q47-Q48</f>
        <v>0</v>
      </c>
      <c r="R49" s="444" t="str">
        <f>IF($G$10="","Cell G10 CANNOT be blank",Q49*$G$10)</f>
        <v>Cell G10 CANNOT be blank</v>
      </c>
      <c r="S49" s="252" t="str">
        <f t="shared" si="7"/>
        <v xml:space="preserve"> </v>
      </c>
      <c r="T49" s="256">
        <f>T47-T48</f>
        <v>0</v>
      </c>
      <c r="U49" s="444" t="str">
        <f>IF($G$10="","Cell G10 CANNOT be blank",T49*$G$10)</f>
        <v>Cell G10 CANNOT be blank</v>
      </c>
      <c r="V49" s="436" t="str">
        <f t="shared" si="8"/>
        <v xml:space="preserve"> </v>
      </c>
    </row>
    <row r="50" spans="1:22" ht="15.75">
      <c r="A50" s="41"/>
      <c r="B50" s="437"/>
      <c r="C50" s="437"/>
      <c r="D50" s="437"/>
      <c r="E50" s="437"/>
      <c r="F50" s="437"/>
      <c r="G50" s="437"/>
      <c r="H50" s="564"/>
      <c r="I50" s="92"/>
      <c r="J50" s="38"/>
      <c r="K50" s="38"/>
      <c r="L50" s="38"/>
      <c r="M50" s="38"/>
      <c r="N50" s="38"/>
      <c r="O50" s="38"/>
      <c r="P50" s="38"/>
      <c r="Q50" s="38"/>
      <c r="R50" s="38"/>
      <c r="S50" s="38"/>
      <c r="T50" s="38"/>
      <c r="U50" s="38"/>
      <c r="V50" s="238"/>
    </row>
    <row r="51" spans="1:22" ht="15.75">
      <c r="A51" s="42" t="s">
        <v>182</v>
      </c>
      <c r="B51" s="438"/>
      <c r="C51" s="152"/>
      <c r="D51" s="244"/>
      <c r="E51" s="244"/>
      <c r="F51" s="244"/>
      <c r="G51" s="244"/>
      <c r="H51" s="563"/>
      <c r="I51" s="440"/>
      <c r="J51" s="243"/>
      <c r="K51" s="440"/>
      <c r="L51" s="243"/>
      <c r="M51" s="572"/>
      <c r="N51" s="440"/>
      <c r="O51" s="243"/>
      <c r="P51" s="243"/>
      <c r="Q51" s="440"/>
      <c r="R51" s="243"/>
      <c r="S51" s="243"/>
      <c r="T51" s="440"/>
      <c r="U51" s="243"/>
      <c r="V51" s="439"/>
    </row>
    <row r="52" spans="1:22" ht="15.75">
      <c r="A52" s="442"/>
      <c r="B52" s="247"/>
      <c r="C52" s="248" t="s">
        <v>171</v>
      </c>
      <c r="D52" s="245"/>
      <c r="E52" s="245"/>
      <c r="F52" s="245"/>
      <c r="G52" s="245"/>
      <c r="H52" s="246" t="s">
        <v>175</v>
      </c>
      <c r="I52" s="429">
        <f>'Budget-ADA'!I52</f>
        <v>40.258669999999995</v>
      </c>
      <c r="J52" s="787"/>
      <c r="K52" s="256">
        <f>'Budget-ADA'!K52</f>
        <v>121.00066033966033</v>
      </c>
      <c r="L52" s="787"/>
      <c r="M52" s="252">
        <f>'Budget-ADA'!M52</f>
        <v>2.0055801729083536</v>
      </c>
      <c r="N52" s="250"/>
      <c r="O52" s="787"/>
      <c r="P52" s="251" t="str">
        <f t="shared" ref="P52:P62" si="9">IF(K52&lt;1," ",IF(N52&lt;1," ",(N52-K52)/K52))</f>
        <v xml:space="preserve"> </v>
      </c>
      <c r="Q52" s="250"/>
      <c r="R52" s="787"/>
      <c r="S52" s="251" t="str">
        <f t="shared" ref="S52:S62" si="10">IF(N52&lt;1," ",IF(Q52&lt;1," ",(Q52-N52)/N52))</f>
        <v xml:space="preserve"> </v>
      </c>
      <c r="T52" s="250"/>
      <c r="U52" s="787"/>
      <c r="V52" s="253" t="str">
        <f t="shared" ref="V52:V62" si="11">IF(Q52&lt;1," ",IF(T52&lt;1," ",(T52-Q52)/Q52))</f>
        <v xml:space="preserve"> </v>
      </c>
    </row>
    <row r="53" spans="1:22" ht="15.75">
      <c r="A53" s="41"/>
      <c r="B53" s="247"/>
      <c r="C53" s="141" t="s">
        <v>184</v>
      </c>
      <c r="D53" s="245"/>
      <c r="E53" s="245"/>
      <c r="F53" s="245"/>
      <c r="G53" s="245"/>
      <c r="H53" s="246" t="s">
        <v>176</v>
      </c>
      <c r="I53" s="429">
        <f>'Budget-ADA'!I53</f>
        <v>0</v>
      </c>
      <c r="J53" s="660"/>
      <c r="K53" s="256">
        <f>'Budget-ADA'!K53</f>
        <v>0</v>
      </c>
      <c r="L53" s="660"/>
      <c r="M53" s="252" t="str">
        <f>'Budget-ADA'!M53</f>
        <v xml:space="preserve"> </v>
      </c>
      <c r="N53" s="250"/>
      <c r="O53" s="660"/>
      <c r="P53" s="251" t="str">
        <f t="shared" si="9"/>
        <v xml:space="preserve"> </v>
      </c>
      <c r="Q53" s="250"/>
      <c r="R53" s="660"/>
      <c r="S53" s="251" t="str">
        <f t="shared" si="10"/>
        <v xml:space="preserve"> </v>
      </c>
      <c r="T53" s="250"/>
      <c r="U53" s="660"/>
      <c r="V53" s="253" t="str">
        <f t="shared" si="11"/>
        <v xml:space="preserve"> </v>
      </c>
    </row>
    <row r="54" spans="1:22" ht="15.75">
      <c r="A54" s="41"/>
      <c r="B54" s="247"/>
      <c r="C54" s="248" t="s">
        <v>172</v>
      </c>
      <c r="D54" s="245"/>
      <c r="E54" s="245"/>
      <c r="F54" s="245"/>
      <c r="G54" s="245"/>
      <c r="H54" s="246" t="s">
        <v>177</v>
      </c>
      <c r="I54" s="429">
        <f>'Budget-ADA'!I54</f>
        <v>0</v>
      </c>
      <c r="J54" s="660"/>
      <c r="K54" s="256">
        <f>'Budget-ADA'!K54</f>
        <v>0</v>
      </c>
      <c r="L54" s="660"/>
      <c r="M54" s="252" t="str">
        <f>'Budget-ADA'!M54</f>
        <v xml:space="preserve"> </v>
      </c>
      <c r="N54" s="250"/>
      <c r="O54" s="660"/>
      <c r="P54" s="251" t="str">
        <f t="shared" si="9"/>
        <v xml:space="preserve"> </v>
      </c>
      <c r="Q54" s="250"/>
      <c r="R54" s="660"/>
      <c r="S54" s="251" t="str">
        <f t="shared" si="10"/>
        <v xml:space="preserve"> </v>
      </c>
      <c r="T54" s="250"/>
      <c r="U54" s="660"/>
      <c r="V54" s="253" t="str">
        <f t="shared" si="11"/>
        <v xml:space="preserve"> </v>
      </c>
    </row>
    <row r="55" spans="1:22" ht="15.75">
      <c r="A55" s="41"/>
      <c r="B55" s="247"/>
      <c r="C55" s="141" t="s">
        <v>185</v>
      </c>
      <c r="D55" s="245"/>
      <c r="E55" s="245"/>
      <c r="F55" s="245"/>
      <c r="G55" s="245"/>
      <c r="H55" s="246" t="s">
        <v>178</v>
      </c>
      <c r="I55" s="429">
        <f>'Budget-ADA'!I55</f>
        <v>0</v>
      </c>
      <c r="J55" s="660"/>
      <c r="K55" s="256">
        <f>'Budget-ADA'!K55</f>
        <v>0</v>
      </c>
      <c r="L55" s="660"/>
      <c r="M55" s="252" t="str">
        <f>'Budget-ADA'!M55</f>
        <v xml:space="preserve"> </v>
      </c>
      <c r="N55" s="250"/>
      <c r="O55" s="660"/>
      <c r="P55" s="251" t="str">
        <f t="shared" si="9"/>
        <v xml:space="preserve"> </v>
      </c>
      <c r="Q55" s="250"/>
      <c r="R55" s="660"/>
      <c r="S55" s="251" t="str">
        <f t="shared" si="10"/>
        <v xml:space="preserve"> </v>
      </c>
      <c r="T55" s="250"/>
      <c r="U55" s="660"/>
      <c r="V55" s="253" t="str">
        <f t="shared" si="11"/>
        <v xml:space="preserve"> </v>
      </c>
    </row>
    <row r="56" spans="1:22" ht="15.75">
      <c r="A56" s="41"/>
      <c r="B56" s="247"/>
      <c r="C56" s="248" t="s">
        <v>173</v>
      </c>
      <c r="D56" s="245"/>
      <c r="E56" s="245"/>
      <c r="F56" s="245"/>
      <c r="G56" s="245"/>
      <c r="H56" s="246" t="s">
        <v>179</v>
      </c>
      <c r="I56" s="429">
        <f>'Budget-ADA'!I56</f>
        <v>7.6113300000000024</v>
      </c>
      <c r="J56" s="660"/>
      <c r="K56" s="256">
        <f>'Budget-ADA'!K56</f>
        <v>22.876462537462544</v>
      </c>
      <c r="L56" s="660"/>
      <c r="M56" s="252">
        <f>'Budget-ADA'!M56</f>
        <v>2.0055801729083531</v>
      </c>
      <c r="N56" s="250"/>
      <c r="O56" s="660"/>
      <c r="P56" s="251" t="str">
        <f t="shared" si="9"/>
        <v xml:space="preserve"> </v>
      </c>
      <c r="Q56" s="250"/>
      <c r="R56" s="660"/>
      <c r="S56" s="251" t="str">
        <f t="shared" si="10"/>
        <v xml:space="preserve"> </v>
      </c>
      <c r="T56" s="250"/>
      <c r="U56" s="660"/>
      <c r="V56" s="253" t="str">
        <f t="shared" si="11"/>
        <v xml:space="preserve"> </v>
      </c>
    </row>
    <row r="57" spans="1:22" ht="15.75">
      <c r="A57" s="41"/>
      <c r="B57" s="247"/>
      <c r="C57" s="141" t="s">
        <v>186</v>
      </c>
      <c r="D57" s="245"/>
      <c r="E57" s="245"/>
      <c r="F57" s="245"/>
      <c r="G57" s="245"/>
      <c r="H57" s="246" t="s">
        <v>190</v>
      </c>
      <c r="I57" s="429">
        <f>'Budget-ADA'!I57</f>
        <v>0</v>
      </c>
      <c r="J57" s="660"/>
      <c r="K57" s="256">
        <f>'Budget-ADA'!K57</f>
        <v>0</v>
      </c>
      <c r="L57" s="660"/>
      <c r="M57" s="252" t="str">
        <f>'Budget-ADA'!M57</f>
        <v xml:space="preserve"> </v>
      </c>
      <c r="N57" s="250"/>
      <c r="O57" s="660"/>
      <c r="P57" s="251" t="str">
        <f t="shared" si="9"/>
        <v xml:space="preserve"> </v>
      </c>
      <c r="Q57" s="250"/>
      <c r="R57" s="660"/>
      <c r="S57" s="251" t="str">
        <f t="shared" si="10"/>
        <v xml:space="preserve"> </v>
      </c>
      <c r="T57" s="250"/>
      <c r="U57" s="660"/>
      <c r="V57" s="253" t="str">
        <f t="shared" si="11"/>
        <v xml:space="preserve"> </v>
      </c>
    </row>
    <row r="58" spans="1:22" ht="15.75">
      <c r="A58" s="41"/>
      <c r="B58" s="247"/>
      <c r="C58" s="248" t="s">
        <v>187</v>
      </c>
      <c r="D58" s="245"/>
      <c r="E58" s="245"/>
      <c r="F58" s="245"/>
      <c r="G58" s="245"/>
      <c r="H58" s="246" t="s">
        <v>191</v>
      </c>
      <c r="I58" s="429">
        <f>'Budget-ADA'!I58</f>
        <v>0</v>
      </c>
      <c r="J58" s="660"/>
      <c r="K58" s="256">
        <f>'Budget-ADA'!K58</f>
        <v>0</v>
      </c>
      <c r="L58" s="660"/>
      <c r="M58" s="252" t="str">
        <f>'Budget-ADA'!M58</f>
        <v xml:space="preserve"> </v>
      </c>
      <c r="N58" s="250"/>
      <c r="O58" s="660"/>
      <c r="P58" s="251" t="str">
        <f t="shared" si="9"/>
        <v xml:space="preserve"> </v>
      </c>
      <c r="Q58" s="250"/>
      <c r="R58" s="660"/>
      <c r="S58" s="251" t="str">
        <f t="shared" si="10"/>
        <v xml:space="preserve"> </v>
      </c>
      <c r="T58" s="250"/>
      <c r="U58" s="660"/>
      <c r="V58" s="253" t="str">
        <f t="shared" si="11"/>
        <v xml:space="preserve"> </v>
      </c>
    </row>
    <row r="59" spans="1:22" ht="15.75">
      <c r="A59" s="41"/>
      <c r="B59" s="247"/>
      <c r="C59" s="141" t="s">
        <v>188</v>
      </c>
      <c r="D59" s="245"/>
      <c r="E59" s="245"/>
      <c r="F59" s="245"/>
      <c r="G59" s="245"/>
      <c r="H59" s="246" t="s">
        <v>192</v>
      </c>
      <c r="I59" s="429">
        <f>'Budget-ADA'!I59</f>
        <v>0</v>
      </c>
      <c r="J59" s="660"/>
      <c r="K59" s="256">
        <f>'Budget-ADA'!K59</f>
        <v>0</v>
      </c>
      <c r="L59" s="660"/>
      <c r="M59" s="252" t="str">
        <f>'Budget-ADA'!M59</f>
        <v xml:space="preserve"> </v>
      </c>
      <c r="N59" s="250"/>
      <c r="O59" s="660"/>
      <c r="P59" s="251" t="str">
        <f t="shared" si="9"/>
        <v xml:space="preserve"> </v>
      </c>
      <c r="Q59" s="250"/>
      <c r="R59" s="660"/>
      <c r="S59" s="251" t="str">
        <f t="shared" si="10"/>
        <v xml:space="preserve"> </v>
      </c>
      <c r="T59" s="250"/>
      <c r="U59" s="660"/>
      <c r="V59" s="253" t="str">
        <f t="shared" si="11"/>
        <v xml:space="preserve"> </v>
      </c>
    </row>
    <row r="60" spans="1:22" ht="18.75" customHeight="1">
      <c r="A60" s="68"/>
      <c r="B60" s="1671" t="s">
        <v>364</v>
      </c>
      <c r="C60" s="1672"/>
      <c r="D60" s="1672"/>
      <c r="E60" s="1672"/>
      <c r="F60" s="1672"/>
      <c r="G60" s="1673"/>
      <c r="H60" s="246" t="s">
        <v>193</v>
      </c>
      <c r="I60" s="429">
        <f>'Budget-ADA'!I60</f>
        <v>47.87</v>
      </c>
      <c r="J60" s="255">
        <f>IF(('Budget-ADA'!J60="Cell G10 CANNOT be blank"), "Missing Data, BUDGET-ADA Tab, cell G10",'Budget-ADA'!J60)</f>
        <v>0</v>
      </c>
      <c r="K60" s="256">
        <f>'Budget-ADA'!K60</f>
        <v>143.87712287712287</v>
      </c>
      <c r="L60" s="444">
        <f>IF(('Budget-ADA'!L60="Cell G10 CANNOT be blank"), "Missing Data, BUDGET-ADA Tab, cell G10",'Budget-ADA'!L60)</f>
        <v>0</v>
      </c>
      <c r="M60" s="443">
        <f>'Budget-ADA'!M60</f>
        <v>2.0055801729083531</v>
      </c>
      <c r="N60" s="254">
        <f>N52+N54+N56+N58</f>
        <v>0</v>
      </c>
      <c r="O60" s="660"/>
      <c r="P60" s="252" t="str">
        <f t="shared" si="9"/>
        <v xml:space="preserve"> </v>
      </c>
      <c r="Q60" s="254">
        <f>Q52+Q54+Q56+Q58</f>
        <v>0</v>
      </c>
      <c r="R60" s="660"/>
      <c r="S60" s="252" t="str">
        <f t="shared" si="10"/>
        <v xml:space="preserve"> </v>
      </c>
      <c r="T60" s="254">
        <f>T52+T54+T56+T58</f>
        <v>0</v>
      </c>
      <c r="U60" s="660"/>
      <c r="V60" s="436" t="str">
        <f t="shared" si="11"/>
        <v xml:space="preserve"> </v>
      </c>
    </row>
    <row r="61" spans="1:22" ht="15.75">
      <c r="A61" s="68"/>
      <c r="B61" s="1671" t="s">
        <v>365</v>
      </c>
      <c r="C61" s="1672"/>
      <c r="D61" s="1672"/>
      <c r="E61" s="1672"/>
      <c r="F61" s="1672"/>
      <c r="G61" s="1673"/>
      <c r="H61" s="246" t="s">
        <v>194</v>
      </c>
      <c r="I61" s="429">
        <f>'Budget-ADA'!I61</f>
        <v>0</v>
      </c>
      <c r="J61" s="255">
        <f>'Budget-ADA'!J61</f>
        <v>0</v>
      </c>
      <c r="K61" s="256">
        <f>'Budget-ADA'!K61</f>
        <v>0</v>
      </c>
      <c r="L61" s="444">
        <f>'Budget-ADA'!L61</f>
        <v>0</v>
      </c>
      <c r="M61" s="443" t="str">
        <f>'Budget-ADA'!M61</f>
        <v xml:space="preserve"> </v>
      </c>
      <c r="N61" s="254">
        <f>N53+N55+N57+N59</f>
        <v>0</v>
      </c>
      <c r="O61" s="444">
        <f>N61</f>
        <v>0</v>
      </c>
      <c r="P61" s="252" t="str">
        <f t="shared" si="9"/>
        <v xml:space="preserve"> </v>
      </c>
      <c r="Q61" s="254">
        <f>Q53+Q55+Q57+Q59</f>
        <v>0</v>
      </c>
      <c r="R61" s="444">
        <f>Q61</f>
        <v>0</v>
      </c>
      <c r="S61" s="252" t="str">
        <f t="shared" si="10"/>
        <v xml:space="preserve"> </v>
      </c>
      <c r="T61" s="254">
        <f>T53+T55+T57+T59</f>
        <v>0</v>
      </c>
      <c r="U61" s="444">
        <f>T61</f>
        <v>0</v>
      </c>
      <c r="V61" s="436" t="str">
        <f t="shared" si="11"/>
        <v xml:space="preserve"> </v>
      </c>
    </row>
    <row r="62" spans="1:22" ht="47.25" customHeight="1">
      <c r="A62" s="68"/>
      <c r="B62" s="1671" t="s">
        <v>362</v>
      </c>
      <c r="C62" s="1672"/>
      <c r="D62" s="1672"/>
      <c r="E62" s="1672"/>
      <c r="F62" s="1672"/>
      <c r="G62" s="1673"/>
      <c r="H62" s="246" t="s">
        <v>361</v>
      </c>
      <c r="I62" s="429">
        <f>'Budget-ADA'!I62</f>
        <v>47.87</v>
      </c>
      <c r="J62" s="444">
        <f>'Budget-ADA'!J62</f>
        <v>47.87</v>
      </c>
      <c r="K62" s="256">
        <f>'Budget-ADA'!K62</f>
        <v>143.87712287712287</v>
      </c>
      <c r="L62" s="444">
        <f>'Budget-ADA'!L62</f>
        <v>143.87712287712287</v>
      </c>
      <c r="M62" s="252">
        <f>'Budget-ADA'!M62</f>
        <v>2.0055801729083531</v>
      </c>
      <c r="N62" s="254">
        <f>N60-N61</f>
        <v>0</v>
      </c>
      <c r="O62" s="444" t="str">
        <f>IF($G$10="","Cell G10 CANNOT be blank",N62*$G$10)</f>
        <v>Cell G10 CANNOT be blank</v>
      </c>
      <c r="P62" s="252" t="str">
        <f t="shared" si="9"/>
        <v xml:space="preserve"> </v>
      </c>
      <c r="Q62" s="256">
        <f>Q60-Q61</f>
        <v>0</v>
      </c>
      <c r="R62" s="444" t="str">
        <f>IF($G$10="","Cell G10 CANNOT be blank",Q62*$G$10)</f>
        <v>Cell G10 CANNOT be blank</v>
      </c>
      <c r="S62" s="252" t="str">
        <f t="shared" si="10"/>
        <v xml:space="preserve"> </v>
      </c>
      <c r="T62" s="256">
        <f>T60-T61</f>
        <v>0</v>
      </c>
      <c r="U62" s="444" t="str">
        <f>IF($G$10="","Cell G10 CANNOT be blank",T62*$G$10)</f>
        <v>Cell G10 CANNOT be blank</v>
      </c>
      <c r="V62" s="436" t="str">
        <f t="shared" si="11"/>
        <v xml:space="preserve"> </v>
      </c>
    </row>
    <row r="63" spans="1:22" ht="15.75">
      <c r="A63" s="41"/>
      <c r="B63" s="437"/>
      <c r="C63" s="437"/>
      <c r="D63" s="437"/>
      <c r="E63" s="437"/>
      <c r="F63" s="437"/>
      <c r="G63" s="437"/>
      <c r="H63" s="564"/>
      <c r="I63" s="92"/>
      <c r="J63" s="38"/>
      <c r="K63" s="92"/>
      <c r="L63" s="38"/>
      <c r="M63" s="573"/>
      <c r="N63" s="92"/>
      <c r="O63" s="38"/>
      <c r="P63" s="38"/>
      <c r="Q63" s="92"/>
      <c r="R63" s="38"/>
      <c r="S63" s="38"/>
      <c r="T63" s="92"/>
      <c r="U63" s="38"/>
      <c r="V63" s="238"/>
    </row>
    <row r="64" spans="1:22" ht="15.75">
      <c r="A64" s="108" t="s">
        <v>183</v>
      </c>
      <c r="C64" s="243"/>
      <c r="D64" s="244"/>
      <c r="E64" s="244"/>
      <c r="F64" s="244"/>
      <c r="G64" s="244"/>
      <c r="H64" s="563"/>
      <c r="I64" s="440"/>
      <c r="J64" s="243"/>
      <c r="K64" s="440"/>
      <c r="L64" s="243"/>
      <c r="M64" s="572"/>
      <c r="N64" s="440"/>
      <c r="O64" s="243"/>
      <c r="P64" s="243"/>
      <c r="Q64" s="440"/>
      <c r="R64" s="243"/>
      <c r="S64" s="243"/>
      <c r="T64" s="440"/>
      <c r="U64" s="243"/>
      <c r="V64" s="439"/>
    </row>
    <row r="65" spans="1:22" ht="15.75">
      <c r="A65" s="442"/>
      <c r="B65" s="247"/>
      <c r="C65" s="248" t="s">
        <v>171</v>
      </c>
      <c r="D65" s="245"/>
      <c r="E65" s="245"/>
      <c r="F65" s="245"/>
      <c r="G65" s="245"/>
      <c r="H65" s="246" t="s">
        <v>175</v>
      </c>
      <c r="I65" s="429">
        <f>'Budget-ADA'!I65</f>
        <v>374.45524999999998</v>
      </c>
      <c r="J65" s="787"/>
      <c r="K65" s="256">
        <f>'Budget-ADA'!K65</f>
        <v>661.86699999999996</v>
      </c>
      <c r="L65" s="787"/>
      <c r="M65" s="252">
        <f>'Budget-ADA'!M65</f>
        <v>0.76754632229084785</v>
      </c>
      <c r="N65" s="256">
        <f t="shared" ref="N65:N72" si="12">N12+N26+N39+N52</f>
        <v>0</v>
      </c>
      <c r="O65" s="787"/>
      <c r="P65" s="251" t="str">
        <f t="shared" ref="P65:P75" si="13">IF(K65&lt;1," ",IF(N65&lt;1," ",(N65-K65)/K65))</f>
        <v xml:space="preserve"> </v>
      </c>
      <c r="Q65" s="256">
        <f t="shared" ref="Q65:Q72" si="14">Q12+Q26+Q39+Q52</f>
        <v>0</v>
      </c>
      <c r="R65" s="787"/>
      <c r="S65" s="251" t="str">
        <f t="shared" ref="S65:S75" si="15">IF(N65&lt;1," ",IF(Q65&lt;1," ",(Q65-N65)/N65))</f>
        <v xml:space="preserve"> </v>
      </c>
      <c r="T65" s="256">
        <f t="shared" ref="T65:T72" si="16">T12+T26+T39+T52</f>
        <v>0</v>
      </c>
      <c r="U65" s="787"/>
      <c r="V65" s="253" t="str">
        <f t="shared" ref="V65:V75" si="17">IF(Q65&lt;1," ",IF(T65&lt;1," ",(T65-Q65)/Q65))</f>
        <v xml:space="preserve"> </v>
      </c>
    </row>
    <row r="66" spans="1:22" ht="15.75">
      <c r="A66" s="41"/>
      <c r="B66" s="247"/>
      <c r="C66" s="141" t="s">
        <v>184</v>
      </c>
      <c r="D66" s="245"/>
      <c r="E66" s="245"/>
      <c r="F66" s="245"/>
      <c r="G66" s="245"/>
      <c r="H66" s="246" t="s">
        <v>176</v>
      </c>
      <c r="I66" s="429">
        <f>'Budget-ADA'!I66</f>
        <v>0</v>
      </c>
      <c r="J66" s="660"/>
      <c r="K66" s="256">
        <f>'Budget-ADA'!K66</f>
        <v>0</v>
      </c>
      <c r="L66" s="660"/>
      <c r="M66" s="252" t="str">
        <f>'Budget-ADA'!M66</f>
        <v xml:space="preserve"> </v>
      </c>
      <c r="N66" s="256">
        <f t="shared" si="12"/>
        <v>0</v>
      </c>
      <c r="O66" s="660"/>
      <c r="P66" s="251" t="str">
        <f t="shared" si="13"/>
        <v xml:space="preserve"> </v>
      </c>
      <c r="Q66" s="256">
        <f t="shared" si="14"/>
        <v>0</v>
      </c>
      <c r="R66" s="660"/>
      <c r="S66" s="251" t="str">
        <f t="shared" si="15"/>
        <v xml:space="preserve"> </v>
      </c>
      <c r="T66" s="256">
        <f t="shared" si="16"/>
        <v>0</v>
      </c>
      <c r="U66" s="660"/>
      <c r="V66" s="253" t="str">
        <f t="shared" si="17"/>
        <v xml:space="preserve"> </v>
      </c>
    </row>
    <row r="67" spans="1:22" ht="15.75">
      <c r="A67" s="41"/>
      <c r="B67" s="247"/>
      <c r="C67" s="248" t="s">
        <v>172</v>
      </c>
      <c r="D67" s="245"/>
      <c r="E67" s="245"/>
      <c r="F67" s="245"/>
      <c r="G67" s="245"/>
      <c r="H67" s="246" t="s">
        <v>177</v>
      </c>
      <c r="I67" s="429">
        <f>'Budget-ADA'!I67</f>
        <v>0</v>
      </c>
      <c r="J67" s="660"/>
      <c r="K67" s="256">
        <f>'Budget-ADA'!K67</f>
        <v>0</v>
      </c>
      <c r="L67" s="660"/>
      <c r="M67" s="252" t="str">
        <f>'Budget-ADA'!M67</f>
        <v xml:space="preserve"> </v>
      </c>
      <c r="N67" s="256">
        <f t="shared" si="12"/>
        <v>0</v>
      </c>
      <c r="O67" s="660"/>
      <c r="P67" s="251" t="str">
        <f t="shared" si="13"/>
        <v xml:space="preserve"> </v>
      </c>
      <c r="Q67" s="256">
        <f t="shared" si="14"/>
        <v>0</v>
      </c>
      <c r="R67" s="660"/>
      <c r="S67" s="251" t="str">
        <f t="shared" si="15"/>
        <v xml:space="preserve"> </v>
      </c>
      <c r="T67" s="256">
        <f t="shared" si="16"/>
        <v>0</v>
      </c>
      <c r="U67" s="660"/>
      <c r="V67" s="253" t="str">
        <f t="shared" si="17"/>
        <v xml:space="preserve"> </v>
      </c>
    </row>
    <row r="68" spans="1:22" ht="15.75">
      <c r="A68" s="41"/>
      <c r="B68" s="247"/>
      <c r="C68" s="141" t="s">
        <v>185</v>
      </c>
      <c r="D68" s="245"/>
      <c r="E68" s="245"/>
      <c r="F68" s="245"/>
      <c r="G68" s="245"/>
      <c r="H68" s="246" t="s">
        <v>178</v>
      </c>
      <c r="I68" s="429">
        <f>'Budget-ADA'!I68</f>
        <v>0</v>
      </c>
      <c r="J68" s="660"/>
      <c r="K68" s="256">
        <f>'Budget-ADA'!K68</f>
        <v>0</v>
      </c>
      <c r="L68" s="660"/>
      <c r="M68" s="252" t="str">
        <f>'Budget-ADA'!M68</f>
        <v xml:space="preserve"> </v>
      </c>
      <c r="N68" s="256">
        <f t="shared" si="12"/>
        <v>0</v>
      </c>
      <c r="O68" s="660"/>
      <c r="P68" s="251" t="str">
        <f t="shared" si="13"/>
        <v xml:space="preserve"> </v>
      </c>
      <c r="Q68" s="256">
        <f t="shared" si="14"/>
        <v>0</v>
      </c>
      <c r="R68" s="660"/>
      <c r="S68" s="251" t="str">
        <f t="shared" si="15"/>
        <v xml:space="preserve"> </v>
      </c>
      <c r="T68" s="256">
        <f t="shared" si="16"/>
        <v>0</v>
      </c>
      <c r="U68" s="660"/>
      <c r="V68" s="253" t="str">
        <f t="shared" si="17"/>
        <v xml:space="preserve"> </v>
      </c>
    </row>
    <row r="69" spans="1:22" ht="15.75">
      <c r="A69" s="41"/>
      <c r="B69" s="247"/>
      <c r="C69" s="248" t="s">
        <v>173</v>
      </c>
      <c r="D69" s="245"/>
      <c r="E69" s="245"/>
      <c r="F69" s="245"/>
      <c r="G69" s="245"/>
      <c r="H69" s="246" t="s">
        <v>179</v>
      </c>
      <c r="I69" s="429">
        <f>'Budget-ADA'!I69</f>
        <v>70.794750000000022</v>
      </c>
      <c r="J69" s="660"/>
      <c r="K69" s="256">
        <f>'Budget-ADA'!K69</f>
        <v>125.133</v>
      </c>
      <c r="L69" s="660"/>
      <c r="M69" s="252">
        <f>'Budget-ADA'!M69</f>
        <v>0.76754632229084718</v>
      </c>
      <c r="N69" s="256">
        <f t="shared" si="12"/>
        <v>0</v>
      </c>
      <c r="O69" s="660"/>
      <c r="P69" s="251" t="str">
        <f t="shared" si="13"/>
        <v xml:space="preserve"> </v>
      </c>
      <c r="Q69" s="256">
        <f t="shared" si="14"/>
        <v>0</v>
      </c>
      <c r="R69" s="660"/>
      <c r="S69" s="251" t="str">
        <f t="shared" si="15"/>
        <v xml:space="preserve"> </v>
      </c>
      <c r="T69" s="256">
        <f t="shared" si="16"/>
        <v>0</v>
      </c>
      <c r="U69" s="660"/>
      <c r="V69" s="253" t="str">
        <f t="shared" si="17"/>
        <v xml:space="preserve"> </v>
      </c>
    </row>
    <row r="70" spans="1:22" ht="15.75">
      <c r="A70" s="108"/>
      <c r="B70" s="247"/>
      <c r="C70" s="141" t="s">
        <v>186</v>
      </c>
      <c r="D70" s="245"/>
      <c r="E70" s="245"/>
      <c r="F70" s="245"/>
      <c r="G70" s="245"/>
      <c r="H70" s="246" t="s">
        <v>190</v>
      </c>
      <c r="I70" s="429">
        <f>'Budget-ADA'!I70</f>
        <v>0</v>
      </c>
      <c r="J70" s="660"/>
      <c r="K70" s="256">
        <f>'Budget-ADA'!K70</f>
        <v>0</v>
      </c>
      <c r="L70" s="660"/>
      <c r="M70" s="252" t="str">
        <f>'Budget-ADA'!M70</f>
        <v xml:space="preserve"> </v>
      </c>
      <c r="N70" s="256">
        <f t="shared" si="12"/>
        <v>0</v>
      </c>
      <c r="O70" s="660"/>
      <c r="P70" s="251" t="str">
        <f t="shared" si="13"/>
        <v xml:space="preserve"> </v>
      </c>
      <c r="Q70" s="256">
        <f t="shared" si="14"/>
        <v>0</v>
      </c>
      <c r="R70" s="660"/>
      <c r="S70" s="251" t="str">
        <f t="shared" si="15"/>
        <v xml:space="preserve"> </v>
      </c>
      <c r="T70" s="256">
        <f t="shared" si="16"/>
        <v>0</v>
      </c>
      <c r="U70" s="660"/>
      <c r="V70" s="253" t="str">
        <f t="shared" si="17"/>
        <v xml:space="preserve"> </v>
      </c>
    </row>
    <row r="71" spans="1:22" ht="15.75">
      <c r="A71" s="108"/>
      <c r="B71" s="247"/>
      <c r="C71" s="248" t="s">
        <v>187</v>
      </c>
      <c r="D71" s="245"/>
      <c r="E71" s="245"/>
      <c r="F71" s="245"/>
      <c r="G71" s="245"/>
      <c r="H71" s="246" t="s">
        <v>191</v>
      </c>
      <c r="I71" s="429">
        <f>'Budget-ADA'!I71</f>
        <v>0</v>
      </c>
      <c r="J71" s="660"/>
      <c r="K71" s="256">
        <f>'Budget-ADA'!K71</f>
        <v>0</v>
      </c>
      <c r="L71" s="660"/>
      <c r="M71" s="252" t="str">
        <f>'Budget-ADA'!M71</f>
        <v xml:space="preserve"> </v>
      </c>
      <c r="N71" s="256">
        <f t="shared" si="12"/>
        <v>0</v>
      </c>
      <c r="O71" s="660"/>
      <c r="P71" s="251" t="str">
        <f t="shared" si="13"/>
        <v xml:space="preserve"> </v>
      </c>
      <c r="Q71" s="256">
        <f t="shared" si="14"/>
        <v>0</v>
      </c>
      <c r="R71" s="660"/>
      <c r="S71" s="251" t="str">
        <f t="shared" si="15"/>
        <v xml:space="preserve"> </v>
      </c>
      <c r="T71" s="256">
        <f t="shared" si="16"/>
        <v>0</v>
      </c>
      <c r="U71" s="660"/>
      <c r="V71" s="253" t="str">
        <f t="shared" si="17"/>
        <v xml:space="preserve"> </v>
      </c>
    </row>
    <row r="72" spans="1:22" ht="15.75">
      <c r="A72" s="108"/>
      <c r="B72" s="247"/>
      <c r="C72" s="141" t="s">
        <v>188</v>
      </c>
      <c r="D72" s="245"/>
      <c r="E72" s="245"/>
      <c r="F72" s="245"/>
      <c r="G72" s="245"/>
      <c r="H72" s="246" t="s">
        <v>192</v>
      </c>
      <c r="I72" s="429">
        <f>'Budget-ADA'!I72</f>
        <v>0</v>
      </c>
      <c r="J72" s="660"/>
      <c r="K72" s="256">
        <f>'Budget-ADA'!K72</f>
        <v>0</v>
      </c>
      <c r="L72" s="660"/>
      <c r="M72" s="443" t="str">
        <f>'Budget-ADA'!M72</f>
        <v xml:space="preserve"> </v>
      </c>
      <c r="N72" s="256">
        <f t="shared" si="12"/>
        <v>0</v>
      </c>
      <c r="O72" s="660"/>
      <c r="P72" s="251" t="str">
        <f t="shared" si="13"/>
        <v xml:space="preserve"> </v>
      </c>
      <c r="Q72" s="256">
        <f t="shared" si="14"/>
        <v>0</v>
      </c>
      <c r="R72" s="660"/>
      <c r="S72" s="251" t="str">
        <f t="shared" si="15"/>
        <v xml:space="preserve"> </v>
      </c>
      <c r="T72" s="256">
        <f t="shared" si="16"/>
        <v>0</v>
      </c>
      <c r="U72" s="660"/>
      <c r="V72" s="253" t="str">
        <f t="shared" si="17"/>
        <v xml:space="preserve"> </v>
      </c>
    </row>
    <row r="73" spans="1:22" ht="18.75" customHeight="1">
      <c r="A73" s="68"/>
      <c r="B73" s="1671" t="s">
        <v>364</v>
      </c>
      <c r="C73" s="1672"/>
      <c r="D73" s="1672"/>
      <c r="E73" s="1672"/>
      <c r="F73" s="1672"/>
      <c r="G73" s="1673"/>
      <c r="H73" s="246" t="s">
        <v>193</v>
      </c>
      <c r="I73" s="429">
        <f>'Budget-ADA'!I73</f>
        <v>445.25</v>
      </c>
      <c r="J73" s="255">
        <f>IF(('Budget-ADA'!J73="Cell G10 CANNOT be blank"), "Missing Data, BUDGET-ADA Tab, cell G10",'Budget-ADA'!J73)</f>
        <v>0</v>
      </c>
      <c r="K73" s="256">
        <f>'Budget-ADA'!K73</f>
        <v>787</v>
      </c>
      <c r="L73" s="444">
        <f>IF(('Budget-ADA'!L73="Cell G10 CANNOT be blank"), "Missing Data, BUDGET-ADA Tab, cell G10",'Budget-ADA'!L73)</f>
        <v>0</v>
      </c>
      <c r="M73" s="443">
        <f>'Budget-ADA'!M73</f>
        <v>0.76754632229084785</v>
      </c>
      <c r="N73" s="254">
        <f>N65+N67+N69+N71</f>
        <v>0</v>
      </c>
      <c r="O73" s="660"/>
      <c r="P73" s="252" t="str">
        <f t="shared" si="13"/>
        <v xml:space="preserve"> </v>
      </c>
      <c r="Q73" s="254">
        <f>Q65+Q67+Q69+Q71</f>
        <v>0</v>
      </c>
      <c r="R73" s="660"/>
      <c r="S73" s="252" t="str">
        <f t="shared" si="15"/>
        <v xml:space="preserve"> </v>
      </c>
      <c r="T73" s="254">
        <f>T65+T67+T69+T71</f>
        <v>0</v>
      </c>
      <c r="U73" s="660"/>
      <c r="V73" s="436" t="str">
        <f t="shared" si="17"/>
        <v xml:space="preserve"> </v>
      </c>
    </row>
    <row r="74" spans="1:22" ht="15.75">
      <c r="A74" s="68"/>
      <c r="B74" s="1671" t="s">
        <v>365</v>
      </c>
      <c r="C74" s="1672"/>
      <c r="D74" s="1672"/>
      <c r="E74" s="1672"/>
      <c r="F74" s="1672"/>
      <c r="G74" s="1673"/>
      <c r="H74" s="246" t="s">
        <v>194</v>
      </c>
      <c r="I74" s="429">
        <f>'Budget-ADA'!I74</f>
        <v>0</v>
      </c>
      <c r="J74" s="255">
        <f>'Budget-ADA'!J74</f>
        <v>0</v>
      </c>
      <c r="K74" s="256">
        <f>'Budget-ADA'!K74</f>
        <v>0</v>
      </c>
      <c r="L74" s="444">
        <f>'Budget-ADA'!L74</f>
        <v>0</v>
      </c>
      <c r="M74" s="443" t="str">
        <f>'Budget-ADA'!M74</f>
        <v xml:space="preserve"> </v>
      </c>
      <c r="N74" s="254">
        <f>N66+N68+N70+N72</f>
        <v>0</v>
      </c>
      <c r="O74" s="444">
        <f>N74</f>
        <v>0</v>
      </c>
      <c r="P74" s="252" t="str">
        <f t="shared" si="13"/>
        <v xml:space="preserve"> </v>
      </c>
      <c r="Q74" s="254">
        <f>Q66+Q68+Q70+Q72</f>
        <v>0</v>
      </c>
      <c r="R74" s="444">
        <f>Q74</f>
        <v>0</v>
      </c>
      <c r="S74" s="252" t="str">
        <f t="shared" si="15"/>
        <v xml:space="preserve"> </v>
      </c>
      <c r="T74" s="254">
        <f>T66+T68+T70+T72</f>
        <v>0</v>
      </c>
      <c r="U74" s="444">
        <f>T74</f>
        <v>0</v>
      </c>
      <c r="V74" s="436" t="str">
        <f t="shared" si="17"/>
        <v xml:space="preserve"> </v>
      </c>
    </row>
    <row r="75" spans="1:22" ht="47.25" customHeight="1">
      <c r="A75" s="68"/>
      <c r="B75" s="1671" t="s">
        <v>362</v>
      </c>
      <c r="C75" s="1672"/>
      <c r="D75" s="1672"/>
      <c r="E75" s="1672"/>
      <c r="F75" s="1672"/>
      <c r="G75" s="1673"/>
      <c r="H75" s="246" t="s">
        <v>361</v>
      </c>
      <c r="I75" s="429">
        <f>'Budget-ADA'!I75</f>
        <v>445.25</v>
      </c>
      <c r="J75" s="444">
        <f>'Budget-ADA'!J75</f>
        <v>445.25</v>
      </c>
      <c r="K75" s="256">
        <f>'Budget-ADA'!K75</f>
        <v>787</v>
      </c>
      <c r="L75" s="444">
        <f>'Budget-ADA'!L75</f>
        <v>787</v>
      </c>
      <c r="M75" s="252">
        <f>'Budget-ADA'!M75</f>
        <v>0.76754632229084785</v>
      </c>
      <c r="N75" s="254">
        <f>N73-N74</f>
        <v>0</v>
      </c>
      <c r="O75" s="444" t="str">
        <f>IF($G$10="","Cell G10 CANNOT be blank",N75*$G$10)</f>
        <v>Cell G10 CANNOT be blank</v>
      </c>
      <c r="P75" s="252" t="str">
        <f t="shared" si="13"/>
        <v xml:space="preserve"> </v>
      </c>
      <c r="Q75" s="256">
        <f>Q73-Q74</f>
        <v>0</v>
      </c>
      <c r="R75" s="444" t="str">
        <f>IF($G$10="","Cell G10 CANNOT be blank",Q75*$G$10)</f>
        <v>Cell G10 CANNOT be blank</v>
      </c>
      <c r="S75" s="252" t="str">
        <f t="shared" si="15"/>
        <v xml:space="preserve"> </v>
      </c>
      <c r="T75" s="256">
        <f>T73-T74</f>
        <v>0</v>
      </c>
      <c r="U75" s="444" t="str">
        <f>IF($G$10="","Cell G10 CANNOT be blank",T75*$G$10)</f>
        <v>Cell G10 CANNOT be blank</v>
      </c>
      <c r="V75" s="436" t="str">
        <f t="shared" si="17"/>
        <v xml:space="preserve"> </v>
      </c>
    </row>
    <row r="76" spans="1:22" ht="17.25" customHeight="1" thickBot="1">
      <c r="A76" s="240"/>
      <c r="B76" s="1692" t="s">
        <v>363</v>
      </c>
      <c r="C76" s="1693"/>
      <c r="D76" s="1693"/>
      <c r="E76" s="1693"/>
      <c r="F76" s="1693"/>
      <c r="G76" s="1694"/>
      <c r="H76" s="577"/>
      <c r="I76" s="1016">
        <f>'Budget-ADA'!I76</f>
        <v>0</v>
      </c>
      <c r="J76" s="241">
        <f>'Budget-ADA'!J76</f>
        <v>445.25</v>
      </c>
      <c r="K76" s="1017">
        <f>'Budget-ADA'!K76</f>
        <v>0</v>
      </c>
      <c r="L76" s="575">
        <f>'Budget-ADA'!L76</f>
        <v>787</v>
      </c>
      <c r="M76" s="1014"/>
      <c r="N76" s="1011"/>
      <c r="O76" s="1013" t="e">
        <f>O74+O75</f>
        <v>#VALUE!</v>
      </c>
      <c r="P76" s="1014"/>
      <c r="Q76" s="1011"/>
      <c r="R76" s="1013" t="e">
        <f>R74+R75</f>
        <v>#VALUE!</v>
      </c>
      <c r="S76" s="1014"/>
      <c r="T76" s="1011"/>
      <c r="U76" s="1013" t="e">
        <f>U74+U75</f>
        <v>#VALUE!</v>
      </c>
      <c r="V76" s="1015"/>
    </row>
    <row r="77" spans="1:22" ht="15.75">
      <c r="A77" s="38"/>
      <c r="B77" s="107"/>
      <c r="C77" s="34"/>
      <c r="D77" s="34"/>
      <c r="E77" s="34"/>
      <c r="F77" s="34"/>
      <c r="G77" s="34"/>
      <c r="H77" s="38"/>
      <c r="I77" s="228"/>
      <c r="J77" s="228"/>
      <c r="K77" s="228"/>
      <c r="L77" s="228"/>
      <c r="M77" s="228"/>
      <c r="N77" s="228"/>
      <c r="O77" s="228"/>
      <c r="P77" s="228"/>
      <c r="Q77" s="228"/>
      <c r="R77" s="228"/>
      <c r="S77" s="228"/>
      <c r="T77" s="228"/>
      <c r="U77" s="228"/>
    </row>
    <row r="78" spans="1:22" ht="21.75" customHeight="1">
      <c r="A78" s="574" t="s">
        <v>198</v>
      </c>
      <c r="B78" s="574"/>
      <c r="C78" s="228"/>
      <c r="D78" s="228"/>
      <c r="E78" s="228"/>
      <c r="F78" s="228"/>
      <c r="G78" s="228"/>
      <c r="H78" s="228"/>
      <c r="I78" s="6"/>
      <c r="J78" s="6"/>
      <c r="K78" s="6"/>
      <c r="L78" s="6"/>
      <c r="M78" s="6"/>
      <c r="N78" s="6"/>
      <c r="O78" s="6"/>
      <c r="P78" s="6"/>
      <c r="Q78" s="6"/>
      <c r="R78" s="6"/>
      <c r="S78" s="6"/>
      <c r="T78" s="6"/>
    </row>
    <row r="79" spans="1:22" ht="12.75">
      <c r="A79" s="6"/>
      <c r="B79" s="6"/>
      <c r="C79" s="6"/>
      <c r="D79" s="6"/>
      <c r="E79" s="6"/>
      <c r="F79" s="6"/>
      <c r="G79" s="6"/>
      <c r="H79" s="6"/>
      <c r="I79" s="6"/>
      <c r="J79" s="6"/>
      <c r="K79" s="6"/>
      <c r="L79" s="6"/>
      <c r="M79" s="6"/>
      <c r="N79" s="6"/>
      <c r="O79" s="6"/>
      <c r="P79" s="6"/>
      <c r="Q79" s="6"/>
      <c r="R79" s="6"/>
      <c r="S79" s="6"/>
      <c r="T79" s="6"/>
    </row>
    <row r="80" spans="1:22" ht="12.75">
      <c r="A80" s="6"/>
      <c r="B80" s="6"/>
      <c r="C80" s="6"/>
      <c r="D80" s="6"/>
      <c r="E80" s="6"/>
      <c r="F80" s="6"/>
      <c r="G80" s="6"/>
      <c r="H80" s="6"/>
      <c r="I80" s="6"/>
      <c r="J80" s="6"/>
      <c r="K80" s="6"/>
      <c r="L80" s="6"/>
      <c r="M80" s="6"/>
      <c r="N80" s="6"/>
      <c r="O80" s="6"/>
      <c r="P80" s="6"/>
      <c r="Q80" s="6"/>
      <c r="R80" s="6"/>
      <c r="S80" s="6"/>
      <c r="T80" s="6"/>
    </row>
    <row r="81" spans="1:20" ht="12.75">
      <c r="A81" s="6"/>
      <c r="B81" s="6"/>
      <c r="C81" s="6"/>
      <c r="D81" s="6"/>
      <c r="E81" s="6"/>
      <c r="F81" s="6"/>
      <c r="G81" s="6"/>
      <c r="H81" s="6"/>
      <c r="I81" s="6"/>
      <c r="J81" s="6"/>
      <c r="K81" s="6"/>
      <c r="L81" s="6"/>
      <c r="M81" s="6"/>
      <c r="N81" s="6"/>
      <c r="O81" s="6"/>
      <c r="P81" s="6"/>
      <c r="Q81" s="6"/>
      <c r="R81" s="6"/>
      <c r="S81" s="6"/>
      <c r="T81" s="6"/>
    </row>
    <row r="82" spans="1:20" ht="12.75">
      <c r="A82" s="6"/>
      <c r="B82" s="6"/>
      <c r="C82" s="6"/>
      <c r="D82" s="6"/>
      <c r="E82" s="6"/>
      <c r="F82" s="6"/>
      <c r="G82" s="6"/>
      <c r="H82" s="6"/>
      <c r="I82" s="6"/>
      <c r="J82" s="6"/>
      <c r="K82" s="6"/>
      <c r="L82" s="6"/>
      <c r="M82" s="6"/>
      <c r="N82" s="6"/>
      <c r="O82" s="6"/>
      <c r="P82" s="6"/>
      <c r="Q82" s="6"/>
      <c r="R82" s="6"/>
      <c r="S82" s="6"/>
      <c r="T82" s="6"/>
    </row>
    <row r="83" spans="1:20" ht="12.75">
      <c r="A83" s="6"/>
      <c r="B83" s="6"/>
      <c r="C83" s="6"/>
      <c r="D83" s="6"/>
      <c r="E83" s="6"/>
      <c r="F83" s="6"/>
      <c r="G83" s="6"/>
      <c r="H83" s="6"/>
      <c r="I83" s="6"/>
      <c r="J83" s="6"/>
      <c r="K83" s="6"/>
      <c r="L83" s="6"/>
      <c r="M83" s="6"/>
      <c r="N83" s="6"/>
      <c r="O83" s="6"/>
      <c r="P83" s="6"/>
      <c r="Q83" s="6"/>
      <c r="R83" s="6"/>
      <c r="S83" s="6"/>
      <c r="T83" s="6"/>
    </row>
    <row r="84" spans="1:20" ht="12.75">
      <c r="A84" s="6"/>
      <c r="B84" s="6"/>
      <c r="C84" s="6"/>
      <c r="D84" s="6"/>
      <c r="E84" s="6"/>
      <c r="F84" s="6"/>
      <c r="G84" s="6"/>
      <c r="H84" s="6"/>
      <c r="I84" s="6"/>
      <c r="J84" s="6"/>
      <c r="K84" s="6"/>
      <c r="L84" s="6"/>
      <c r="M84" s="6"/>
      <c r="N84" s="6"/>
      <c r="O84" s="6"/>
      <c r="P84" s="6"/>
      <c r="Q84" s="6"/>
      <c r="R84" s="6"/>
      <c r="S84" s="6"/>
      <c r="T84" s="6"/>
    </row>
    <row r="85" spans="1:20" ht="12.75">
      <c r="A85" s="6"/>
      <c r="B85" s="6"/>
      <c r="C85" s="6"/>
      <c r="D85" s="6"/>
      <c r="E85" s="6"/>
      <c r="F85" s="6"/>
      <c r="G85" s="6"/>
      <c r="H85" s="6"/>
      <c r="I85" s="6"/>
      <c r="J85" s="6"/>
      <c r="K85" s="6"/>
      <c r="L85" s="6"/>
      <c r="M85" s="6"/>
      <c r="N85" s="6"/>
      <c r="O85" s="6"/>
      <c r="P85" s="6"/>
      <c r="Q85" s="6"/>
      <c r="R85" s="6"/>
      <c r="S85" s="6"/>
      <c r="T85" s="6"/>
    </row>
    <row r="86" spans="1:20" ht="12.75">
      <c r="A86" s="6"/>
      <c r="B86" s="6"/>
      <c r="C86" s="6"/>
      <c r="D86" s="6"/>
      <c r="E86" s="6"/>
      <c r="F86" s="6"/>
      <c r="G86" s="6"/>
      <c r="H86" s="6"/>
      <c r="I86" s="6"/>
      <c r="J86" s="6"/>
      <c r="K86" s="6"/>
      <c r="L86" s="6"/>
      <c r="M86" s="6"/>
      <c r="N86" s="6"/>
      <c r="O86" s="6"/>
      <c r="P86" s="6"/>
      <c r="Q86" s="6"/>
      <c r="R86" s="6"/>
      <c r="S86" s="6"/>
      <c r="T86" s="6"/>
    </row>
    <row r="87" spans="1:20" ht="12.75">
      <c r="A87" s="6"/>
      <c r="B87" s="6"/>
      <c r="C87" s="6"/>
      <c r="D87" s="6"/>
      <c r="E87" s="6"/>
      <c r="F87" s="6"/>
      <c r="G87" s="6"/>
      <c r="H87" s="6"/>
      <c r="I87" s="6"/>
      <c r="J87" s="6"/>
      <c r="K87" s="6"/>
      <c r="L87" s="6"/>
      <c r="M87" s="6"/>
      <c r="N87" s="6"/>
      <c r="O87" s="6"/>
      <c r="P87" s="6"/>
      <c r="Q87" s="6"/>
      <c r="R87" s="6"/>
      <c r="S87" s="6"/>
      <c r="T87" s="6"/>
    </row>
    <row r="88" spans="1:20" ht="12.75">
      <c r="A88" s="6"/>
      <c r="B88" s="6"/>
      <c r="C88" s="6"/>
      <c r="D88" s="6"/>
      <c r="E88" s="6"/>
      <c r="F88" s="6"/>
      <c r="G88" s="6"/>
      <c r="H88" s="6"/>
    </row>
    <row r="89" spans="1:20" ht="12.75">
      <c r="A89" s="6"/>
    </row>
    <row r="90" spans="1:20" ht="12.75">
      <c r="A90" s="6"/>
    </row>
    <row r="91" spans="1:20" ht="12.75">
      <c r="A91" s="6"/>
    </row>
  </sheetData>
  <sheetProtection password="D94D" sheet="1"/>
  <mergeCells count="26">
    <mergeCell ref="B75:G75"/>
    <mergeCell ref="B76:G76"/>
    <mergeCell ref="B47:G47"/>
    <mergeCell ref="B48:G48"/>
    <mergeCell ref="B49:G49"/>
    <mergeCell ref="B60:G60"/>
    <mergeCell ref="B61:G61"/>
    <mergeCell ref="B62:G62"/>
    <mergeCell ref="B34:G34"/>
    <mergeCell ref="B35:G35"/>
    <mergeCell ref="B36:G36"/>
    <mergeCell ref="B73:G73"/>
    <mergeCell ref="B74:G74"/>
    <mergeCell ref="V8:V9"/>
    <mergeCell ref="B23:G23"/>
    <mergeCell ref="I1:N1"/>
    <mergeCell ref="I2:N2"/>
    <mergeCell ref="A6:H6"/>
    <mergeCell ref="A7:G8"/>
    <mergeCell ref="I7:J7"/>
    <mergeCell ref="M8:M9"/>
    <mergeCell ref="P8:P9"/>
    <mergeCell ref="S8:S9"/>
    <mergeCell ref="B20:G20"/>
    <mergeCell ref="B21:G21"/>
    <mergeCell ref="B22:G22"/>
  </mergeCells>
  <conditionalFormatting sqref="I1:I2">
    <cfRule type="containsText" dxfId="158" priority="371" stopIfTrue="1" operator="containsText" text="Enter">
      <formula>NOT(ISERROR(SEARCH("Enter",I1)))</formula>
    </cfRule>
  </conditionalFormatting>
  <conditionalFormatting sqref="U22">
    <cfRule type="containsText" dxfId="157" priority="84" stopIfTrue="1" operator="containsText" text="Missin">
      <formula>NOT(ISERROR(SEARCH("Missin",U22)))</formula>
    </cfRule>
    <cfRule type="containsText" dxfId="156" priority="85" stopIfTrue="1" operator="containsText" text="Cell G10 CANNOT be blank">
      <formula>NOT(ISERROR(SEARCH("Cell G10 CANNOT be blank",U22)))</formula>
    </cfRule>
  </conditionalFormatting>
  <conditionalFormatting sqref="J21">
    <cfRule type="containsText" dxfId="155" priority="98" stopIfTrue="1" operator="containsText" text="Missin">
      <formula>NOT(ISERROR(SEARCH("Missin",J21)))</formula>
    </cfRule>
    <cfRule type="containsText" dxfId="154" priority="99" stopIfTrue="1" operator="containsText" text="Cell G10 CANNOT be blank">
      <formula>NOT(ISERROR(SEARCH("Cell G10 CANNOT be blank",J21)))</formula>
    </cfRule>
  </conditionalFormatting>
  <conditionalFormatting sqref="J20">
    <cfRule type="containsText" dxfId="153" priority="96" stopIfTrue="1" operator="containsText" text="Missin">
      <formula>NOT(ISERROR(SEARCH("Missin",J20)))</formula>
    </cfRule>
    <cfRule type="containsText" dxfId="152" priority="97" stopIfTrue="1" operator="containsText" text="Cell G10 CANNOT be blank">
      <formula>NOT(ISERROR(SEARCH("Cell G10 CANNOT be blank",J20)))</formula>
    </cfRule>
  </conditionalFormatting>
  <conditionalFormatting sqref="L20">
    <cfRule type="containsText" dxfId="151" priority="94" stopIfTrue="1" operator="containsText" text="Missin">
      <formula>NOT(ISERROR(SEARCH("Missin",L20)))</formula>
    </cfRule>
    <cfRule type="containsText" dxfId="150" priority="95" stopIfTrue="1" operator="containsText" text="Cell G10 CANNOT be blank">
      <formula>NOT(ISERROR(SEARCH("Cell G10 CANNOT be blank",L20)))</formula>
    </cfRule>
  </conditionalFormatting>
  <conditionalFormatting sqref="O22">
    <cfRule type="containsText" dxfId="149" priority="92" stopIfTrue="1" operator="containsText" text="Missin">
      <formula>NOT(ISERROR(SEARCH("Missin",O22)))</formula>
    </cfRule>
    <cfRule type="containsText" dxfId="148" priority="93" stopIfTrue="1" operator="containsText" text="Cell G10 CANNOT be blank">
      <formula>NOT(ISERROR(SEARCH("Cell G10 CANNOT be blank",O22)))</formula>
    </cfRule>
  </conditionalFormatting>
  <conditionalFormatting sqref="L21:L22">
    <cfRule type="containsText" dxfId="147" priority="90" stopIfTrue="1" operator="containsText" text="Missin">
      <formula>NOT(ISERROR(SEARCH("Missin",L21)))</formula>
    </cfRule>
    <cfRule type="containsText" dxfId="146" priority="91" stopIfTrue="1" operator="containsText" text="Cell G10 CANNOT be blank">
      <formula>NOT(ISERROR(SEARCH("Cell G10 CANNOT be blank",L21)))</formula>
    </cfRule>
  </conditionalFormatting>
  <conditionalFormatting sqref="O21">
    <cfRule type="containsText" dxfId="145" priority="89" stopIfTrue="1" operator="containsText" text="Cell G10 CANNOT be blank">
      <formula>NOT(ISERROR(SEARCH("Cell G10 CANNOT be blank",O21)))</formula>
    </cfRule>
  </conditionalFormatting>
  <conditionalFormatting sqref="R22">
    <cfRule type="containsText" dxfId="144" priority="87" stopIfTrue="1" operator="containsText" text="Missin">
      <formula>NOT(ISERROR(SEARCH("Missin",R22)))</formula>
    </cfRule>
    <cfRule type="containsText" dxfId="143" priority="88" stopIfTrue="1" operator="containsText" text="Cell G10 CANNOT be blank">
      <formula>NOT(ISERROR(SEARCH("Cell G10 CANNOT be blank",R22)))</formula>
    </cfRule>
  </conditionalFormatting>
  <conditionalFormatting sqref="R21">
    <cfRule type="containsText" dxfId="142" priority="86" stopIfTrue="1" operator="containsText" text="Cell G10 CANNOT be blank">
      <formula>NOT(ISERROR(SEARCH("Cell G10 CANNOT be blank",R21)))</formula>
    </cfRule>
  </conditionalFormatting>
  <conditionalFormatting sqref="U21">
    <cfRule type="containsText" dxfId="141" priority="83" stopIfTrue="1" operator="containsText" text="Cell G10 CANNOT be blank">
      <formula>NOT(ISERROR(SEARCH("Cell G10 CANNOT be blank",U21)))</formula>
    </cfRule>
  </conditionalFormatting>
  <conditionalFormatting sqref="L34">
    <cfRule type="containsText" dxfId="140" priority="77" stopIfTrue="1" operator="containsText" text="Missin">
      <formula>NOT(ISERROR(SEARCH("Missin",L34)))</formula>
    </cfRule>
    <cfRule type="containsText" dxfId="139" priority="78" stopIfTrue="1" operator="containsText" text="Cell G10 CANNOT be blank">
      <formula>NOT(ISERROR(SEARCH("Cell G10 CANNOT be blank",L34)))</formula>
    </cfRule>
  </conditionalFormatting>
  <conditionalFormatting sqref="O36">
    <cfRule type="containsText" dxfId="138" priority="75" stopIfTrue="1" operator="containsText" text="Missin">
      <formula>NOT(ISERROR(SEARCH("Missin",O36)))</formula>
    </cfRule>
    <cfRule type="containsText" dxfId="137" priority="76" stopIfTrue="1" operator="containsText" text="Cell G10 CANNOT be blank">
      <formula>NOT(ISERROR(SEARCH("Cell G10 CANNOT be blank",O36)))</formula>
    </cfRule>
  </conditionalFormatting>
  <conditionalFormatting sqref="L35:L36">
    <cfRule type="containsText" dxfId="136" priority="73" stopIfTrue="1" operator="containsText" text="Missin">
      <formula>NOT(ISERROR(SEARCH("Missin",L35)))</formula>
    </cfRule>
    <cfRule type="containsText" dxfId="135" priority="74" stopIfTrue="1" operator="containsText" text="Cell G10 CANNOT be blank">
      <formula>NOT(ISERROR(SEARCH("Cell G10 CANNOT be blank",L35)))</formula>
    </cfRule>
  </conditionalFormatting>
  <conditionalFormatting sqref="J35">
    <cfRule type="containsText" dxfId="134" priority="81" stopIfTrue="1" operator="containsText" text="Missin">
      <formula>NOT(ISERROR(SEARCH("Missin",J35)))</formula>
    </cfRule>
    <cfRule type="containsText" dxfId="133" priority="82" stopIfTrue="1" operator="containsText" text="Cell G10 CANNOT be blank">
      <formula>NOT(ISERROR(SEARCH("Cell G10 CANNOT be blank",J35)))</formula>
    </cfRule>
  </conditionalFormatting>
  <conditionalFormatting sqref="J34">
    <cfRule type="containsText" dxfId="132" priority="79" stopIfTrue="1" operator="containsText" text="Missin">
      <formula>NOT(ISERROR(SEARCH("Missin",J34)))</formula>
    </cfRule>
    <cfRule type="containsText" dxfId="131" priority="80" stopIfTrue="1" operator="containsText" text="Cell G10 CANNOT be blank">
      <formula>NOT(ISERROR(SEARCH("Cell G10 CANNOT be blank",J34)))</formula>
    </cfRule>
  </conditionalFormatting>
  <conditionalFormatting sqref="O35">
    <cfRule type="containsText" dxfId="130" priority="72" stopIfTrue="1" operator="containsText" text="Cell G10 CANNOT be blank">
      <formula>NOT(ISERROR(SEARCH("Cell G10 CANNOT be blank",O35)))</formula>
    </cfRule>
  </conditionalFormatting>
  <conditionalFormatting sqref="R36">
    <cfRule type="containsText" dxfId="129" priority="70" stopIfTrue="1" operator="containsText" text="Missin">
      <formula>NOT(ISERROR(SEARCH("Missin",R36)))</formula>
    </cfRule>
    <cfRule type="containsText" dxfId="128" priority="71" stopIfTrue="1" operator="containsText" text="Cell G10 CANNOT be blank">
      <formula>NOT(ISERROR(SEARCH("Cell G10 CANNOT be blank",R36)))</formula>
    </cfRule>
  </conditionalFormatting>
  <conditionalFormatting sqref="R35">
    <cfRule type="containsText" dxfId="127" priority="69" stopIfTrue="1" operator="containsText" text="Cell G10 CANNOT be blank">
      <formula>NOT(ISERROR(SEARCH("Cell G10 CANNOT be blank",R35)))</formula>
    </cfRule>
  </conditionalFormatting>
  <conditionalFormatting sqref="U36">
    <cfRule type="containsText" dxfId="126" priority="67" stopIfTrue="1" operator="containsText" text="Missin">
      <formula>NOT(ISERROR(SEARCH("Missin",U36)))</formula>
    </cfRule>
    <cfRule type="containsText" dxfId="125" priority="68" stopIfTrue="1" operator="containsText" text="Cell G10 CANNOT be blank">
      <formula>NOT(ISERROR(SEARCH("Cell G10 CANNOT be blank",U36)))</formula>
    </cfRule>
  </conditionalFormatting>
  <conditionalFormatting sqref="U35">
    <cfRule type="containsText" dxfId="124" priority="66" stopIfTrue="1" operator="containsText" text="Cell G10 CANNOT be blank">
      <formula>NOT(ISERROR(SEARCH("Cell G10 CANNOT be blank",U35)))</formula>
    </cfRule>
  </conditionalFormatting>
  <conditionalFormatting sqref="R49">
    <cfRule type="containsText" dxfId="123" priority="53" stopIfTrue="1" operator="containsText" text="Missin">
      <formula>NOT(ISERROR(SEARCH("Missin",R49)))</formula>
    </cfRule>
    <cfRule type="containsText" dxfId="122" priority="54" stopIfTrue="1" operator="containsText" text="Cell G10 CANNOT be blank">
      <formula>NOT(ISERROR(SEARCH("Cell G10 CANNOT be blank",R49)))</formula>
    </cfRule>
  </conditionalFormatting>
  <conditionalFormatting sqref="J48">
    <cfRule type="containsText" dxfId="121" priority="64" stopIfTrue="1" operator="containsText" text="Missin">
      <formula>NOT(ISERROR(SEARCH("Missin",J48)))</formula>
    </cfRule>
    <cfRule type="containsText" dxfId="120" priority="65" stopIfTrue="1" operator="containsText" text="Cell G10 CANNOT be blank">
      <formula>NOT(ISERROR(SEARCH("Cell G10 CANNOT be blank",J48)))</formula>
    </cfRule>
  </conditionalFormatting>
  <conditionalFormatting sqref="J47">
    <cfRule type="containsText" dxfId="119" priority="62" stopIfTrue="1" operator="containsText" text="Missin">
      <formula>NOT(ISERROR(SEARCH("Missin",J47)))</formula>
    </cfRule>
    <cfRule type="containsText" dxfId="118" priority="63" stopIfTrue="1" operator="containsText" text="Cell G10 CANNOT be blank">
      <formula>NOT(ISERROR(SEARCH("Cell G10 CANNOT be blank",J47)))</formula>
    </cfRule>
  </conditionalFormatting>
  <conditionalFormatting sqref="L47">
    <cfRule type="containsText" dxfId="117" priority="60" stopIfTrue="1" operator="containsText" text="Missin">
      <formula>NOT(ISERROR(SEARCH("Missin",L47)))</formula>
    </cfRule>
    <cfRule type="containsText" dxfId="116" priority="61" stopIfTrue="1" operator="containsText" text="Cell G10 CANNOT be blank">
      <formula>NOT(ISERROR(SEARCH("Cell G10 CANNOT be blank",L47)))</formula>
    </cfRule>
  </conditionalFormatting>
  <conditionalFormatting sqref="O49">
    <cfRule type="containsText" dxfId="115" priority="58" stopIfTrue="1" operator="containsText" text="Missin">
      <formula>NOT(ISERROR(SEARCH("Missin",O49)))</formula>
    </cfRule>
    <cfRule type="containsText" dxfId="114" priority="59" stopIfTrue="1" operator="containsText" text="Cell G10 CANNOT be blank">
      <formula>NOT(ISERROR(SEARCH("Cell G10 CANNOT be blank",O49)))</formula>
    </cfRule>
  </conditionalFormatting>
  <conditionalFormatting sqref="L48:L49">
    <cfRule type="containsText" dxfId="113" priority="56" stopIfTrue="1" operator="containsText" text="Missin">
      <formula>NOT(ISERROR(SEARCH("Missin",L48)))</formula>
    </cfRule>
    <cfRule type="containsText" dxfId="112" priority="57" stopIfTrue="1" operator="containsText" text="Cell G10 CANNOT be blank">
      <formula>NOT(ISERROR(SEARCH("Cell G10 CANNOT be blank",L48)))</formula>
    </cfRule>
  </conditionalFormatting>
  <conditionalFormatting sqref="O48">
    <cfRule type="containsText" dxfId="111" priority="55" stopIfTrue="1" operator="containsText" text="Cell G10 CANNOT be blank">
      <formula>NOT(ISERROR(SEARCH("Cell G10 CANNOT be blank",O48)))</formula>
    </cfRule>
  </conditionalFormatting>
  <conditionalFormatting sqref="R48">
    <cfRule type="containsText" dxfId="110" priority="52" stopIfTrue="1" operator="containsText" text="Cell G10 CANNOT be blank">
      <formula>NOT(ISERROR(SEARCH("Cell G10 CANNOT be blank",R48)))</formula>
    </cfRule>
  </conditionalFormatting>
  <conditionalFormatting sqref="U49">
    <cfRule type="containsText" dxfId="109" priority="50" stopIfTrue="1" operator="containsText" text="Missin">
      <formula>NOT(ISERROR(SEARCH("Missin",U49)))</formula>
    </cfRule>
    <cfRule type="containsText" dxfId="108" priority="51" stopIfTrue="1" operator="containsText" text="Cell G10 CANNOT be blank">
      <formula>NOT(ISERROR(SEARCH("Cell G10 CANNOT be blank",U49)))</formula>
    </cfRule>
  </conditionalFormatting>
  <conditionalFormatting sqref="U48">
    <cfRule type="containsText" dxfId="107" priority="49" stopIfTrue="1" operator="containsText" text="Cell G10 CANNOT be blank">
      <formula>NOT(ISERROR(SEARCH("Cell G10 CANNOT be blank",U48)))</formula>
    </cfRule>
  </conditionalFormatting>
  <conditionalFormatting sqref="L60">
    <cfRule type="containsText" dxfId="106" priority="43" stopIfTrue="1" operator="containsText" text="Missin">
      <formula>NOT(ISERROR(SEARCH("Missin",L60)))</formula>
    </cfRule>
    <cfRule type="containsText" dxfId="105" priority="44" stopIfTrue="1" operator="containsText" text="Cell G10 CANNOT be blank">
      <formula>NOT(ISERROR(SEARCH("Cell G10 CANNOT be blank",L60)))</formula>
    </cfRule>
  </conditionalFormatting>
  <conditionalFormatting sqref="J61">
    <cfRule type="containsText" dxfId="104" priority="47" stopIfTrue="1" operator="containsText" text="Missin">
      <formula>NOT(ISERROR(SEARCH("Missin",J61)))</formula>
    </cfRule>
    <cfRule type="containsText" dxfId="103" priority="48" stopIfTrue="1" operator="containsText" text="Cell G10 CANNOT be blank">
      <formula>NOT(ISERROR(SEARCH("Cell G10 CANNOT be blank",J61)))</formula>
    </cfRule>
  </conditionalFormatting>
  <conditionalFormatting sqref="J60">
    <cfRule type="containsText" dxfId="102" priority="45" stopIfTrue="1" operator="containsText" text="Missin">
      <formula>NOT(ISERROR(SEARCH("Missin",J60)))</formula>
    </cfRule>
    <cfRule type="containsText" dxfId="101" priority="46" stopIfTrue="1" operator="containsText" text="Cell G10 CANNOT be blank">
      <formula>NOT(ISERROR(SEARCH("Cell G10 CANNOT be blank",J60)))</formula>
    </cfRule>
  </conditionalFormatting>
  <conditionalFormatting sqref="O62">
    <cfRule type="containsText" dxfId="100" priority="41" stopIfTrue="1" operator="containsText" text="Missin">
      <formula>NOT(ISERROR(SEARCH("Missin",O62)))</formula>
    </cfRule>
    <cfRule type="containsText" dxfId="99" priority="42" stopIfTrue="1" operator="containsText" text="Cell G10 CANNOT be blank">
      <formula>NOT(ISERROR(SEARCH("Cell G10 CANNOT be blank",O62)))</formula>
    </cfRule>
  </conditionalFormatting>
  <conditionalFormatting sqref="L61:L62">
    <cfRule type="containsText" dxfId="98" priority="39" stopIfTrue="1" operator="containsText" text="Missin">
      <formula>NOT(ISERROR(SEARCH("Missin",L61)))</formula>
    </cfRule>
    <cfRule type="containsText" dxfId="97" priority="40" stopIfTrue="1" operator="containsText" text="Cell G10 CANNOT be blank">
      <formula>NOT(ISERROR(SEARCH("Cell G10 CANNOT be blank",L61)))</formula>
    </cfRule>
  </conditionalFormatting>
  <conditionalFormatting sqref="O61">
    <cfRule type="containsText" dxfId="96" priority="38" stopIfTrue="1" operator="containsText" text="Cell G10 CANNOT be blank">
      <formula>NOT(ISERROR(SEARCH("Cell G10 CANNOT be blank",O61)))</formula>
    </cfRule>
  </conditionalFormatting>
  <conditionalFormatting sqref="R62">
    <cfRule type="containsText" dxfId="95" priority="36" stopIfTrue="1" operator="containsText" text="Missin">
      <formula>NOT(ISERROR(SEARCH("Missin",R62)))</formula>
    </cfRule>
    <cfRule type="containsText" dxfId="94" priority="37" stopIfTrue="1" operator="containsText" text="Cell G10 CANNOT be blank">
      <formula>NOT(ISERROR(SEARCH("Cell G10 CANNOT be blank",R62)))</formula>
    </cfRule>
  </conditionalFormatting>
  <conditionalFormatting sqref="R61">
    <cfRule type="containsText" dxfId="93" priority="35" stopIfTrue="1" operator="containsText" text="Cell G10 CANNOT be blank">
      <formula>NOT(ISERROR(SEARCH("Cell G10 CANNOT be blank",R61)))</formula>
    </cfRule>
  </conditionalFormatting>
  <conditionalFormatting sqref="U62">
    <cfRule type="containsText" dxfId="92" priority="33" stopIfTrue="1" operator="containsText" text="Missin">
      <formula>NOT(ISERROR(SEARCH("Missin",U62)))</formula>
    </cfRule>
    <cfRule type="containsText" dxfId="91" priority="34" stopIfTrue="1" operator="containsText" text="Cell G10 CANNOT be blank">
      <formula>NOT(ISERROR(SEARCH("Cell G10 CANNOT be blank",U62)))</formula>
    </cfRule>
  </conditionalFormatting>
  <conditionalFormatting sqref="U61">
    <cfRule type="containsText" dxfId="90" priority="32" stopIfTrue="1" operator="containsText" text="Cell G10 CANNOT be blank">
      <formula>NOT(ISERROR(SEARCH("Cell G10 CANNOT be blank",U61)))</formula>
    </cfRule>
  </conditionalFormatting>
  <conditionalFormatting sqref="U74">
    <cfRule type="containsText" dxfId="89" priority="15" stopIfTrue="1" operator="containsText" text="Cell G10 CANNOT be blank">
      <formula>NOT(ISERROR(SEARCH("Cell G10 CANNOT be blank",U74)))</formula>
    </cfRule>
  </conditionalFormatting>
  <conditionalFormatting sqref="J74">
    <cfRule type="containsText" dxfId="88" priority="30" stopIfTrue="1" operator="containsText" text="Missin">
      <formula>NOT(ISERROR(SEARCH("Missin",J74)))</formula>
    </cfRule>
    <cfRule type="containsText" dxfId="87" priority="31" stopIfTrue="1" operator="containsText" text="Cell G10 CANNOT be blank">
      <formula>NOT(ISERROR(SEARCH("Cell G10 CANNOT be blank",J74)))</formula>
    </cfRule>
  </conditionalFormatting>
  <conditionalFormatting sqref="J73">
    <cfRule type="containsText" dxfId="86" priority="28" stopIfTrue="1" operator="containsText" text="Missin">
      <formula>NOT(ISERROR(SEARCH("Missin",J73)))</formula>
    </cfRule>
    <cfRule type="containsText" dxfId="85" priority="29" stopIfTrue="1" operator="containsText" text="Cell G10 CANNOT be blank">
      <formula>NOT(ISERROR(SEARCH("Cell G10 CANNOT be blank",J73)))</formula>
    </cfRule>
  </conditionalFormatting>
  <conditionalFormatting sqref="L73">
    <cfRule type="containsText" dxfId="84" priority="26" stopIfTrue="1" operator="containsText" text="Missin">
      <formula>NOT(ISERROR(SEARCH("Missin",L73)))</formula>
    </cfRule>
    <cfRule type="containsText" dxfId="83" priority="27" stopIfTrue="1" operator="containsText" text="Cell G10 CANNOT be blank">
      <formula>NOT(ISERROR(SEARCH("Cell G10 CANNOT be blank",L73)))</formula>
    </cfRule>
  </conditionalFormatting>
  <conditionalFormatting sqref="O75">
    <cfRule type="containsText" dxfId="82" priority="24" stopIfTrue="1" operator="containsText" text="Missin">
      <formula>NOT(ISERROR(SEARCH("Missin",O75)))</formula>
    </cfRule>
    <cfRule type="containsText" dxfId="81" priority="25" stopIfTrue="1" operator="containsText" text="Cell G10 CANNOT be blank">
      <formula>NOT(ISERROR(SEARCH("Cell G10 CANNOT be blank",O75)))</formula>
    </cfRule>
  </conditionalFormatting>
  <conditionalFormatting sqref="L74:L75">
    <cfRule type="containsText" dxfId="80" priority="22" stopIfTrue="1" operator="containsText" text="Missin">
      <formula>NOT(ISERROR(SEARCH("Missin",L74)))</formula>
    </cfRule>
    <cfRule type="containsText" dxfId="79" priority="23" stopIfTrue="1" operator="containsText" text="Cell G10 CANNOT be blank">
      <formula>NOT(ISERROR(SEARCH("Cell G10 CANNOT be blank",L74)))</formula>
    </cfRule>
  </conditionalFormatting>
  <conditionalFormatting sqref="O74">
    <cfRule type="containsText" dxfId="78" priority="21" stopIfTrue="1" operator="containsText" text="Cell G10 CANNOT be blank">
      <formula>NOT(ISERROR(SEARCH("Cell G10 CANNOT be blank",O74)))</formula>
    </cfRule>
  </conditionalFormatting>
  <conditionalFormatting sqref="R75">
    <cfRule type="containsText" dxfId="77" priority="19" stopIfTrue="1" operator="containsText" text="Missin">
      <formula>NOT(ISERROR(SEARCH("Missin",R75)))</formula>
    </cfRule>
    <cfRule type="containsText" dxfId="76" priority="20" stopIfTrue="1" operator="containsText" text="Cell G10 CANNOT be blank">
      <formula>NOT(ISERROR(SEARCH("Cell G10 CANNOT be blank",R75)))</formula>
    </cfRule>
  </conditionalFormatting>
  <conditionalFormatting sqref="R74">
    <cfRule type="containsText" dxfId="75" priority="18" stopIfTrue="1" operator="containsText" text="Cell G10 CANNOT be blank">
      <formula>NOT(ISERROR(SEARCH("Cell G10 CANNOT be blank",R74)))</formula>
    </cfRule>
  </conditionalFormatting>
  <conditionalFormatting sqref="U75">
    <cfRule type="containsText" dxfId="74" priority="16" stopIfTrue="1" operator="containsText" text="Missin">
      <formula>NOT(ISERROR(SEARCH("Missin",U75)))</formula>
    </cfRule>
    <cfRule type="containsText" dxfId="73" priority="17" stopIfTrue="1" operator="containsText" text="Cell G10 CANNOT be blank">
      <formula>NOT(ISERROR(SEARCH("Cell G10 CANNOT be blank",U75)))</formula>
    </cfRule>
  </conditionalFormatting>
  <conditionalFormatting sqref="O76 R76 U76">
    <cfRule type="containsText" dxfId="72" priority="14" stopIfTrue="1" operator="containsText" text="Cell G10 CANNOT be blank">
      <formula>NOT(ISERROR(SEARCH("Cell G10 CANNOT be blank",O76)))</formula>
    </cfRule>
  </conditionalFormatting>
  <conditionalFormatting sqref="L76">
    <cfRule type="containsText" dxfId="71" priority="12" stopIfTrue="1" operator="containsText" text="Missin">
      <formula>NOT(ISERROR(SEARCH("Missin",L76)))</formula>
    </cfRule>
    <cfRule type="containsText" dxfId="70" priority="13" stopIfTrue="1" operator="containsText" text="Cell G10 CANNOT be blank">
      <formula>NOT(ISERROR(SEARCH("Cell G10 CANNOT be blank",L76)))</formula>
    </cfRule>
  </conditionalFormatting>
  <conditionalFormatting sqref="J22">
    <cfRule type="containsText" dxfId="69" priority="10" stopIfTrue="1" operator="containsText" text="Missin">
      <formula>NOT(ISERROR(SEARCH("Missin",J22)))</formula>
    </cfRule>
    <cfRule type="containsText" dxfId="68" priority="11" stopIfTrue="1" operator="containsText" text="Cell G10 CANNOT be blank">
      <formula>NOT(ISERROR(SEARCH("Cell G10 CANNOT be blank",J22)))</formula>
    </cfRule>
  </conditionalFormatting>
  <conditionalFormatting sqref="J36">
    <cfRule type="containsText" dxfId="67" priority="8" stopIfTrue="1" operator="containsText" text="Missin">
      <formula>NOT(ISERROR(SEARCH("Missin",J36)))</formula>
    </cfRule>
    <cfRule type="containsText" dxfId="66" priority="9" stopIfTrue="1" operator="containsText" text="Cell G10 CANNOT be blank">
      <formula>NOT(ISERROR(SEARCH("Cell G10 CANNOT be blank",J36)))</formula>
    </cfRule>
  </conditionalFormatting>
  <conditionalFormatting sqref="J49">
    <cfRule type="containsText" dxfId="65" priority="6" stopIfTrue="1" operator="containsText" text="Missin">
      <formula>NOT(ISERROR(SEARCH("Missin",J49)))</formula>
    </cfRule>
    <cfRule type="containsText" dxfId="64" priority="7" stopIfTrue="1" operator="containsText" text="Cell G10 CANNOT be blank">
      <formula>NOT(ISERROR(SEARCH("Cell G10 CANNOT be blank",J49)))</formula>
    </cfRule>
  </conditionalFormatting>
  <conditionalFormatting sqref="J62">
    <cfRule type="containsText" dxfId="63" priority="4" stopIfTrue="1" operator="containsText" text="Missin">
      <formula>NOT(ISERROR(SEARCH("Missin",J62)))</formula>
    </cfRule>
    <cfRule type="containsText" dxfId="62" priority="5" stopIfTrue="1" operator="containsText" text="Cell G10 CANNOT be blank">
      <formula>NOT(ISERROR(SEARCH("Cell G10 CANNOT be blank",J62)))</formula>
    </cfRule>
  </conditionalFormatting>
  <conditionalFormatting sqref="J75">
    <cfRule type="containsText" dxfId="61" priority="2" stopIfTrue="1" operator="containsText" text="Missin">
      <formula>NOT(ISERROR(SEARCH("Missin",J75)))</formula>
    </cfRule>
    <cfRule type="containsText" dxfId="60" priority="3" stopIfTrue="1" operator="containsText" text="Cell G10 CANNOT be blank">
      <formula>NOT(ISERROR(SEARCH("Cell G10 CANNOT be blank",J75)))</formula>
    </cfRule>
  </conditionalFormatting>
  <conditionalFormatting sqref="A7">
    <cfRule type="containsText" dxfId="59" priority="1" stopIfTrue="1" operator="containsText" text="Enter">
      <formula>NOT(ISERROR(SEARCH("Enter",A7)))</formula>
    </cfRule>
  </conditionalFormatting>
  <printOptions horizontalCentered="1"/>
  <pageMargins left="0.25" right="0.25" top="0.75" bottom="0.75" header="0.3" footer="0.3"/>
  <pageSetup scale="49" fitToHeight="2" orientation="landscape" r:id="rId1"/>
  <headerFooter alignWithMargins="0">
    <oddHeader>&amp;RPage &amp;P of &amp;N</oddHeader>
  </headerFooter>
  <rowBreaks count="1" manualBreakCount="1">
    <brk id="50" max="21"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9">
    <tabColor theme="5"/>
    <pageSetUpPr fitToPage="1"/>
  </sheetPr>
  <dimension ref="A1:AH94"/>
  <sheetViews>
    <sheetView showGridLines="0" zoomScaleNormal="100" zoomScaleSheetLayoutView="100" workbookViewId="0">
      <pane xSplit="6" ySplit="6" topLeftCell="G7" activePane="bottomRight" state="frozen"/>
      <selection activeCell="J13" sqref="J13"/>
      <selection pane="topRight" activeCell="J13" sqref="J13"/>
      <selection pane="bottomLeft" activeCell="J13" sqref="J13"/>
      <selection pane="bottomRight" activeCell="G9" sqref="G9"/>
    </sheetView>
  </sheetViews>
  <sheetFormatPr defaultRowHeight="12.75"/>
  <cols>
    <col min="1" max="1" width="3.7109375" customWidth="1"/>
    <col min="2" max="2" width="11" customWidth="1"/>
    <col min="3" max="3" width="16.42578125" customWidth="1"/>
    <col min="4" max="4" width="29.7109375" customWidth="1"/>
    <col min="6" max="6" width="13.7109375" customWidth="1"/>
    <col min="7" max="8" width="19.42578125" customWidth="1"/>
    <col min="9" max="9" width="11.28515625" customWidth="1"/>
    <col min="10" max="10" width="18.7109375" customWidth="1"/>
    <col min="11" max="11" width="11.28515625" customWidth="1"/>
    <col min="12" max="12" width="83.5703125" style="1203" customWidth="1"/>
    <col min="13" max="32" width="9.28515625" customWidth="1"/>
  </cols>
  <sheetData>
    <row r="1" spans="1:34" s="2" customFormat="1" ht="15.75">
      <c r="A1" s="1645" t="str">
        <f>IF('INTERIM-CERTIFICATION'!$M$1="","CHARTER NAME: Enter Charter Name on INTERIM-CERTIFICATION Worksheet",(CONCATENATE("CHARTER NAME: ",'INTERIM-CERTIFICATION'!$M$1)))</f>
        <v>CHARTER NAME: Elite Academic Academy - Virtual Prep Lucerne</v>
      </c>
      <c r="B1" s="1645"/>
      <c r="C1" s="1645"/>
      <c r="D1" s="1645"/>
      <c r="E1" s="1645"/>
      <c r="F1" s="1645"/>
      <c r="G1" s="12"/>
      <c r="H1" s="12"/>
      <c r="I1" s="12"/>
      <c r="J1" s="1"/>
      <c r="K1" s="1"/>
      <c r="L1" s="1203"/>
      <c r="M1"/>
      <c r="N1"/>
      <c r="O1"/>
      <c r="P1"/>
      <c r="Q1"/>
      <c r="R1"/>
      <c r="S1"/>
      <c r="T1"/>
      <c r="U1"/>
      <c r="V1"/>
      <c r="W1"/>
      <c r="X1"/>
      <c r="Y1"/>
      <c r="Z1"/>
      <c r="AA1"/>
      <c r="AB1"/>
      <c r="AC1"/>
      <c r="AD1"/>
      <c r="AE1"/>
      <c r="AF1"/>
      <c r="AG1" s="1"/>
      <c r="AH1" s="1"/>
    </row>
    <row r="2" spans="1:34" s="2" customFormat="1" ht="15.75">
      <c r="A2" s="1645" t="str">
        <f>IF('INTERIM-CERTIFICATION'!$M$2="","CDS #: Enter Charter CDS # on INTERIM-CERTIFICATION Worksheet",(_xlfn.CONCAT("CDS #: ",'INTERIM-CERTIFICATION'!$M$2)))</f>
        <v>CDS #: 36-75051-0138107</v>
      </c>
      <c r="B2" s="1645"/>
      <c r="C2" s="1645"/>
      <c r="D2" s="1645"/>
      <c r="E2" s="1645"/>
      <c r="F2" s="1645"/>
      <c r="G2" s="82"/>
      <c r="H2" s="82"/>
      <c r="I2" s="82"/>
      <c r="J2" s="1"/>
      <c r="K2" s="1"/>
      <c r="L2" s="1203"/>
      <c r="M2"/>
      <c r="N2"/>
      <c r="O2"/>
      <c r="P2"/>
      <c r="Q2"/>
      <c r="R2"/>
      <c r="S2"/>
      <c r="T2"/>
      <c r="U2"/>
      <c r="V2"/>
      <c r="W2"/>
      <c r="X2"/>
      <c r="Y2"/>
      <c r="Z2"/>
      <c r="AA2"/>
      <c r="AB2"/>
      <c r="AC2"/>
      <c r="AD2"/>
      <c r="AE2"/>
      <c r="AF2"/>
      <c r="AG2" s="1"/>
      <c r="AH2" s="1"/>
    </row>
    <row r="3" spans="1:34" s="2" customFormat="1" ht="15.75">
      <c r="A3" s="1645" t="str">
        <f>IF('INTERIM-CERTIFICATION'!$M$5="","CHARTER #: Enter Charter # on INTERIM-CERTIFICATION Worksheet",(_xlfn.CONCAT("CHARTER #: ",'INTERIM-CERTIFICATION'!$M$5)))</f>
        <v>CHARTER #: 1975</v>
      </c>
      <c r="B3" s="1645"/>
      <c r="C3" s="1645"/>
      <c r="D3" s="1645"/>
      <c r="E3" s="1645"/>
      <c r="F3" s="1645"/>
      <c r="G3" s="12"/>
      <c r="H3" s="12"/>
      <c r="I3" s="12"/>
      <c r="J3" s="1"/>
      <c r="K3" s="1"/>
      <c r="L3" s="1203"/>
      <c r="M3"/>
      <c r="N3"/>
      <c r="O3"/>
      <c r="P3"/>
      <c r="Q3"/>
      <c r="R3"/>
      <c r="S3"/>
      <c r="T3"/>
      <c r="U3"/>
      <c r="V3"/>
      <c r="W3"/>
      <c r="X3"/>
      <c r="Y3"/>
      <c r="Z3"/>
      <c r="AA3"/>
      <c r="AB3"/>
      <c r="AC3"/>
      <c r="AD3"/>
      <c r="AE3"/>
      <c r="AF3"/>
      <c r="AG3" s="1"/>
      <c r="AH3" s="1"/>
    </row>
    <row r="4" spans="1:34" s="2" customFormat="1" ht="15.75">
      <c r="A4" s="1700" t="str">
        <f>'2nd Interim-ADA'!J4</f>
        <v>Fiscal Year 2022-23 Second Interim Report</v>
      </c>
      <c r="B4" s="1700"/>
      <c r="C4" s="1700"/>
      <c r="D4" s="1700"/>
      <c r="E4" s="1700"/>
      <c r="F4" s="1700"/>
      <c r="G4" s="1700"/>
      <c r="H4" s="1700"/>
      <c r="I4" s="1700"/>
      <c r="J4" s="1700"/>
      <c r="K4" s="1700"/>
      <c r="L4" s="1203"/>
      <c r="M4"/>
      <c r="N4"/>
      <c r="O4"/>
      <c r="P4"/>
      <c r="Q4"/>
      <c r="R4"/>
      <c r="S4"/>
      <c r="T4"/>
      <c r="U4"/>
      <c r="V4"/>
      <c r="W4"/>
      <c r="X4"/>
      <c r="Y4"/>
      <c r="Z4"/>
      <c r="AA4"/>
      <c r="AB4"/>
      <c r="AC4"/>
      <c r="AD4"/>
      <c r="AE4"/>
      <c r="AF4"/>
      <c r="AG4" s="1"/>
      <c r="AH4" s="1"/>
    </row>
    <row r="5" spans="1:34" s="2" customFormat="1" ht="16.5" thickBot="1">
      <c r="A5" s="1581" t="str">
        <f>Instructions!H1</f>
        <v>Form Orignated 5/16/2022</v>
      </c>
      <c r="B5" s="267"/>
      <c r="C5" s="267"/>
      <c r="D5" s="12"/>
      <c r="E5" s="12"/>
      <c r="F5" s="12"/>
      <c r="G5" s="12"/>
      <c r="H5" s="12"/>
      <c r="I5" s="12"/>
      <c r="J5" s="1"/>
      <c r="K5" s="12"/>
      <c r="L5" s="1203"/>
      <c r="M5"/>
      <c r="N5"/>
      <c r="O5"/>
      <c r="P5"/>
      <c r="Q5"/>
      <c r="R5"/>
      <c r="S5"/>
      <c r="T5"/>
      <c r="U5"/>
      <c r="V5"/>
      <c r="W5"/>
      <c r="X5"/>
      <c r="Y5"/>
      <c r="Z5"/>
      <c r="AA5"/>
      <c r="AB5"/>
      <c r="AC5"/>
      <c r="AD5"/>
      <c r="AE5"/>
      <c r="AF5"/>
      <c r="AG5" s="1"/>
      <c r="AH5" s="1"/>
    </row>
    <row r="6" spans="1:34" ht="16.5" thickBot="1">
      <c r="A6" s="684" t="s">
        <v>35</v>
      </c>
      <c r="B6" s="685"/>
      <c r="C6" s="685"/>
      <c r="D6" s="685"/>
      <c r="E6" s="685"/>
      <c r="F6" s="686"/>
      <c r="G6" s="281" t="str">
        <f>'Budget-Assumptions'!G6</f>
        <v>2022-23</v>
      </c>
      <c r="H6" s="282" t="str">
        <f>'Budget-Assumptions'!H6</f>
        <v>2023-24</v>
      </c>
      <c r="I6" s="282" t="s">
        <v>22</v>
      </c>
      <c r="J6" s="282" t="str">
        <f>'Budget-Assumptions'!J6</f>
        <v>2024-25</v>
      </c>
      <c r="K6" s="283" t="s">
        <v>22</v>
      </c>
    </row>
    <row r="7" spans="1:34" ht="15.75">
      <c r="A7" s="332"/>
      <c r="B7" s="1"/>
      <c r="C7" s="1"/>
      <c r="D7" s="1"/>
      <c r="E7" s="1"/>
      <c r="F7" s="1218"/>
      <c r="G7" s="1555"/>
      <c r="H7" s="168"/>
      <c r="I7" s="168"/>
      <c r="J7" s="168"/>
      <c r="K7" s="666"/>
    </row>
    <row r="8" spans="1:34" ht="15.75">
      <c r="A8" s="687" t="s">
        <v>328</v>
      </c>
      <c r="C8" s="155"/>
      <c r="D8" s="155"/>
      <c r="E8" s="155"/>
      <c r="F8" s="665"/>
      <c r="G8" s="667"/>
      <c r="H8" s="667"/>
      <c r="I8" s="655"/>
      <c r="J8" s="667"/>
      <c r="K8" s="656"/>
    </row>
    <row r="9" spans="1:34" ht="15.75">
      <c r="A9" s="68"/>
      <c r="B9" s="142" t="s">
        <v>250</v>
      </c>
      <c r="C9" s="141"/>
      <c r="D9" s="143"/>
      <c r="E9" s="141"/>
      <c r="F9" s="1505"/>
      <c r="G9" s="1506"/>
      <c r="H9" s="1506"/>
      <c r="I9" s="489">
        <f>SUM(H9-G9)</f>
        <v>0</v>
      </c>
      <c r="J9" s="1507"/>
      <c r="K9" s="488">
        <f>SUM(J9-H9)</f>
        <v>0</v>
      </c>
    </row>
    <row r="10" spans="1:34" ht="15.75" hidden="1" customHeight="1">
      <c r="A10" s="284"/>
      <c r="B10" s="144" t="s">
        <v>251</v>
      </c>
      <c r="C10" s="145"/>
      <c r="D10" s="143"/>
      <c r="E10" s="145"/>
      <c r="F10" s="1505"/>
      <c r="G10" s="1508">
        <v>1</v>
      </c>
      <c r="H10" s="1508">
        <v>1</v>
      </c>
      <c r="I10" s="489">
        <f>SUM(H10-G10)</f>
        <v>0</v>
      </c>
      <c r="J10" s="1507">
        <v>1</v>
      </c>
      <c r="K10" s="488">
        <f>SUM(J10-H10)</f>
        <v>0</v>
      </c>
    </row>
    <row r="11" spans="1:34" ht="15.75">
      <c r="A11" s="284"/>
      <c r="B11" s="144" t="s">
        <v>374</v>
      </c>
      <c r="C11" s="145"/>
      <c r="D11" s="145"/>
      <c r="E11" s="145"/>
      <c r="F11" s="1505"/>
      <c r="G11" s="1509"/>
      <c r="H11" s="1510"/>
      <c r="I11" s="489" t="e">
        <f>SUM(H11-G11)/G11</f>
        <v>#DIV/0!</v>
      </c>
      <c r="J11" s="1509"/>
      <c r="K11" s="488" t="e">
        <f>SUM(J11-H11)/H11</f>
        <v>#DIV/0!</v>
      </c>
    </row>
    <row r="12" spans="1:34" ht="15.75" hidden="1" customHeight="1">
      <c r="A12" s="284"/>
      <c r="B12" s="374" t="s">
        <v>327</v>
      </c>
      <c r="C12" s="145" t="s">
        <v>376</v>
      </c>
      <c r="D12" s="145"/>
      <c r="E12" s="145"/>
      <c r="F12" s="156"/>
      <c r="G12" s="691"/>
      <c r="H12" s="692"/>
      <c r="I12" s="203"/>
      <c r="J12" s="691"/>
      <c r="K12" s="286"/>
    </row>
    <row r="13" spans="1:34" ht="15.75" hidden="1" customHeight="1">
      <c r="A13" s="284"/>
      <c r="B13" s="144"/>
      <c r="C13" s="145" t="s">
        <v>252</v>
      </c>
      <c r="D13" s="145"/>
      <c r="E13" s="145"/>
      <c r="F13" s="156"/>
      <c r="G13" s="691"/>
      <c r="H13" s="692"/>
      <c r="I13" s="203"/>
      <c r="J13" s="691"/>
      <c r="K13" s="286"/>
    </row>
    <row r="14" spans="1:34" ht="15.75">
      <c r="A14" s="284"/>
      <c r="B14" s="333"/>
      <c r="C14" s="333"/>
      <c r="D14" s="333"/>
      <c r="E14" s="333"/>
      <c r="F14" s="668"/>
      <c r="G14" s="669"/>
      <c r="H14" s="670"/>
      <c r="I14" s="495"/>
      <c r="J14" s="671"/>
      <c r="K14" s="672"/>
    </row>
    <row r="15" spans="1:34" ht="15.75">
      <c r="A15" s="687" t="s">
        <v>344</v>
      </c>
      <c r="B15" s="134"/>
      <c r="C15" s="673"/>
      <c r="D15" s="673"/>
      <c r="E15" s="673"/>
      <c r="F15" s="674"/>
      <c r="G15" s="675"/>
      <c r="H15" s="675"/>
      <c r="I15" s="676"/>
      <c r="J15" s="675"/>
      <c r="K15" s="677"/>
    </row>
    <row r="16" spans="1:34" ht="15.75">
      <c r="A16" s="284"/>
      <c r="B16" s="144" t="s">
        <v>150</v>
      </c>
      <c r="C16" s="145"/>
      <c r="D16" s="145"/>
      <c r="E16" s="145"/>
      <c r="F16" s="1505"/>
      <c r="G16" s="1509"/>
      <c r="H16" s="1509"/>
      <c r="I16" s="1516">
        <f>H16-G16</f>
        <v>0</v>
      </c>
      <c r="J16" s="1509"/>
      <c r="K16" s="1517">
        <f>SUM(J16-H16)</f>
        <v>0</v>
      </c>
    </row>
    <row r="17" spans="1:11" ht="15.75">
      <c r="A17" s="284"/>
      <c r="B17" s="144" t="s">
        <v>151</v>
      </c>
      <c r="C17" s="145"/>
      <c r="D17" s="145"/>
      <c r="E17" s="145"/>
      <c r="F17" s="1505"/>
      <c r="G17" s="1509"/>
      <c r="H17" s="1509"/>
      <c r="I17" s="1516">
        <f>H17-G17</f>
        <v>0</v>
      </c>
      <c r="J17" s="1509"/>
      <c r="K17" s="1517">
        <f>SUM(J17-H17)</f>
        <v>0</v>
      </c>
    </row>
    <row r="18" spans="1:11" ht="15.75">
      <c r="A18" s="284"/>
      <c r="B18" s="333"/>
      <c r="C18" s="333"/>
      <c r="D18" s="333"/>
      <c r="E18" s="333"/>
      <c r="F18" s="668"/>
      <c r="G18" s="669"/>
      <c r="H18" s="670"/>
      <c r="I18" s="495"/>
      <c r="J18" s="671"/>
      <c r="K18" s="672"/>
    </row>
    <row r="19" spans="1:11" ht="15.75">
      <c r="A19" s="688" t="s">
        <v>201</v>
      </c>
      <c r="C19" s="166"/>
      <c r="D19" s="166"/>
      <c r="E19" s="166"/>
      <c r="F19" s="665"/>
      <c r="G19" s="678"/>
      <c r="H19" s="678"/>
      <c r="I19" s="553"/>
      <c r="J19" s="679"/>
      <c r="K19" s="554"/>
    </row>
    <row r="20" spans="1:11" ht="15.75">
      <c r="A20" s="284"/>
      <c r="B20" s="144" t="s">
        <v>152</v>
      </c>
      <c r="C20" s="145"/>
      <c r="D20" s="145"/>
      <c r="E20" s="145"/>
      <c r="F20" s="1518"/>
      <c r="G20" s="1519">
        <f>'2nd Interim-ADA'!N75</f>
        <v>0</v>
      </c>
      <c r="H20" s="1520">
        <f>'2nd Interim-ADA'!Q75</f>
        <v>0</v>
      </c>
      <c r="I20" s="1521">
        <f>H20-G20</f>
        <v>0</v>
      </c>
      <c r="J20" s="1520">
        <f>'2nd Interim-ADA'!T75</f>
        <v>0</v>
      </c>
      <c r="K20" s="1532">
        <f>J20-H20</f>
        <v>0</v>
      </c>
    </row>
    <row r="21" spans="1:11" ht="48.75" customHeight="1">
      <c r="A21" s="284"/>
      <c r="B21" s="654" t="s">
        <v>154</v>
      </c>
      <c r="C21" s="145"/>
      <c r="D21" s="145"/>
      <c r="E21" s="145"/>
      <c r="F21" s="1518"/>
      <c r="G21" s="1522" t="str">
        <f>IF(('2nd Interim-ADA'!O75="Cell G10 CANNOT be blank"), "Missing Data 2nd Interim-ADA Tab, cell G10",'2nd Interim-ADA'!O75)</f>
        <v>Missing Data 2nd Interim-ADA Tab, cell G10</v>
      </c>
      <c r="H21" s="1522" t="str">
        <f>IF(('2nd Interim-ADA'!R75="Cell G10 CANNOT be blank"), "Missing Data 2nd Interim-ADA Tab, cell G10",'2nd Interim-ADA'!R75)</f>
        <v>Missing Data 2nd Interim-ADA Tab, cell G10</v>
      </c>
      <c r="I21" s="1521" t="e">
        <f>H21-G21</f>
        <v>#VALUE!</v>
      </c>
      <c r="J21" s="1522" t="str">
        <f>IF(('2nd Interim-ADA'!U75="Cell G10 CANNOT be blank"), "Missing Data 2nd Interim-ADA Tab, cell G10",'2nd Interim-ADA'!U75)</f>
        <v>Missing Data 2nd Interim-ADA Tab, cell G10</v>
      </c>
      <c r="K21" s="1532" t="e">
        <f>J21-H21</f>
        <v>#VALUE!</v>
      </c>
    </row>
    <row r="22" spans="1:11" ht="15.75">
      <c r="A22" s="284"/>
      <c r="B22" s="144" t="s">
        <v>153</v>
      </c>
      <c r="C22" s="145"/>
      <c r="D22" s="145"/>
      <c r="E22" s="145"/>
      <c r="F22" s="1518"/>
      <c r="G22" s="1523">
        <f>'2nd Interim-ADA'!O74</f>
        <v>0</v>
      </c>
      <c r="H22" s="1520">
        <f>'2nd Interim-ADA'!R74</f>
        <v>0</v>
      </c>
      <c r="I22" s="1521">
        <f>H22-G22</f>
        <v>0</v>
      </c>
      <c r="J22" s="1520">
        <f>'2nd Interim-ADA'!U74</f>
        <v>0</v>
      </c>
      <c r="K22" s="1532">
        <f>J22-H22</f>
        <v>0</v>
      </c>
    </row>
    <row r="23" spans="1:11" ht="15.75">
      <c r="A23" s="68"/>
      <c r="B23" s="147" t="s">
        <v>36</v>
      </c>
      <c r="C23" s="141"/>
      <c r="D23" s="141"/>
      <c r="E23" s="141"/>
      <c r="F23" s="1518"/>
      <c r="G23" s="1524">
        <f>SUM(G21:G22)</f>
        <v>0</v>
      </c>
      <c r="H23" s="1524">
        <f>SUM(H21:H22)</f>
        <v>0</v>
      </c>
      <c r="I23" s="1521">
        <f>H23-G23</f>
        <v>0</v>
      </c>
      <c r="J23" s="1524">
        <f>SUM(J21:J22)</f>
        <v>0</v>
      </c>
      <c r="K23" s="1532">
        <f>J23-H23</f>
        <v>0</v>
      </c>
    </row>
    <row r="24" spans="1:11" ht="15.75">
      <c r="A24" s="285"/>
      <c r="B24" s="148" t="s">
        <v>140</v>
      </c>
      <c r="C24" s="149"/>
      <c r="D24" s="149"/>
      <c r="E24" s="150" t="s">
        <v>336</v>
      </c>
      <c r="F24" s="1525"/>
      <c r="G24" s="1526"/>
      <c r="H24" s="1526"/>
      <c r="I24" s="1521">
        <f>H24-G24</f>
        <v>0</v>
      </c>
      <c r="J24" s="1526"/>
      <c r="K24" s="1532">
        <f>J24-H24</f>
        <v>0</v>
      </c>
    </row>
    <row r="25" spans="1:11" ht="15.75">
      <c r="A25" s="285"/>
      <c r="B25" s="148" t="s">
        <v>203</v>
      </c>
      <c r="C25" s="149"/>
      <c r="D25" s="149"/>
      <c r="E25" s="152"/>
      <c r="F25" s="1527"/>
      <c r="G25" s="489" t="e">
        <f>(G24-F24)/F24</f>
        <v>#DIV/0!</v>
      </c>
      <c r="H25" s="489" t="e">
        <f>(H24-G24)/G24</f>
        <v>#DIV/0!</v>
      </c>
      <c r="I25" s="1514" t="s">
        <v>2</v>
      </c>
      <c r="J25" s="489" t="e">
        <f>(J24-H24)/H24</f>
        <v>#DIV/0!</v>
      </c>
      <c r="K25" s="1515" t="s">
        <v>2</v>
      </c>
    </row>
    <row r="26" spans="1:11" ht="15.75">
      <c r="A26" s="285"/>
      <c r="B26" s="148" t="s">
        <v>202</v>
      </c>
      <c r="C26" s="149"/>
      <c r="D26" s="149"/>
      <c r="E26" s="219" t="str">
        <f>'2nd Interim-ADA'!$I$7</f>
        <v>2021-22</v>
      </c>
      <c r="F26" s="1528" t="e">
        <f>'2nd Interim-ADA'!$J$76/F24</f>
        <v>#DIV/0!</v>
      </c>
      <c r="G26" s="489" t="e">
        <f>G23/G24</f>
        <v>#DIV/0!</v>
      </c>
      <c r="H26" s="489" t="e">
        <f>H23/H24</f>
        <v>#DIV/0!</v>
      </c>
      <c r="I26" s="1514" t="s">
        <v>2</v>
      </c>
      <c r="J26" s="489" t="e">
        <f>J23/J24</f>
        <v>#DIV/0!</v>
      </c>
      <c r="K26" s="1515" t="s">
        <v>2</v>
      </c>
    </row>
    <row r="27" spans="1:11" ht="15.75">
      <c r="A27" s="285"/>
      <c r="B27" s="148" t="s">
        <v>369</v>
      </c>
      <c r="C27" s="149"/>
      <c r="D27" s="149"/>
      <c r="E27" s="150" t="s">
        <v>359</v>
      </c>
      <c r="F27" s="1525"/>
      <c r="G27" s="1526"/>
      <c r="H27" s="1526"/>
      <c r="I27" s="1521">
        <f>H27-G27</f>
        <v>0</v>
      </c>
      <c r="J27" s="1526"/>
      <c r="K27" s="1532">
        <f>J27-H27</f>
        <v>0</v>
      </c>
    </row>
    <row r="28" spans="1:11" ht="16.5">
      <c r="A28" s="285"/>
      <c r="B28" s="148" t="s">
        <v>489</v>
      </c>
      <c r="C28" s="149"/>
      <c r="D28" s="149"/>
      <c r="E28" s="219" t="str">
        <f>E26</f>
        <v>2021-22</v>
      </c>
      <c r="F28" s="1408"/>
      <c r="G28" s="1529"/>
      <c r="H28" s="1529"/>
      <c r="I28" s="1514"/>
      <c r="J28" s="1529"/>
      <c r="K28" s="1515" t="s">
        <v>2</v>
      </c>
    </row>
    <row r="29" spans="1:11" ht="15.75">
      <c r="A29" s="284"/>
      <c r="B29" s="333"/>
      <c r="C29" s="333"/>
      <c r="D29" s="333"/>
      <c r="E29" s="333"/>
      <c r="F29" s="1218"/>
      <c r="G29" s="669"/>
      <c r="H29" s="670"/>
      <c r="I29" s="495"/>
      <c r="J29" s="671"/>
      <c r="K29" s="672"/>
    </row>
    <row r="30" spans="1:11" ht="15.75">
      <c r="A30" s="689" t="s">
        <v>205</v>
      </c>
      <c r="C30" s="155"/>
      <c r="D30" s="155"/>
      <c r="E30" s="155"/>
      <c r="F30" s="152"/>
      <c r="G30" s="1322"/>
      <c r="H30" s="1322"/>
      <c r="I30" s="553"/>
      <c r="J30" s="680"/>
      <c r="K30" s="554"/>
    </row>
    <row r="31" spans="1:11" ht="15.75">
      <c r="A31" s="68"/>
      <c r="B31" s="147" t="s">
        <v>233</v>
      </c>
      <c r="C31" s="141"/>
      <c r="D31" s="141"/>
      <c r="E31" s="141"/>
      <c r="F31" s="1518"/>
      <c r="G31" s="1530"/>
      <c r="H31" s="1530"/>
      <c r="I31" s="1521">
        <f>H31-G31</f>
        <v>0</v>
      </c>
      <c r="J31" s="1531"/>
      <c r="K31" s="1532">
        <f>J31-H31</f>
        <v>0</v>
      </c>
    </row>
    <row r="32" spans="1:11" ht="15.75">
      <c r="A32" s="68"/>
      <c r="B32" s="147" t="s">
        <v>498</v>
      </c>
      <c r="C32" s="141"/>
      <c r="D32" s="141"/>
      <c r="E32" s="141"/>
      <c r="F32" s="1533"/>
      <c r="G32" s="1530"/>
      <c r="H32" s="1530"/>
      <c r="I32" s="1521">
        <f>SUM(H32-G32)</f>
        <v>0</v>
      </c>
      <c r="J32" s="1531"/>
      <c r="K32" s="1532">
        <f>SUM(J32-H32)</f>
        <v>0</v>
      </c>
    </row>
    <row r="33" spans="1:11" ht="15.75">
      <c r="A33" s="68"/>
      <c r="B33" s="147" t="s">
        <v>385</v>
      </c>
      <c r="C33" s="141"/>
      <c r="D33" s="141"/>
      <c r="E33" s="141"/>
      <c r="F33" s="1533"/>
      <c r="G33" s="1534"/>
      <c r="H33" s="1534"/>
      <c r="I33" s="1521">
        <f>SUM(H33-G33)</f>
        <v>0</v>
      </c>
      <c r="J33" s="1531"/>
      <c r="K33" s="1532">
        <f>SUM(J33-H33)</f>
        <v>0</v>
      </c>
    </row>
    <row r="34" spans="1:11" ht="15.75">
      <c r="A34" s="285"/>
      <c r="B34" s="151" t="s">
        <v>204</v>
      </c>
      <c r="C34" s="141"/>
      <c r="D34" s="149"/>
      <c r="E34" s="149"/>
      <c r="F34" s="1533"/>
      <c r="G34" s="1521" t="e">
        <f>G24/G31</f>
        <v>#DIV/0!</v>
      </c>
      <c r="H34" s="1521" t="e">
        <f>H24/H31</f>
        <v>#DIV/0!</v>
      </c>
      <c r="I34" s="1521" t="e">
        <f>H34-G34</f>
        <v>#DIV/0!</v>
      </c>
      <c r="J34" s="1521" t="e">
        <f>J24/J31</f>
        <v>#DIV/0!</v>
      </c>
      <c r="K34" s="1532" t="e">
        <f>J34-H34</f>
        <v>#DIV/0!</v>
      </c>
    </row>
    <row r="35" spans="1:11" ht="15.75">
      <c r="A35" s="68"/>
      <c r="B35" s="147" t="s">
        <v>347</v>
      </c>
      <c r="C35" s="141"/>
      <c r="D35" s="141"/>
      <c r="E35" s="141"/>
      <c r="F35" s="1518"/>
      <c r="G35" s="1535"/>
      <c r="H35" s="1535"/>
      <c r="I35" s="1521">
        <f>H35-G35</f>
        <v>0</v>
      </c>
      <c r="J35" s="1535"/>
      <c r="K35" s="1532">
        <f>J35-H35</f>
        <v>0</v>
      </c>
    </row>
    <row r="36" spans="1:11" ht="15.75">
      <c r="A36" s="68"/>
      <c r="B36" s="142" t="s">
        <v>486</v>
      </c>
      <c r="C36" s="141"/>
      <c r="D36" s="141"/>
      <c r="E36" s="141"/>
      <c r="F36" s="1518"/>
      <c r="G36" s="1536"/>
      <c r="H36" s="1536"/>
      <c r="I36" s="634" t="str">
        <f>IF(H36&lt;1," ",IF(G36&lt;1," ",(H36-G36)/G36))</f>
        <v xml:space="preserve"> </v>
      </c>
      <c r="J36" s="1536"/>
      <c r="K36" s="488" t="str">
        <f>IF(J36&lt;1," ",IF(H36&lt;1," ",(J36-H36)/H36))</f>
        <v xml:space="preserve"> </v>
      </c>
    </row>
    <row r="37" spans="1:11" ht="15.75">
      <c r="A37" s="68"/>
      <c r="B37" s="142" t="s">
        <v>487</v>
      </c>
      <c r="C37" s="141"/>
      <c r="D37" s="141"/>
      <c r="E37" s="141"/>
      <c r="F37" s="1518"/>
      <c r="G37" s="1536"/>
      <c r="H37" s="1536"/>
      <c r="I37" s="634" t="str">
        <f>IF(G37&lt;1," ",IF(H37&lt;1," ",(H37-G37)/G37))</f>
        <v xml:space="preserve"> </v>
      </c>
      <c r="J37" s="1536"/>
      <c r="K37" s="488" t="str">
        <f>IF(H37&lt;1," ",IF(J37&lt;1," ",(J37-H37)/H37))</f>
        <v xml:space="preserve"> </v>
      </c>
    </row>
    <row r="38" spans="1:11" ht="15.75">
      <c r="A38" s="68"/>
      <c r="B38" s="142" t="s">
        <v>488</v>
      </c>
      <c r="C38" s="141"/>
      <c r="D38" s="141"/>
      <c r="E38" s="141"/>
      <c r="F38" s="1518"/>
      <c r="G38" s="1536"/>
      <c r="H38" s="1536"/>
      <c r="I38" s="634" t="str">
        <f>IF(G38&lt;1," ",IF(H38&lt;1," ",(H38-G38)/G38))</f>
        <v xml:space="preserve"> </v>
      </c>
      <c r="J38" s="1536"/>
      <c r="K38" s="488" t="str">
        <f>IF(H38&lt;1," ",IF(J38&lt;1," ",(J38-H38)/H38))</f>
        <v xml:space="preserve"> </v>
      </c>
    </row>
    <row r="39" spans="1:11" ht="15.75">
      <c r="A39" s="68"/>
      <c r="B39" s="147" t="s">
        <v>389</v>
      </c>
      <c r="C39" s="141"/>
      <c r="D39" s="141"/>
      <c r="E39" s="141"/>
      <c r="F39" s="1518"/>
      <c r="G39" s="1536"/>
      <c r="H39" s="1536"/>
      <c r="I39" s="489" t="str">
        <f>IF(G39&lt;1," ",IF(H39&lt;1," ",(H39-G39)/G39))</f>
        <v xml:space="preserve"> </v>
      </c>
      <c r="J39" s="1536"/>
      <c r="K39" s="488" t="str">
        <f>IF(H39&lt;1," ",IF(J39&lt;1," ",(J39-H39)/H39))</f>
        <v xml:space="preserve"> </v>
      </c>
    </row>
    <row r="40" spans="1:11" ht="15.75">
      <c r="A40" s="68"/>
      <c r="B40" s="147" t="s">
        <v>507</v>
      </c>
      <c r="C40" s="141"/>
      <c r="D40" s="141"/>
      <c r="E40" s="141"/>
      <c r="F40" s="1518"/>
      <c r="G40" s="1536"/>
      <c r="H40" s="1536"/>
      <c r="I40" s="489" t="str">
        <f>IF(G40&lt;1," ",IF(H40&lt;1," ",(H40-G40)/G40))</f>
        <v xml:space="preserve"> </v>
      </c>
      <c r="J40" s="1536"/>
      <c r="K40" s="488" t="str">
        <f>IF(H40&lt;1," ",IF(J40&lt;1," ",(J40-H40)/H40))</f>
        <v xml:space="preserve"> </v>
      </c>
    </row>
    <row r="41" spans="1:11" ht="15.75">
      <c r="A41" s="68"/>
      <c r="B41" s="147" t="s">
        <v>234</v>
      </c>
      <c r="C41" s="141"/>
      <c r="D41" s="141"/>
      <c r="E41" s="141"/>
      <c r="F41" s="1518"/>
      <c r="G41" s="1536"/>
      <c r="H41" s="1536"/>
      <c r="I41" s="489" t="str">
        <f>IF(H41&lt;1," ",IF(G41&lt;1," ",(H41-G41)/G41))</f>
        <v xml:space="preserve"> </v>
      </c>
      <c r="J41" s="1536"/>
      <c r="K41" s="488" t="str">
        <f>IF(J41&lt;1," ",IF(H41&lt;1," ",(J41-H41)/H41))</f>
        <v xml:space="preserve"> </v>
      </c>
    </row>
    <row r="42" spans="1:11" ht="15.75">
      <c r="A42" s="68"/>
      <c r="B42" s="142" t="s">
        <v>513</v>
      </c>
      <c r="C42" s="141"/>
      <c r="D42" s="141"/>
      <c r="E42" s="141"/>
      <c r="F42" s="1518"/>
      <c r="G42" s="1536"/>
      <c r="H42" s="1536"/>
      <c r="I42" s="489" t="str">
        <f>IF(H42&lt;1," ",IF(G42&lt;1," ",(H42-G42)/G42))</f>
        <v xml:space="preserve"> </v>
      </c>
      <c r="J42" s="1536"/>
      <c r="K42" s="488" t="str">
        <f>IF(J42&lt;1," ",IF(H42&lt;1," ",(J42-H42)/H42))</f>
        <v xml:space="preserve"> </v>
      </c>
    </row>
    <row r="43" spans="1:11" ht="15.75">
      <c r="A43" s="68"/>
      <c r="B43" s="142" t="s">
        <v>447</v>
      </c>
      <c r="C43" s="141"/>
      <c r="D43" s="141"/>
      <c r="E43" s="141"/>
      <c r="F43" s="1518"/>
      <c r="G43" s="1333"/>
      <c r="H43" s="1333"/>
      <c r="I43" s="489">
        <f>H43-G43</f>
        <v>0</v>
      </c>
      <c r="J43" s="1333"/>
      <c r="K43" s="488">
        <f>J43-H43</f>
        <v>0</v>
      </c>
    </row>
    <row r="44" spans="1:11" ht="7.5" customHeight="1">
      <c r="A44" s="68"/>
      <c r="B44" s="1282"/>
      <c r="C44" s="153"/>
      <c r="D44" s="153"/>
      <c r="E44" s="153"/>
      <c r="F44" s="1283"/>
      <c r="G44" s="1284"/>
      <c r="H44" s="1284"/>
      <c r="I44" s="1285"/>
      <c r="J44" s="1284"/>
      <c r="K44" s="1546"/>
    </row>
    <row r="45" spans="1:11" ht="12" customHeight="1">
      <c r="A45" s="68"/>
      <c r="B45" s="1321" t="s">
        <v>509</v>
      </c>
      <c r="C45" s="1"/>
      <c r="D45" s="1"/>
      <c r="E45" s="1"/>
      <c r="G45" s="1284"/>
      <c r="H45" s="1284"/>
      <c r="I45" s="1379"/>
      <c r="J45" s="1284"/>
      <c r="K45" s="1594"/>
    </row>
    <row r="46" spans="1:11" ht="51" customHeight="1">
      <c r="A46" s="68"/>
      <c r="B46" s="1697"/>
      <c r="C46" s="1698"/>
      <c r="D46" s="1698"/>
      <c r="E46" s="1698"/>
      <c r="F46" s="1698"/>
      <c r="G46" s="1698"/>
      <c r="H46" s="1698"/>
      <c r="I46" s="1698"/>
      <c r="J46" s="1698"/>
      <c r="K46" s="1699"/>
    </row>
    <row r="47" spans="1:11" ht="15.75">
      <c r="A47" s="68"/>
      <c r="B47" s="1695" t="s">
        <v>392</v>
      </c>
      <c r="C47" s="1695"/>
      <c r="D47" s="1695"/>
      <c r="E47" s="1695"/>
      <c r="F47" s="1695"/>
      <c r="G47" s="1695"/>
      <c r="H47" s="1695"/>
      <c r="I47" s="1695"/>
      <c r="J47" s="1695"/>
      <c r="K47" s="1696"/>
    </row>
    <row r="48" spans="1:11" ht="42" customHeight="1">
      <c r="A48" s="68"/>
      <c r="B48" s="1697"/>
      <c r="C48" s="1698"/>
      <c r="D48" s="1698"/>
      <c r="E48" s="1698"/>
      <c r="F48" s="1698"/>
      <c r="G48" s="1698"/>
      <c r="H48" s="1698"/>
      <c r="I48" s="1698"/>
      <c r="J48" s="1698"/>
      <c r="K48" s="1699"/>
    </row>
    <row r="49" spans="1:11" ht="15.75">
      <c r="A49" s="284"/>
      <c r="B49" s="1217"/>
      <c r="C49" s="1217"/>
      <c r="D49" s="1217"/>
      <c r="E49" s="1217"/>
      <c r="F49" s="1218"/>
      <c r="G49" s="1219"/>
      <c r="H49" s="1220"/>
      <c r="I49" s="1053"/>
      <c r="J49" s="1221"/>
      <c r="K49" s="313"/>
    </row>
    <row r="50" spans="1:11" ht="15.75">
      <c r="A50" s="689" t="s">
        <v>384</v>
      </c>
      <c r="C50" s="155"/>
      <c r="D50" s="155"/>
      <c r="E50" s="155"/>
      <c r="F50" s="152"/>
      <c r="G50" s="1322"/>
      <c r="H50" s="1322"/>
      <c r="I50" s="553"/>
      <c r="J50" s="680"/>
      <c r="K50" s="554"/>
    </row>
    <row r="51" spans="1:11" ht="15.75">
      <c r="A51" s="68"/>
      <c r="B51" s="147" t="s">
        <v>463</v>
      </c>
      <c r="C51" s="141"/>
      <c r="D51" s="141"/>
      <c r="E51" s="141"/>
      <c r="F51" s="1518"/>
      <c r="G51" s="1530"/>
      <c r="H51" s="1530"/>
      <c r="I51" s="1521">
        <f>SUM(H51-G51)</f>
        <v>0</v>
      </c>
      <c r="J51" s="1531"/>
      <c r="K51" s="1532">
        <f>SUM(J51-H51)</f>
        <v>0</v>
      </c>
    </row>
    <row r="52" spans="1:11" ht="15.75">
      <c r="A52" s="68"/>
      <c r="B52" s="147" t="s">
        <v>462</v>
      </c>
      <c r="C52" s="141"/>
      <c r="D52" s="141"/>
      <c r="E52" s="141"/>
      <c r="F52" s="1518"/>
      <c r="G52" s="1530"/>
      <c r="H52" s="1530"/>
      <c r="I52" s="1521">
        <f>SUM(H52-G52)</f>
        <v>0</v>
      </c>
      <c r="J52" s="1531"/>
      <c r="K52" s="1532">
        <f>SUM(J52-H52)</f>
        <v>0</v>
      </c>
    </row>
    <row r="53" spans="1:11" ht="15.75">
      <c r="A53" s="68"/>
      <c r="B53" s="142" t="s">
        <v>494</v>
      </c>
      <c r="C53" s="141"/>
      <c r="D53" s="141"/>
      <c r="E53" s="141"/>
      <c r="F53" s="1518"/>
      <c r="G53" s="1536"/>
      <c r="H53" s="1536"/>
      <c r="I53" s="634" t="str">
        <f t="shared" ref="I53:I58" si="0">IF(G53&lt;1," ",IF(H53&lt;1," ",(H53-G53)/G53))</f>
        <v xml:space="preserve"> </v>
      </c>
      <c r="J53" s="1536"/>
      <c r="K53" s="488" t="str">
        <f t="shared" ref="K53:K58" si="1">IF(H53&lt;1," ",IF(J53&lt;1," ",(J53-H53)/H53))</f>
        <v xml:space="preserve"> </v>
      </c>
    </row>
    <row r="54" spans="1:11" ht="15.75">
      <c r="A54" s="68"/>
      <c r="B54" s="142" t="s">
        <v>495</v>
      </c>
      <c r="C54" s="141"/>
      <c r="D54" s="141"/>
      <c r="E54" s="141"/>
      <c r="F54" s="1518"/>
      <c r="G54" s="1536"/>
      <c r="H54" s="1536"/>
      <c r="I54" s="634" t="str">
        <f t="shared" si="0"/>
        <v xml:space="preserve"> </v>
      </c>
      <c r="J54" s="1536"/>
      <c r="K54" s="488" t="str">
        <f t="shared" si="1"/>
        <v xml:space="preserve"> </v>
      </c>
    </row>
    <row r="55" spans="1:11" ht="15.75">
      <c r="A55" s="68"/>
      <c r="B55" s="147" t="s">
        <v>388</v>
      </c>
      <c r="C55" s="141"/>
      <c r="D55" s="141"/>
      <c r="E55" s="141"/>
      <c r="F55" s="1518"/>
      <c r="G55" s="1536"/>
      <c r="H55" s="1536"/>
      <c r="I55" s="489" t="str">
        <f t="shared" si="0"/>
        <v xml:space="preserve"> </v>
      </c>
      <c r="J55" s="1536"/>
      <c r="K55" s="488" t="str">
        <f t="shared" si="1"/>
        <v xml:space="preserve"> </v>
      </c>
    </row>
    <row r="56" spans="1:11" ht="15.75">
      <c r="A56" s="68"/>
      <c r="B56" s="147" t="s">
        <v>507</v>
      </c>
      <c r="C56" s="141"/>
      <c r="D56" s="141"/>
      <c r="E56" s="141"/>
      <c r="F56" s="1518"/>
      <c r="G56" s="1536"/>
      <c r="H56" s="1536"/>
      <c r="I56" s="489" t="str">
        <f t="shared" si="0"/>
        <v xml:space="preserve"> </v>
      </c>
      <c r="J56" s="1536"/>
      <c r="K56" s="488" t="str">
        <f t="shared" si="1"/>
        <v xml:space="preserve"> </v>
      </c>
    </row>
    <row r="57" spans="1:11" ht="15.75">
      <c r="A57" s="68"/>
      <c r="B57" s="147" t="s">
        <v>387</v>
      </c>
      <c r="C57" s="141"/>
      <c r="D57" s="141"/>
      <c r="E57" s="141"/>
      <c r="F57" s="1518"/>
      <c r="G57" s="1536"/>
      <c r="H57" s="1536"/>
      <c r="I57" s="489" t="str">
        <f t="shared" si="0"/>
        <v xml:space="preserve"> </v>
      </c>
      <c r="J57" s="1536"/>
      <c r="K57" s="488" t="str">
        <f t="shared" si="1"/>
        <v xml:space="preserve"> </v>
      </c>
    </row>
    <row r="58" spans="1:11" ht="15.75">
      <c r="A58" s="68"/>
      <c r="B58" s="142" t="s">
        <v>512</v>
      </c>
      <c r="C58" s="141"/>
      <c r="D58" s="141"/>
      <c r="E58" s="141"/>
      <c r="F58" s="1518"/>
      <c r="G58" s="1536"/>
      <c r="H58" s="1536"/>
      <c r="I58" s="489" t="str">
        <f t="shared" si="0"/>
        <v xml:space="preserve"> </v>
      </c>
      <c r="J58" s="1536"/>
      <c r="K58" s="488" t="str">
        <f t="shared" si="1"/>
        <v xml:space="preserve"> </v>
      </c>
    </row>
    <row r="59" spans="1:11" ht="15.75">
      <c r="A59" s="68"/>
      <c r="B59" s="142" t="s">
        <v>448</v>
      </c>
      <c r="C59" s="141"/>
      <c r="D59" s="141"/>
      <c r="E59" s="141"/>
      <c r="F59" s="1518"/>
      <c r="G59" s="1333"/>
      <c r="H59" s="1333"/>
      <c r="I59" s="489">
        <f>H59-G59</f>
        <v>0</v>
      </c>
      <c r="J59" s="1333"/>
      <c r="K59" s="488">
        <f>J59-H59</f>
        <v>0</v>
      </c>
    </row>
    <row r="60" spans="1:11" ht="6.75" customHeight="1">
      <c r="A60" s="68"/>
      <c r="B60" s="1282"/>
      <c r="C60" s="153"/>
      <c r="D60" s="153"/>
      <c r="E60" s="153"/>
      <c r="F60" s="1283"/>
      <c r="G60" s="1284"/>
      <c r="H60" s="1284"/>
      <c r="I60" s="1285"/>
      <c r="J60" s="1284"/>
      <c r="K60" s="1546"/>
    </row>
    <row r="61" spans="1:11" ht="12" customHeight="1">
      <c r="A61" s="68"/>
      <c r="B61" s="1321" t="s">
        <v>509</v>
      </c>
      <c r="C61" s="1"/>
      <c r="D61" s="1"/>
      <c r="E61" s="1"/>
      <c r="G61" s="1284"/>
      <c r="H61" s="1284"/>
      <c r="I61" s="1379"/>
      <c r="J61" s="1284"/>
      <c r="K61" s="1594"/>
    </row>
    <row r="62" spans="1:11" ht="51" customHeight="1">
      <c r="A62" s="68"/>
      <c r="B62" s="1697"/>
      <c r="C62" s="1698"/>
      <c r="D62" s="1698"/>
      <c r="E62" s="1698"/>
      <c r="F62" s="1698"/>
      <c r="G62" s="1698"/>
      <c r="H62" s="1698"/>
      <c r="I62" s="1698"/>
      <c r="J62" s="1698"/>
      <c r="K62" s="1699"/>
    </row>
    <row r="63" spans="1:11" ht="15.75">
      <c r="A63" s="68"/>
      <c r="B63" s="1695" t="s">
        <v>392</v>
      </c>
      <c r="C63" s="1695"/>
      <c r="D63" s="1695"/>
      <c r="E63" s="1695"/>
      <c r="F63" s="1695"/>
      <c r="G63" s="1695"/>
      <c r="H63" s="1695"/>
      <c r="I63" s="1695"/>
      <c r="J63" s="1695"/>
      <c r="K63" s="1696"/>
    </row>
    <row r="64" spans="1:11" ht="42" customHeight="1">
      <c r="A64" s="68"/>
      <c r="B64" s="1697"/>
      <c r="C64" s="1698"/>
      <c r="D64" s="1698"/>
      <c r="E64" s="1698"/>
      <c r="F64" s="1698"/>
      <c r="G64" s="1698"/>
      <c r="H64" s="1698"/>
      <c r="I64" s="1698"/>
      <c r="J64" s="1698"/>
      <c r="K64" s="1699"/>
    </row>
    <row r="65" spans="1:13">
      <c r="A65" s="239"/>
      <c r="H65" s="1547"/>
      <c r="J65" s="1547"/>
      <c r="K65" s="472"/>
    </row>
    <row r="66" spans="1:13" ht="15.75">
      <c r="A66" s="689" t="s">
        <v>452</v>
      </c>
      <c r="K66" s="472"/>
      <c r="M66" s="1281"/>
    </row>
    <row r="67" spans="1:13" ht="15.75">
      <c r="A67" s="239"/>
      <c r="B67" s="1247" t="s">
        <v>497</v>
      </c>
      <c r="C67" s="1248"/>
      <c r="D67" s="146"/>
      <c r="E67" s="146"/>
      <c r="F67" s="1518"/>
      <c r="G67" s="1537"/>
      <c r="H67" s="1333"/>
      <c r="I67" s="489">
        <f>H67-G67</f>
        <v>0</v>
      </c>
      <c r="J67" s="1333"/>
      <c r="K67" s="488">
        <f>J67-H67</f>
        <v>0</v>
      </c>
      <c r="M67" s="1281"/>
    </row>
    <row r="68" spans="1:13" ht="15.75">
      <c r="A68" s="239"/>
      <c r="B68" s="1247" t="s">
        <v>496</v>
      </c>
      <c r="C68" s="146"/>
      <c r="D68" s="146"/>
      <c r="E68" s="146"/>
      <c r="F68" s="1518"/>
      <c r="G68" s="1537"/>
      <c r="H68" s="1333"/>
      <c r="I68" s="489">
        <f>H68-G68</f>
        <v>0</v>
      </c>
      <c r="J68" s="1333"/>
      <c r="K68" s="488">
        <f>J68-H68</f>
        <v>0</v>
      </c>
      <c r="M68" s="1281"/>
    </row>
    <row r="69" spans="1:13" ht="15.75">
      <c r="A69" s="239"/>
      <c r="B69" s="1247" t="s">
        <v>455</v>
      </c>
      <c r="C69" s="146"/>
      <c r="D69" s="146"/>
      <c r="E69" s="146"/>
      <c r="F69" s="1518"/>
      <c r="G69" s="1399"/>
      <c r="H69" s="1333"/>
      <c r="I69" s="489">
        <f>H69-G69</f>
        <v>0</v>
      </c>
      <c r="J69" s="1333"/>
      <c r="K69" s="488">
        <f>J69-H69</f>
        <v>0</v>
      </c>
      <c r="M69" s="1281"/>
    </row>
    <row r="70" spans="1:13" ht="15.75">
      <c r="A70" s="239"/>
      <c r="B70" s="1247" t="s">
        <v>456</v>
      </c>
      <c r="C70" s="146"/>
      <c r="D70" s="146"/>
      <c r="E70" s="146"/>
      <c r="F70" s="1518"/>
      <c r="G70" s="1561"/>
      <c r="H70" s="1561"/>
      <c r="I70" s="1538">
        <f>H70-G70</f>
        <v>0</v>
      </c>
      <c r="J70" s="1561"/>
      <c r="K70" s="488">
        <f>J70-H70</f>
        <v>0</v>
      </c>
    </row>
    <row r="71" spans="1:13" ht="15.75">
      <c r="A71" s="284"/>
      <c r="B71" s="333"/>
      <c r="C71" s="333"/>
      <c r="D71" s="333"/>
      <c r="E71" s="333"/>
      <c r="F71" s="668"/>
      <c r="G71" s="1219"/>
      <c r="H71" s="1220"/>
      <c r="I71" s="1053"/>
      <c r="J71" s="1221"/>
      <c r="K71" s="672"/>
    </row>
    <row r="72" spans="1:13" ht="15.75">
      <c r="A72" s="687" t="s">
        <v>339</v>
      </c>
      <c r="B72" s="166"/>
      <c r="C72" s="166"/>
      <c r="D72" s="166"/>
      <c r="E72" s="166"/>
      <c r="F72" s="665"/>
      <c r="G72" s="1219"/>
      <c r="H72" s="1220"/>
      <c r="I72" s="553"/>
      <c r="J72" s="1556"/>
      <c r="K72" s="554"/>
    </row>
    <row r="73" spans="1:13" ht="15.75">
      <c r="A73" s="68"/>
      <c r="B73" s="1557" t="s">
        <v>340</v>
      </c>
      <c r="C73" s="141"/>
      <c r="D73" s="141"/>
      <c r="E73" s="141"/>
      <c r="F73" s="1518"/>
      <c r="G73" s="1536"/>
      <c r="H73" s="1536"/>
      <c r="I73" s="489" t="str">
        <f>IF(G73&lt;1," ",IF(H73&lt;1," ",(H73-G73)/G73))</f>
        <v xml:space="preserve"> </v>
      </c>
      <c r="J73" s="1536"/>
      <c r="K73" s="488" t="str">
        <f>IF(H73&lt;1," ",IF(J73&lt;1," ",(J73-H73)/H73))</f>
        <v xml:space="preserve"> </v>
      </c>
    </row>
    <row r="74" spans="1:13" ht="15.75">
      <c r="A74" s="68"/>
      <c r="B74" s="147" t="s">
        <v>341</v>
      </c>
      <c r="C74" s="141"/>
      <c r="D74" s="141"/>
      <c r="E74" s="141"/>
      <c r="F74" s="1518"/>
      <c r="G74" s="1536"/>
      <c r="H74" s="1536"/>
      <c r="I74" s="489" t="str">
        <f>IF(G74&lt;1," ",IF(H74&lt;1," ",(H74-G74)/G74))</f>
        <v xml:space="preserve"> </v>
      </c>
      <c r="J74" s="1536"/>
      <c r="K74" s="488" t="str">
        <f>IF(H74&lt;1," ",IF(J74&lt;1," ",(J74-H74)/H74))</f>
        <v xml:space="preserve"> </v>
      </c>
    </row>
    <row r="75" spans="1:13" ht="15.75">
      <c r="A75" s="68"/>
      <c r="B75" s="147" t="s">
        <v>342</v>
      </c>
      <c r="C75" s="141"/>
      <c r="D75" s="141"/>
      <c r="E75" s="141"/>
      <c r="F75" s="1518"/>
      <c r="G75" s="1536"/>
      <c r="H75" s="1536"/>
      <c r="I75" s="489" t="str">
        <f>IF(G75&lt;1," ",IF(H75&lt;1," ",(H75-G75)/G75))</f>
        <v xml:space="preserve"> </v>
      </c>
      <c r="J75" s="1536"/>
      <c r="K75" s="488" t="str">
        <f>IF(H75&lt;1," ",IF(J75&lt;1," ",(J75-H75)/H75))</f>
        <v xml:space="preserve"> </v>
      </c>
    </row>
    <row r="76" spans="1:13" ht="15.75">
      <c r="A76" s="68"/>
      <c r="B76" s="147" t="s">
        <v>161</v>
      </c>
      <c r="C76" s="141"/>
      <c r="D76" s="141"/>
      <c r="E76" s="141"/>
      <c r="F76" s="1518"/>
      <c r="G76" s="1536"/>
      <c r="H76" s="1536"/>
      <c r="I76" s="489" t="str">
        <f>IF(G76&lt;1," ",IF(H76&lt;1," ",(H76-G76)/G76))</f>
        <v xml:space="preserve"> </v>
      </c>
      <c r="J76" s="1536"/>
      <c r="K76" s="488" t="str">
        <f>IF(H76&lt;1," ",IF(J76&lt;1," ",(J76-H76)/H76))</f>
        <v xml:space="preserve"> </v>
      </c>
    </row>
    <row r="77" spans="1:13" ht="10.5" customHeight="1">
      <c r="A77" s="68"/>
      <c r="B77" s="1282"/>
      <c r="C77" s="153"/>
      <c r="D77" s="153"/>
      <c r="E77" s="153"/>
      <c r="F77" s="1283"/>
      <c r="G77" s="1284"/>
      <c r="H77" s="1284"/>
      <c r="I77" s="1285"/>
      <c r="J77" s="1284"/>
      <c r="K77" s="1546"/>
    </row>
    <row r="78" spans="1:13" ht="15.75">
      <c r="A78" s="68"/>
      <c r="B78" s="1695" t="s">
        <v>464</v>
      </c>
      <c r="C78" s="1695"/>
      <c r="D78" s="1695"/>
      <c r="E78" s="1695"/>
      <c r="F78" s="1695"/>
      <c r="G78" s="1695"/>
      <c r="H78" s="1695"/>
      <c r="I78" s="1695"/>
      <c r="J78" s="1695"/>
      <c r="K78" s="1696"/>
    </row>
    <row r="79" spans="1:13" ht="42" customHeight="1">
      <c r="A79" s="68"/>
      <c r="B79" s="1697"/>
      <c r="C79" s="1698"/>
      <c r="D79" s="1698"/>
      <c r="E79" s="1698"/>
      <c r="F79" s="1698"/>
      <c r="G79" s="1698"/>
      <c r="H79" s="1698"/>
      <c r="I79" s="1698"/>
      <c r="J79" s="1698"/>
      <c r="K79" s="1699"/>
    </row>
    <row r="80" spans="1:13" ht="10.5" customHeight="1">
      <c r="A80" s="1286"/>
      <c r="B80" s="1287"/>
      <c r="C80" s="1287"/>
      <c r="D80" s="1287"/>
      <c r="E80" s="1287"/>
      <c r="F80" s="668"/>
      <c r="G80" s="1288"/>
      <c r="H80" s="1289"/>
      <c r="I80" s="1290"/>
      <c r="J80" s="1291"/>
      <c r="K80" s="1292"/>
    </row>
    <row r="81" spans="1:11" ht="15.75">
      <c r="A81" s="306" t="s">
        <v>206</v>
      </c>
      <c r="C81" s="1"/>
      <c r="D81" s="1"/>
      <c r="E81" s="1"/>
      <c r="F81" s="152"/>
      <c r="G81" s="1558"/>
      <c r="H81" s="1558"/>
      <c r="I81" s="159"/>
      <c r="J81" s="1558"/>
      <c r="K81" s="1294"/>
    </row>
    <row r="82" spans="1:11" ht="15.75">
      <c r="A82" s="68"/>
      <c r="B82" s="693">
        <v>0.01</v>
      </c>
      <c r="C82" s="141" t="s">
        <v>41</v>
      </c>
      <c r="D82" s="141"/>
      <c r="E82" s="141"/>
      <c r="F82" s="1518"/>
      <c r="G82" s="1548">
        <f>B82*('2nd Interim-Summary MYP'!H13+'2nd Interim-Summary MYP'!H14+'2nd Interim-Summary MYP'!H15+'2nd Interim-Summary MYP'!H16)</f>
        <v>0</v>
      </c>
      <c r="H82" s="1548">
        <f>B82*('2nd Interim-Summary MYP'!J13+'2nd Interim-Summary MYP'!J14+'2nd Interim-Summary MYP'!J15+'2nd Interim-Summary MYP'!J16)</f>
        <v>0</v>
      </c>
      <c r="I82" s="298" t="str">
        <f>IF(G82&lt;1," ",IF(H82&lt;1," ",(H82-G82)/G82))</f>
        <v xml:space="preserve"> </v>
      </c>
      <c r="J82" s="1548">
        <f>B82*('2nd Interim-Summary MYP'!L13+'2nd Interim-Summary MYP'!L14+'2nd Interim-Summary MYP'!L15+'2nd Interim-Summary MYP'!L16)</f>
        <v>0</v>
      </c>
      <c r="K82" s="926" t="str">
        <f>IF(H82&lt;1," ",IF(J82&lt;1," ",(J82-H82)/H82))</f>
        <v xml:space="preserve"> </v>
      </c>
    </row>
    <row r="83" spans="1:11" ht="15.75">
      <c r="A83" s="68"/>
      <c r="B83" s="154"/>
      <c r="C83" s="141" t="s">
        <v>235</v>
      </c>
      <c r="D83" s="141"/>
      <c r="E83" s="141"/>
      <c r="F83" s="1518"/>
      <c r="G83" s="1540"/>
      <c r="H83" s="1540"/>
      <c r="I83" s="489" t="str">
        <f>IF(G83&lt;1," ",IF(H83&lt;1," ",(H83-G83)/G83))</f>
        <v xml:space="preserve"> </v>
      </c>
      <c r="J83" s="1540"/>
      <c r="K83" s="488" t="str">
        <f>IF(H83&lt;1," ",IF(J83&lt;1," ",(J83-H83)/H83))</f>
        <v xml:space="preserve"> </v>
      </c>
    </row>
    <row r="84" spans="1:11" ht="15.75">
      <c r="A84" s="68"/>
      <c r="B84" s="147"/>
      <c r="C84" s="141" t="s">
        <v>249</v>
      </c>
      <c r="D84" s="141"/>
      <c r="E84" s="141"/>
      <c r="F84" s="1518"/>
      <c r="G84" s="1540"/>
      <c r="H84" s="1540"/>
      <c r="I84" s="489" t="str">
        <f>IF(G84&lt;1," ",IF(H84&lt;1," ",(H84-G84)/G84))</f>
        <v xml:space="preserve"> </v>
      </c>
      <c r="J84" s="1540"/>
      <c r="K84" s="488" t="str">
        <f>IF(H84&lt;1," ",IF(J84&lt;1," ",(J84-H84)/H84))</f>
        <v xml:space="preserve"> </v>
      </c>
    </row>
    <row r="85" spans="1:11" ht="11.25" customHeight="1">
      <c r="A85" s="284"/>
      <c r="B85" s="333"/>
      <c r="C85" s="333"/>
      <c r="D85" s="333"/>
      <c r="E85" s="333"/>
      <c r="F85" s="668"/>
      <c r="G85" s="669"/>
      <c r="H85" s="670"/>
      <c r="I85" s="495"/>
      <c r="J85" s="671"/>
      <c r="K85" s="672"/>
    </row>
    <row r="86" spans="1:11" ht="15.75">
      <c r="A86" s="687" t="s">
        <v>345</v>
      </c>
      <c r="C86" s="155"/>
      <c r="D86" s="155"/>
      <c r="E86" s="155"/>
      <c r="F86" s="152"/>
      <c r="G86" s="681"/>
      <c r="H86" s="681"/>
      <c r="I86" s="682"/>
      <c r="J86" s="681"/>
      <c r="K86" s="683"/>
    </row>
    <row r="87" spans="1:11" ht="15.75">
      <c r="A87" s="287"/>
      <c r="B87" s="1701"/>
      <c r="C87" s="1701"/>
      <c r="D87" s="1701"/>
      <c r="E87" s="1701"/>
      <c r="F87" s="1701"/>
      <c r="G87" s="1540"/>
      <c r="H87" s="1540"/>
      <c r="I87" s="1541" t="str">
        <f t="shared" ref="I87:I94" si="2">IF(G87&lt;1," ",IF(H87&lt;1," ",(H87-G87)/G87))</f>
        <v xml:space="preserve"> </v>
      </c>
      <c r="J87" s="1540"/>
      <c r="K87" s="608" t="str">
        <f t="shared" ref="K87:K94" si="3">IF(H87&lt;1," ",IF(J87&lt;1," ",(J87-H87)/H87))</f>
        <v xml:space="preserve"> </v>
      </c>
    </row>
    <row r="88" spans="1:11" ht="15.75">
      <c r="A88" s="287"/>
      <c r="B88" s="1701"/>
      <c r="C88" s="1701"/>
      <c r="D88" s="1701"/>
      <c r="E88" s="1701"/>
      <c r="F88" s="1701"/>
      <c r="G88" s="1540"/>
      <c r="H88" s="1540"/>
      <c r="I88" s="489" t="str">
        <f t="shared" si="2"/>
        <v xml:space="preserve"> </v>
      </c>
      <c r="J88" s="1540"/>
      <c r="K88" s="488" t="str">
        <f t="shared" si="3"/>
        <v xml:space="preserve"> </v>
      </c>
    </row>
    <row r="89" spans="1:11" ht="15.75">
      <c r="A89" s="287"/>
      <c r="B89" s="1701"/>
      <c r="C89" s="1701"/>
      <c r="D89" s="1701"/>
      <c r="E89" s="1701"/>
      <c r="F89" s="1701"/>
      <c r="G89" s="1540"/>
      <c r="H89" s="1540"/>
      <c r="I89" s="489" t="str">
        <f t="shared" si="2"/>
        <v xml:space="preserve"> </v>
      </c>
      <c r="J89" s="1540"/>
      <c r="K89" s="488" t="str">
        <f t="shared" si="3"/>
        <v xml:space="preserve"> </v>
      </c>
    </row>
    <row r="90" spans="1:11" ht="15.75">
      <c r="A90" s="287"/>
      <c r="B90" s="1701"/>
      <c r="C90" s="1701"/>
      <c r="D90" s="1701"/>
      <c r="E90" s="1701"/>
      <c r="F90" s="1701"/>
      <c r="G90" s="1540"/>
      <c r="H90" s="1540"/>
      <c r="I90" s="489" t="str">
        <f t="shared" si="2"/>
        <v xml:space="preserve"> </v>
      </c>
      <c r="J90" s="1540"/>
      <c r="K90" s="488" t="str">
        <f t="shared" si="3"/>
        <v xml:space="preserve"> </v>
      </c>
    </row>
    <row r="91" spans="1:11" ht="15.75">
      <c r="A91" s="287"/>
      <c r="B91" s="1701"/>
      <c r="C91" s="1701"/>
      <c r="D91" s="1701"/>
      <c r="E91" s="1701"/>
      <c r="F91" s="1701"/>
      <c r="G91" s="1540"/>
      <c r="H91" s="1540"/>
      <c r="I91" s="489" t="str">
        <f t="shared" si="2"/>
        <v xml:space="preserve"> </v>
      </c>
      <c r="J91" s="1540"/>
      <c r="K91" s="488" t="str">
        <f t="shared" si="3"/>
        <v xml:space="preserve"> </v>
      </c>
    </row>
    <row r="92" spans="1:11" ht="15.75">
      <c r="A92" s="287"/>
      <c r="B92" s="1701"/>
      <c r="C92" s="1701"/>
      <c r="D92" s="1701"/>
      <c r="E92" s="1701"/>
      <c r="F92" s="1701"/>
      <c r="G92" s="1540"/>
      <c r="H92" s="1540"/>
      <c r="I92" s="489" t="str">
        <f t="shared" si="2"/>
        <v xml:space="preserve"> </v>
      </c>
      <c r="J92" s="1540"/>
      <c r="K92" s="488" t="str">
        <f t="shared" si="3"/>
        <v xml:space="preserve"> </v>
      </c>
    </row>
    <row r="93" spans="1:11" ht="15.75">
      <c r="A93" s="287"/>
      <c r="B93" s="1701"/>
      <c r="C93" s="1701"/>
      <c r="D93" s="1701"/>
      <c r="E93" s="1701"/>
      <c r="F93" s="1701"/>
      <c r="G93" s="1542"/>
      <c r="H93" s="1542"/>
      <c r="I93" s="489" t="str">
        <f t="shared" si="2"/>
        <v xml:space="preserve"> </v>
      </c>
      <c r="J93" s="1542"/>
      <c r="K93" s="488" t="str">
        <f t="shared" si="3"/>
        <v xml:space="preserve"> </v>
      </c>
    </row>
    <row r="94" spans="1:11" ht="16.5" thickBot="1">
      <c r="A94" s="288"/>
      <c r="B94" s="1702"/>
      <c r="C94" s="1702"/>
      <c r="D94" s="1702"/>
      <c r="E94" s="1702"/>
      <c r="F94" s="1702"/>
      <c r="G94" s="1543"/>
      <c r="H94" s="1543"/>
      <c r="I94" s="1544" t="str">
        <f t="shared" si="2"/>
        <v xml:space="preserve"> </v>
      </c>
      <c r="J94" s="1543"/>
      <c r="K94" s="1545" t="str">
        <f t="shared" si="3"/>
        <v xml:space="preserve"> </v>
      </c>
    </row>
  </sheetData>
  <sheetProtection password="D94D" sheet="1"/>
  <mergeCells count="20">
    <mergeCell ref="B94:F94"/>
    <mergeCell ref="B92:F92"/>
    <mergeCell ref="B93:F93"/>
    <mergeCell ref="B88:F88"/>
    <mergeCell ref="B89:F89"/>
    <mergeCell ref="A1:F1"/>
    <mergeCell ref="A2:F2"/>
    <mergeCell ref="A3:F3"/>
    <mergeCell ref="B90:F90"/>
    <mergeCell ref="B91:F91"/>
    <mergeCell ref="B87:F87"/>
    <mergeCell ref="B47:K47"/>
    <mergeCell ref="B48:K48"/>
    <mergeCell ref="B63:K63"/>
    <mergeCell ref="B64:K64"/>
    <mergeCell ref="A4:K4"/>
    <mergeCell ref="B78:K78"/>
    <mergeCell ref="B79:K79"/>
    <mergeCell ref="B46:K46"/>
    <mergeCell ref="B62:K62"/>
  </mergeCells>
  <conditionalFormatting sqref="J21">
    <cfRule type="containsText" dxfId="58" priority="1" stopIfTrue="1" operator="containsText" text="Missing">
      <formula>NOT(ISERROR(SEARCH("Missing",J21)))</formula>
    </cfRule>
    <cfRule type="containsText" dxfId="57" priority="2" stopIfTrue="1" operator="containsText" text="Missing Data ADA Tab, cell G10">
      <formula>NOT(ISERROR(SEARCH("Missing Data ADA Tab, cell G10",J21)))</formula>
    </cfRule>
    <cfRule type="containsText" dxfId="56" priority="3" stopIfTrue="1" operator="containsText" text="Missing Data ADA Tab cell G10">
      <formula>NOT(ISERROR(SEARCH("Missing Data ADA Tab cell G10",J21)))</formula>
    </cfRule>
  </conditionalFormatting>
  <conditionalFormatting sqref="G21:H21 J21">
    <cfRule type="cellIs" dxfId="55" priority="17" stopIfTrue="1" operator="equal">
      <formula>"Cell G11 can NOT be blank"</formula>
    </cfRule>
  </conditionalFormatting>
  <conditionalFormatting sqref="G21">
    <cfRule type="containsText" dxfId="54" priority="9" stopIfTrue="1" operator="containsText" text="Missing">
      <formula>NOT(ISERROR(SEARCH("Missing",G21)))</formula>
    </cfRule>
    <cfRule type="containsText" dxfId="53" priority="15" stopIfTrue="1" operator="containsText" text="Missing Data ADA Tab, cell G10">
      <formula>NOT(ISERROR(SEARCH("Missing Data ADA Tab, cell G10",G21)))</formula>
    </cfRule>
    <cfRule type="containsText" dxfId="52" priority="16" stopIfTrue="1" operator="containsText" text="Missing Data ADA Tab cell G10">
      <formula>NOT(ISERROR(SEARCH("Missing Data ADA Tab cell G10",G21)))</formula>
    </cfRule>
  </conditionalFormatting>
  <conditionalFormatting sqref="H21">
    <cfRule type="containsText" dxfId="51" priority="13" stopIfTrue="1" operator="containsText" text="Missing Data ADA Tab, cell G10">
      <formula>NOT(ISERROR(SEARCH("Missing Data ADA Tab, cell G10",H21)))</formula>
    </cfRule>
    <cfRule type="containsText" dxfId="50" priority="14" stopIfTrue="1" operator="containsText" text="Missing Data ADA Tab cell G10">
      <formula>NOT(ISERROR(SEARCH("Missing Data ADA Tab cell G10",H21)))</formula>
    </cfRule>
  </conditionalFormatting>
  <conditionalFormatting sqref="J21">
    <cfRule type="containsText" dxfId="49" priority="11" stopIfTrue="1" operator="containsText" text="Missing Data ADA Tab, cell G10">
      <formula>NOT(ISERROR(SEARCH("Missing Data ADA Tab, cell G10",J21)))</formula>
    </cfRule>
    <cfRule type="containsText" dxfId="48" priority="12" stopIfTrue="1" operator="containsText" text="Missing Data ADA Tab cell G10">
      <formula>NOT(ISERROR(SEARCH("Missing Data ADA Tab cell G10",J21)))</formula>
    </cfRule>
  </conditionalFormatting>
  <conditionalFormatting sqref="A1:A3">
    <cfRule type="containsText" dxfId="47" priority="10" stopIfTrue="1" operator="containsText" text="Enter">
      <formula>NOT(ISERROR(SEARCH("Enter",A1)))</formula>
    </cfRule>
  </conditionalFormatting>
  <conditionalFormatting sqref="H21">
    <cfRule type="containsText" dxfId="46" priority="6" stopIfTrue="1" operator="containsText" text="Missing">
      <formula>NOT(ISERROR(SEARCH("Missing",H21)))</formula>
    </cfRule>
    <cfRule type="containsText" dxfId="45" priority="7" stopIfTrue="1" operator="containsText" text="Missing Data ADA Tab, cell G10">
      <formula>NOT(ISERROR(SEARCH("Missing Data ADA Tab, cell G10",H21)))</formula>
    </cfRule>
    <cfRule type="containsText" dxfId="44" priority="8" stopIfTrue="1" operator="containsText" text="Missing Data ADA Tab cell G10">
      <formula>NOT(ISERROR(SEARCH("Missing Data ADA Tab cell G10",H21)))</formula>
    </cfRule>
  </conditionalFormatting>
  <conditionalFormatting sqref="J21">
    <cfRule type="containsText" dxfId="43" priority="4" stopIfTrue="1" operator="containsText" text="Missing Data ADA Tab, cell G10">
      <formula>NOT(ISERROR(SEARCH("Missing Data ADA Tab, cell G10",J21)))</formula>
    </cfRule>
    <cfRule type="containsText" dxfId="42" priority="5" stopIfTrue="1" operator="containsText" text="Missing Data ADA Tab cell G10">
      <formula>NOT(ISERROR(SEARCH("Missing Data ADA Tab cell G10",J21)))</formula>
    </cfRule>
  </conditionalFormatting>
  <printOptions horizontalCentered="1"/>
  <pageMargins left="0.25" right="0.25" top="0.75" bottom="0.75" header="0.3" footer="0.3"/>
  <pageSetup scale="63" fitToHeight="0"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0">
    <tabColor theme="5"/>
    <pageSetUpPr fitToPage="1"/>
  </sheetPr>
  <dimension ref="A1:N239"/>
  <sheetViews>
    <sheetView showGridLines="0" zoomScaleNormal="100" workbookViewId="0">
      <pane xSplit="4" ySplit="10" topLeftCell="E11" activePane="bottomRight" state="frozen"/>
      <selection activeCell="J13" sqref="J13"/>
      <selection pane="topRight" activeCell="J13" sqref="J13"/>
      <selection pane="bottomLeft" activeCell="J13" sqref="J13"/>
      <selection pane="bottomRight" activeCell="G13" sqref="G13"/>
    </sheetView>
  </sheetViews>
  <sheetFormatPr defaultColWidth="9.28515625" defaultRowHeight="12.75"/>
  <cols>
    <col min="1" max="1" width="5.42578125" customWidth="1"/>
    <col min="2" max="2" width="3" customWidth="1"/>
    <col min="3" max="3" width="85.28515625" customWidth="1"/>
    <col min="4" max="4" width="11" customWidth="1"/>
    <col min="5" max="8" width="14.5703125" customWidth="1"/>
    <col min="9" max="9" width="10.5703125" customWidth="1"/>
    <col min="10" max="10" width="14.5703125" customWidth="1"/>
    <col min="11" max="11" width="10.5703125" customWidth="1"/>
    <col min="12" max="12" width="14.5703125" customWidth="1"/>
    <col min="13" max="13" width="10.5703125" customWidth="1"/>
    <col min="14" max="14" width="60.28515625" style="1203" customWidth="1"/>
    <col min="15" max="33" width="9.28515625" customWidth="1"/>
  </cols>
  <sheetData>
    <row r="1" spans="1:13" ht="15.75">
      <c r="A1" s="1645" t="str">
        <f>IF('INTERIM-CERTIFICATION'!$M$1="","CHARTER NAME: Enter Charter Name on INTERIM-CERTIFICATION Worksheet",(CONCATENATE("CHARTER NAME: ",'INTERIM-CERTIFICATION'!$M$1)))</f>
        <v>CHARTER NAME: Elite Academic Academy - Virtual Prep Lucerne</v>
      </c>
      <c r="B1" s="1645"/>
      <c r="C1" s="1645"/>
      <c r="D1" s="209"/>
      <c r="E1" s="12"/>
      <c r="F1" s="12"/>
      <c r="G1" s="158"/>
      <c r="H1" s="157"/>
      <c r="I1" s="1"/>
      <c r="J1" s="159"/>
      <c r="K1" s="1"/>
      <c r="L1" s="159"/>
      <c r="M1" s="1"/>
    </row>
    <row r="2" spans="1:13" ht="15.75">
      <c r="A2" s="1645" t="str">
        <f>IF('INTERIM-CERTIFICATION'!$M$2="","CDS #: Enter Charter CDS # on INTERIM-CERTIFICATION Worksheet",(_xlfn.CONCAT("CDS #: ",'INTERIM-CERTIFICATION'!$M$2)))</f>
        <v>CDS #: 36-75051-0138107</v>
      </c>
      <c r="B2" s="1645"/>
      <c r="C2" s="1645"/>
      <c r="D2" s="209"/>
      <c r="E2" s="12"/>
      <c r="F2" s="82"/>
      <c r="G2" s="158"/>
      <c r="H2" s="158"/>
      <c r="I2" s="1"/>
      <c r="J2" s="159"/>
      <c r="K2" s="1"/>
      <c r="L2" s="159"/>
      <c r="M2" s="1"/>
    </row>
    <row r="3" spans="1:13" ht="15.75">
      <c r="A3" s="1645" t="str">
        <f>IF('INTERIM-CERTIFICATION'!$M$5="","CHARTER #: Enter Charter # on INTERIM-CERTIFICATION Worksheet",(_xlfn.CONCAT("CHARTER #: ",'INTERIM-CERTIFICATION'!$M$5)))</f>
        <v>CHARTER #: 1975</v>
      </c>
      <c r="B3" s="1645"/>
      <c r="C3" s="1645"/>
      <c r="D3" s="209"/>
      <c r="E3" s="12"/>
      <c r="F3" s="12"/>
      <c r="G3" s="157"/>
      <c r="H3" s="157"/>
      <c r="I3" s="1"/>
      <c r="J3" s="159"/>
      <c r="K3" s="1"/>
      <c r="L3" s="159"/>
      <c r="M3" s="1"/>
    </row>
    <row r="4" spans="1:13" ht="15.75">
      <c r="A4" s="2"/>
      <c r="B4" s="53"/>
      <c r="C4" s="53"/>
      <c r="D4" s="160" t="str">
        <f>'2nd Interim-ADA'!J4</f>
        <v>Fiscal Year 2022-23 Second Interim Report</v>
      </c>
      <c r="E4" s="53"/>
      <c r="F4" s="53"/>
      <c r="G4" s="53"/>
      <c r="H4" s="53"/>
      <c r="I4" s="53"/>
      <c r="J4" s="53"/>
      <c r="K4" s="53"/>
      <c r="L4" s="53"/>
      <c r="M4" s="53"/>
    </row>
    <row r="5" spans="1:13" ht="15.75">
      <c r="A5" s="12"/>
      <c r="B5" s="12"/>
      <c r="C5" s="53"/>
      <c r="D5" s="160" t="s">
        <v>207</v>
      </c>
      <c r="E5" s="53"/>
      <c r="F5" s="53"/>
      <c r="G5" s="161"/>
      <c r="H5" s="161"/>
      <c r="I5" s="1"/>
      <c r="J5" s="162"/>
      <c r="K5" s="1"/>
      <c r="L5" s="162"/>
      <c r="M5" s="1"/>
    </row>
    <row r="6" spans="1:13" ht="16.5" thickBot="1">
      <c r="A6" s="1580" t="str">
        <f>Instructions!H1</f>
        <v>Form Orignated 5/16/2022</v>
      </c>
      <c r="B6" s="12"/>
      <c r="C6" s="12"/>
      <c r="D6" s="12"/>
      <c r="E6" s="12"/>
      <c r="F6" s="12"/>
      <c r="G6" s="157"/>
      <c r="H6" s="157"/>
      <c r="I6" s="1"/>
      <c r="J6" s="159"/>
      <c r="K6" s="1"/>
      <c r="L6" s="159"/>
      <c r="M6" s="1"/>
    </row>
    <row r="7" spans="1:13" ht="15.75">
      <c r="A7" s="242"/>
      <c r="B7" s="237"/>
      <c r="C7" s="237"/>
      <c r="D7" s="299"/>
      <c r="E7" s="300"/>
      <c r="F7" s="301" t="s">
        <v>168</v>
      </c>
      <c r="G7" s="301" t="s">
        <v>164</v>
      </c>
      <c r="H7" s="301" t="str">
        <f>$G$7</f>
        <v>Second Interim</v>
      </c>
      <c r="I7" s="300"/>
      <c r="J7" s="302" t="str">
        <f>$G$7</f>
        <v>Second Interim</v>
      </c>
      <c r="K7" s="300"/>
      <c r="L7" s="302" t="str">
        <f>$G$7</f>
        <v>Second Interim</v>
      </c>
      <c r="M7" s="462"/>
    </row>
    <row r="8" spans="1:13" ht="15.75">
      <c r="A8" s="1703" t="s">
        <v>21</v>
      </c>
      <c r="B8" s="1704"/>
      <c r="C8" s="1704"/>
      <c r="D8" s="54"/>
      <c r="E8" s="14" t="s">
        <v>17</v>
      </c>
      <c r="F8" s="163" t="s">
        <v>19</v>
      </c>
      <c r="G8" s="455" t="s">
        <v>61</v>
      </c>
      <c r="H8" s="163" t="s">
        <v>19</v>
      </c>
      <c r="I8" s="14" t="s">
        <v>18</v>
      </c>
      <c r="J8" s="303" t="s">
        <v>19</v>
      </c>
      <c r="K8" s="14" t="s">
        <v>18</v>
      </c>
      <c r="L8" s="303" t="s">
        <v>19</v>
      </c>
      <c r="M8" s="463" t="s">
        <v>18</v>
      </c>
    </row>
    <row r="9" spans="1:13" ht="15.75">
      <c r="A9" s="68"/>
      <c r="B9" s="1"/>
      <c r="C9" s="1"/>
      <c r="D9" s="54"/>
      <c r="E9" s="14" t="s">
        <v>16</v>
      </c>
      <c r="F9" s="163" t="s">
        <v>16</v>
      </c>
      <c r="G9" s="163" t="s">
        <v>247</v>
      </c>
      <c r="H9" s="163" t="s">
        <v>16</v>
      </c>
      <c r="I9" s="14" t="s">
        <v>22</v>
      </c>
      <c r="J9" s="303" t="s">
        <v>16</v>
      </c>
      <c r="K9" s="14" t="s">
        <v>22</v>
      </c>
      <c r="L9" s="303" t="s">
        <v>16</v>
      </c>
      <c r="M9" s="463" t="s">
        <v>22</v>
      </c>
    </row>
    <row r="10" spans="1:13" ht="16.5" thickBot="1">
      <c r="A10" s="304"/>
      <c r="B10" s="164"/>
      <c r="C10" s="164"/>
      <c r="D10" s="55"/>
      <c r="E10" s="15" t="str">
        <f>'Budget-Unrestricted MYP'!F10</f>
        <v>2022-23</v>
      </c>
      <c r="F10" s="165" t="str">
        <f>E10</f>
        <v>2022-23</v>
      </c>
      <c r="G10" s="657">
        <f>'Budget-DEBT'!D13+1</f>
        <v>2023</v>
      </c>
      <c r="H10" s="165" t="str">
        <f>F10</f>
        <v>2022-23</v>
      </c>
      <c r="I10" s="15"/>
      <c r="J10" s="305" t="str">
        <f>'Budget-Unrestricted MYP'!H10</f>
        <v>2023-24</v>
      </c>
      <c r="K10" s="15"/>
      <c r="L10" s="305" t="str">
        <f>'Budget-Unrestricted MYP'!J10</f>
        <v>2024-25</v>
      </c>
      <c r="M10" s="464"/>
    </row>
    <row r="11" spans="1:13" ht="16.5" thickTop="1">
      <c r="A11" s="306" t="s">
        <v>1</v>
      </c>
      <c r="B11" s="1"/>
      <c r="C11" s="1"/>
      <c r="D11" s="337"/>
      <c r="E11" s="13"/>
      <c r="F11" s="816"/>
      <c r="G11" s="816"/>
      <c r="H11" s="816"/>
      <c r="I11" s="849"/>
      <c r="J11" s="816"/>
      <c r="K11" s="854"/>
      <c r="L11" s="456"/>
      <c r="M11" s="859"/>
    </row>
    <row r="12" spans="1:13" ht="15.75">
      <c r="A12" s="306"/>
      <c r="B12" s="278" t="s">
        <v>306</v>
      </c>
      <c r="C12" s="147"/>
      <c r="D12" s="141"/>
      <c r="E12" s="338"/>
      <c r="F12" s="457"/>
      <c r="G12" s="457"/>
      <c r="H12" s="457"/>
      <c r="I12" s="850"/>
      <c r="J12" s="457"/>
      <c r="K12" s="855"/>
      <c r="L12" s="152"/>
      <c r="M12" s="860"/>
    </row>
    <row r="13" spans="1:13" ht="15.75">
      <c r="A13" s="306"/>
      <c r="B13" s="147"/>
      <c r="C13" s="280" t="s">
        <v>155</v>
      </c>
      <c r="D13" s="346">
        <v>8011</v>
      </c>
      <c r="E13" s="696">
        <f>'Budget-Unrestricted MYP'!F13</f>
        <v>8090636.0600000005</v>
      </c>
      <c r="F13" s="1094">
        <f>'1st Interim-Unrestricted MYP'!G13</f>
        <v>5166835</v>
      </c>
      <c r="G13" s="694"/>
      <c r="H13" s="696">
        <f>'2nd Interim-Assumptions'!G11-H14-H16</f>
        <v>0</v>
      </c>
      <c r="I13" s="270" t="str">
        <f>IF(E13&lt;1," ",IF(H13&lt;1," ",(H13-E13)/E13))</f>
        <v xml:space="preserve"> </v>
      </c>
      <c r="J13" s="790">
        <f>'2nd Interim-Assumptions'!H11-J14-J16</f>
        <v>0</v>
      </c>
      <c r="K13" s="270" t="str">
        <f>IF(H13&lt;1," ",IF(J13&lt;1," ",(J13-H13)/H13))</f>
        <v xml:space="preserve"> </v>
      </c>
      <c r="L13" s="696">
        <f>'2nd Interim-Assumptions'!J11-L14-L16</f>
        <v>0</v>
      </c>
      <c r="M13" s="307" t="str">
        <f>IF(J13&lt;1," ",IF(L13&lt;1," ",(L13-J13)/J13))</f>
        <v xml:space="preserve"> </v>
      </c>
    </row>
    <row r="14" spans="1:13" ht="15.75">
      <c r="A14" s="306"/>
      <c r="B14" s="147"/>
      <c r="C14" s="280" t="s">
        <v>156</v>
      </c>
      <c r="D14" s="346">
        <v>8012</v>
      </c>
      <c r="E14" s="696">
        <f>'Budget-Unrestricted MYP'!F14</f>
        <v>157400</v>
      </c>
      <c r="F14" s="1177">
        <f>'1st Interim-Unrestricted MYP'!G14</f>
        <v>102000</v>
      </c>
      <c r="G14" s="694"/>
      <c r="H14" s="866"/>
      <c r="I14" s="584" t="str">
        <f>IF(E14&lt;1," ",IF(H14&lt;1," ",(H14-E14)/E14))</f>
        <v xml:space="preserve"> </v>
      </c>
      <c r="J14" s="757"/>
      <c r="K14" s="270" t="str">
        <f>IF(H14&lt;1," ",IF(J14&lt;1," ",(J14-H14)/H14))</f>
        <v xml:space="preserve"> </v>
      </c>
      <c r="L14" s="705"/>
      <c r="M14" s="307" t="str">
        <f>IF(J14&lt;1," ",IF(L14&lt;1," ",(L14-J14)/J14))</f>
        <v xml:space="preserve"> </v>
      </c>
    </row>
    <row r="15" spans="1:13" ht="15.75">
      <c r="A15" s="68"/>
      <c r="B15" s="147"/>
      <c r="C15" s="280" t="s">
        <v>304</v>
      </c>
      <c r="D15" s="346">
        <v>8019</v>
      </c>
      <c r="E15" s="1178">
        <f>'Budget-Unrestricted MYP'!F15</f>
        <v>0</v>
      </c>
      <c r="F15" s="1177">
        <f>'1st Interim-Unrestricted MYP'!G15</f>
        <v>0</v>
      </c>
      <c r="G15" s="694"/>
      <c r="H15" s="867"/>
      <c r="I15" s="584" t="str">
        <f>IF(E15&lt;1," ",IF(H15&lt;1," ",(H15-E15)/E15))</f>
        <v xml:space="preserve"> </v>
      </c>
      <c r="J15" s="817"/>
      <c r="K15" s="270" t="str">
        <f>IF(H15&lt;1," ",IF(J15&lt;1," ",(J15-H15)/H15))</f>
        <v xml:space="preserve"> </v>
      </c>
      <c r="L15" s="817"/>
      <c r="M15" s="307" t="str">
        <f>IF(J15&lt;1," ",IF(L15&lt;1," ",(L15-J15)/J15))</f>
        <v xml:space="preserve"> </v>
      </c>
    </row>
    <row r="16" spans="1:13" ht="15.75">
      <c r="A16" s="68"/>
      <c r="B16" s="147"/>
      <c r="C16" s="280" t="s">
        <v>305</v>
      </c>
      <c r="D16" s="346">
        <v>8096</v>
      </c>
      <c r="E16" s="1178">
        <f>'Budget-Unrestricted MYP'!F16</f>
        <v>204132</v>
      </c>
      <c r="F16" s="1177">
        <f>'1st Interim-Unrestricted MYP'!G16</f>
        <v>132283.79999999999</v>
      </c>
      <c r="G16" s="694"/>
      <c r="H16" s="868"/>
      <c r="I16" s="643" t="str">
        <f>IF(E16&lt;1," ",IF(H16&lt;1," ",(H16-E16)/E16))</f>
        <v xml:space="preserve"> </v>
      </c>
      <c r="J16" s="705"/>
      <c r="K16" s="270" t="str">
        <f>IF(H16&lt;1," ",IF(J16&lt;1," ",(J16-H16)/H16))</f>
        <v xml:space="preserve"> </v>
      </c>
      <c r="L16" s="705"/>
      <c r="M16" s="307" t="str">
        <f>IF(J16&lt;1," ",IF(L16&lt;1," ",(L16-J16)/J16))</f>
        <v xml:space="preserve"> </v>
      </c>
    </row>
    <row r="17" spans="1:13" ht="15.75">
      <c r="A17" s="68"/>
      <c r="B17" s="278" t="s">
        <v>307</v>
      </c>
      <c r="C17" s="278"/>
      <c r="D17" s="346" t="s">
        <v>99</v>
      </c>
      <c r="E17" s="1178">
        <f>'Budget-Unrestricted MYP'!F17</f>
        <v>0</v>
      </c>
      <c r="F17" s="1177">
        <f>'1st Interim-Unrestricted MYP'!G17</f>
        <v>0</v>
      </c>
      <c r="G17" s="756">
        <f>G84</f>
        <v>0</v>
      </c>
      <c r="H17" s="756">
        <f>H84</f>
        <v>0</v>
      </c>
      <c r="I17" s="270" t="str">
        <f>IF(E17&lt;1," ",IF(H17&lt;1," ",(H17-E17)/E17))</f>
        <v xml:space="preserve"> </v>
      </c>
      <c r="J17" s="291">
        <f>J84</f>
        <v>0</v>
      </c>
      <c r="K17" s="270" t="str">
        <f>IF(H17&lt;1," ",IF(J17&lt;1," ",(J17-H17)/H17))</f>
        <v xml:space="preserve"> </v>
      </c>
      <c r="L17" s="756">
        <f>L84</f>
        <v>0</v>
      </c>
      <c r="M17" s="307" t="str">
        <f>IF(J17&lt;1," ",IF(L17&lt;1," ",(L17-J17)/J17))</f>
        <v xml:space="preserve"> </v>
      </c>
    </row>
    <row r="18" spans="1:13" ht="15.75">
      <c r="A18" s="68"/>
      <c r="B18" s="147" t="s">
        <v>308</v>
      </c>
      <c r="C18" s="141"/>
      <c r="D18" s="141"/>
      <c r="E18" s="579"/>
      <c r="F18" s="580"/>
      <c r="G18" s="581"/>
      <c r="H18" s="581"/>
      <c r="I18" s="585"/>
      <c r="J18" s="581"/>
      <c r="K18" s="585"/>
      <c r="L18" s="581"/>
      <c r="M18" s="589"/>
    </row>
    <row r="19" spans="1:13" ht="15.75">
      <c r="A19" s="68"/>
      <c r="B19" s="147"/>
      <c r="C19" s="280" t="s">
        <v>309</v>
      </c>
      <c r="D19" s="346">
        <v>8560</v>
      </c>
      <c r="E19" s="1178">
        <f>'Budget-Unrestricted MYP'!F19</f>
        <v>133984.37325999999</v>
      </c>
      <c r="F19" s="1177">
        <f>'1st Interim-Unrestricted MYP'!G19</f>
        <v>86825.959800000011</v>
      </c>
      <c r="G19" s="694"/>
      <c r="H19" s="756" t="e">
        <f>H87</f>
        <v>#VALUE!</v>
      </c>
      <c r="I19" s="270" t="e">
        <f>IF(E19&lt;1," ",IF(H19&lt;1," ",(H19-E19)/E19))</f>
        <v>#VALUE!</v>
      </c>
      <c r="J19" s="291" t="e">
        <f>J87</f>
        <v>#VALUE!</v>
      </c>
      <c r="K19" s="270" t="e">
        <f>IF(H19&lt;1," ",IF(J19&lt;1," ",(J19-H19)/H19))</f>
        <v>#VALUE!</v>
      </c>
      <c r="L19" s="756" t="e">
        <f>L87</f>
        <v>#VALUE!</v>
      </c>
      <c r="M19" s="307" t="e">
        <f>IF(J19&lt;1," ",IF(L19&lt;1," ",(L19-J19)/J19))</f>
        <v>#VALUE!</v>
      </c>
    </row>
    <row r="20" spans="1:13" ht="15.75">
      <c r="A20" s="68"/>
      <c r="B20" s="467"/>
      <c r="C20" s="468" t="s">
        <v>310</v>
      </c>
      <c r="D20" s="469">
        <v>8560</v>
      </c>
      <c r="E20" s="818"/>
      <c r="F20" s="819"/>
      <c r="G20" s="819"/>
      <c r="H20" s="818"/>
      <c r="I20" s="486"/>
      <c r="J20" s="823"/>
      <c r="K20" s="486"/>
      <c r="L20" s="818"/>
      <c r="M20" s="353"/>
    </row>
    <row r="21" spans="1:13" ht="15.75">
      <c r="A21" s="68"/>
      <c r="B21" s="147"/>
      <c r="C21" s="280" t="s">
        <v>311</v>
      </c>
      <c r="D21" s="346" t="s">
        <v>100</v>
      </c>
      <c r="E21" s="1178">
        <f>'Budget-Unrestricted MYP'!F21</f>
        <v>0</v>
      </c>
      <c r="F21" s="1177">
        <f>'1st Interim-Unrestricted MYP'!G21</f>
        <v>0</v>
      </c>
      <c r="G21" s="756">
        <f>G108</f>
        <v>0</v>
      </c>
      <c r="H21" s="756">
        <f>H108</f>
        <v>0</v>
      </c>
      <c r="I21" s="270" t="str">
        <f>IF(E21&lt;1," ",IF(H21&lt;1," ",(H21-E21)/E21))</f>
        <v xml:space="preserve"> </v>
      </c>
      <c r="J21" s="291">
        <f>J108</f>
        <v>0</v>
      </c>
      <c r="K21" s="270" t="str">
        <f>IF(H21&lt;1," ",IF(J21&lt;1," ",(J21-H21)/H21))</f>
        <v xml:space="preserve"> </v>
      </c>
      <c r="L21" s="756">
        <f>L108</f>
        <v>0</v>
      </c>
      <c r="M21" s="307" t="str">
        <f>IF(J21&lt;1," ",IF(L21&lt;1," ",(L21-J21)/J21))</f>
        <v xml:space="preserve"> </v>
      </c>
    </row>
    <row r="22" spans="1:13" ht="15.75">
      <c r="A22" s="68"/>
      <c r="B22" s="147" t="s">
        <v>312</v>
      </c>
      <c r="C22" s="141"/>
      <c r="D22" s="141"/>
      <c r="E22" s="820"/>
      <c r="F22" s="821"/>
      <c r="G22" s="822"/>
      <c r="H22" s="822"/>
      <c r="I22" s="585"/>
      <c r="J22" s="822"/>
      <c r="K22" s="270"/>
      <c r="L22" s="756"/>
      <c r="M22" s="307"/>
    </row>
    <row r="23" spans="1:13" ht="15.75">
      <c r="A23" s="68"/>
      <c r="B23" s="147"/>
      <c r="C23" s="280" t="s">
        <v>239</v>
      </c>
      <c r="D23" s="346">
        <v>8660</v>
      </c>
      <c r="E23" s="1178">
        <f>'Budget-Unrestricted MYP'!F23</f>
        <v>0</v>
      </c>
      <c r="F23" s="1158">
        <f>'1st Interim-Unrestricted MYP'!G23</f>
        <v>0</v>
      </c>
      <c r="G23" s="788"/>
      <c r="H23" s="788"/>
      <c r="I23" s="270" t="str">
        <f>IF(E23&lt;1," ",IF(H23&lt;1," ",(H23-E23)/E23))</f>
        <v xml:space="preserve"> </v>
      </c>
      <c r="J23" s="791"/>
      <c r="K23" s="270" t="str">
        <f>IF(H23&lt;1," ",IF(J23&lt;1," ",(J23-H23)/H23))</f>
        <v xml:space="preserve"> </v>
      </c>
      <c r="L23" s="788"/>
      <c r="M23" s="307" t="str">
        <f>IF(J23&lt;1," ",IF(L23&lt;1," ",(L23-J23)/J23))</f>
        <v xml:space="preserve"> </v>
      </c>
    </row>
    <row r="24" spans="1:13" ht="15.75">
      <c r="A24" s="68"/>
      <c r="B24" s="467"/>
      <c r="C24" s="468" t="s">
        <v>313</v>
      </c>
      <c r="D24" s="469">
        <v>8792</v>
      </c>
      <c r="E24" s="794"/>
      <c r="F24" s="794"/>
      <c r="G24" s="818"/>
      <c r="H24" s="818"/>
      <c r="I24" s="486"/>
      <c r="J24" s="823"/>
      <c r="K24" s="486"/>
      <c r="L24" s="818"/>
      <c r="M24" s="353"/>
    </row>
    <row r="25" spans="1:13" ht="16.5" thickBot="1">
      <c r="A25" s="68"/>
      <c r="B25" s="899"/>
      <c r="C25" s="932" t="s">
        <v>314</v>
      </c>
      <c r="D25" s="933" t="s">
        <v>101</v>
      </c>
      <c r="E25" s="1179">
        <f>'Budget-Unrestricted MYP'!F25</f>
        <v>0</v>
      </c>
      <c r="F25" s="1180">
        <f>'1st Interim-Unrestricted MYP'!G25</f>
        <v>0</v>
      </c>
      <c r="G25" s="802">
        <f>G117</f>
        <v>0</v>
      </c>
      <c r="H25" s="802">
        <f>H117</f>
        <v>0</v>
      </c>
      <c r="I25" s="297" t="str">
        <f>IF(E25&lt;1," ",IF(H25&lt;1," ",(H25-E25)/E25))</f>
        <v xml:space="preserve"> </v>
      </c>
      <c r="J25" s="951">
        <f>J117</f>
        <v>0</v>
      </c>
      <c r="K25" s="297" t="str">
        <f>IF(H25&lt;1," ",IF(J25&lt;1," ",(J25-H25)/H25))</f>
        <v xml:space="preserve"> </v>
      </c>
      <c r="L25" s="802">
        <f>L117</f>
        <v>0</v>
      </c>
      <c r="M25" s="590" t="str">
        <f>IF(J25&lt;1," ",IF(L25&lt;1," ",(L25-J25)/J25))</f>
        <v xml:space="preserve"> </v>
      </c>
    </row>
    <row r="26" spans="1:13" ht="17.25" thickTop="1" thickBot="1">
      <c r="A26" s="68"/>
      <c r="B26" s="912" t="s">
        <v>315</v>
      </c>
      <c r="C26" s="957"/>
      <c r="D26" s="931"/>
      <c r="E26" s="900">
        <f>'Budget-Unrestricted MYP'!F26</f>
        <v>8586152.4332600012</v>
      </c>
      <c r="F26" s="900">
        <f>SUM(F13:F25)</f>
        <v>5487944.7598000001</v>
      </c>
      <c r="G26" s="810">
        <f>SUM(G13:G25)</f>
        <v>0</v>
      </c>
      <c r="H26" s="810" t="e">
        <f>SUM(H13:H25)</f>
        <v>#VALUE!</v>
      </c>
      <c r="I26" s="588" t="e">
        <f>IF(E26&lt;1," ",IF(H26&lt;1," ",(H26-E26)/E26))</f>
        <v>#VALUE!</v>
      </c>
      <c r="J26" s="900" t="e">
        <f>SUM(J13:J25)</f>
        <v>#VALUE!</v>
      </c>
      <c r="K26" s="588" t="e">
        <f>IF(H26&lt;1," ",IF(J26&lt;1," ",(J26-H26)/H26))</f>
        <v>#VALUE!</v>
      </c>
      <c r="L26" s="900" t="e">
        <f>SUM(L13:L25)</f>
        <v>#VALUE!</v>
      </c>
      <c r="M26" s="591" t="e">
        <f>IF(J26&lt;1," ",IF(L26&lt;1," ",(L26-J26)/J26))</f>
        <v>#VALUE!</v>
      </c>
    </row>
    <row r="27" spans="1:13" ht="16.5" thickTop="1">
      <c r="A27" s="68"/>
      <c r="B27" s="1"/>
      <c r="C27" s="1"/>
      <c r="D27" s="1"/>
      <c r="E27" s="269"/>
      <c r="F27" s="269"/>
      <c r="G27" s="269"/>
      <c r="H27" s="269"/>
      <c r="I27" s="872"/>
      <c r="J27" s="269"/>
      <c r="K27" s="982"/>
      <c r="M27" s="865"/>
    </row>
    <row r="28" spans="1:13" ht="15.75">
      <c r="A28" s="1746" t="s">
        <v>3</v>
      </c>
      <c r="B28" s="1747"/>
      <c r="C28" s="1747"/>
      <c r="D28" s="155"/>
      <c r="E28" s="269"/>
      <c r="F28" s="457"/>
      <c r="G28" s="457"/>
      <c r="H28" s="457"/>
      <c r="I28" s="850"/>
      <c r="J28" s="457"/>
      <c r="K28" s="855"/>
      <c r="L28" s="152"/>
      <c r="M28" s="860"/>
    </row>
    <row r="29" spans="1:13" ht="15.75">
      <c r="A29" s="68"/>
      <c r="B29" s="278" t="s">
        <v>4</v>
      </c>
      <c r="C29" s="278"/>
      <c r="D29" s="279" t="s">
        <v>102</v>
      </c>
      <c r="E29" s="1178">
        <f>'Budget-Unrestricted MYP'!F29</f>
        <v>3153669</v>
      </c>
      <c r="F29" s="1177">
        <f>'1st Interim-Unrestricted MYP'!G29</f>
        <v>2466726.8433333333</v>
      </c>
      <c r="G29" s="694"/>
      <c r="H29" s="694"/>
      <c r="I29" s="270" t="str">
        <f t="shared" ref="I29:I37" si="0">IF(E29&lt;1," ",IF(H29&lt;1," ",(H29-E29)/E29))</f>
        <v xml:space="preserve"> </v>
      </c>
      <c r="J29" s="694"/>
      <c r="K29" s="270" t="str">
        <f t="shared" ref="K29:K37" si="1">IF(H29&lt;1," ",IF(J29&lt;1," ",(J29-H29)/H29))</f>
        <v xml:space="preserve"> </v>
      </c>
      <c r="L29" s="789"/>
      <c r="M29" s="307" t="str">
        <f t="shared" ref="M29:M37" si="2">IF(J29&lt;1," ",IF(L29&lt;1," ",(L29-J29)/J29))</f>
        <v xml:space="preserve"> </v>
      </c>
    </row>
    <row r="30" spans="1:13" ht="15.75">
      <c r="A30" s="68"/>
      <c r="B30" s="278" t="s">
        <v>23</v>
      </c>
      <c r="C30" s="278"/>
      <c r="D30" s="279" t="s">
        <v>103</v>
      </c>
      <c r="E30" s="1178">
        <f>'Budget-Unrestricted MYP'!F30</f>
        <v>136650.5</v>
      </c>
      <c r="F30" s="1177">
        <f>'1st Interim-Unrestricted MYP'!G30</f>
        <v>111193.33333333334</v>
      </c>
      <c r="G30" s="694"/>
      <c r="H30" s="694"/>
      <c r="I30" s="270" t="str">
        <f t="shared" si="0"/>
        <v xml:space="preserve"> </v>
      </c>
      <c r="J30" s="694"/>
      <c r="K30" s="270" t="str">
        <f t="shared" si="1"/>
        <v xml:space="preserve"> </v>
      </c>
      <c r="L30" s="789"/>
      <c r="M30" s="307" t="str">
        <f t="shared" si="2"/>
        <v xml:space="preserve"> </v>
      </c>
    </row>
    <row r="31" spans="1:13" ht="15.75">
      <c r="A31" s="68"/>
      <c r="B31" s="278" t="s">
        <v>24</v>
      </c>
      <c r="C31" s="278"/>
      <c r="D31" s="279" t="s">
        <v>104</v>
      </c>
      <c r="E31" s="1178">
        <f>'Budget-Unrestricted MYP'!F31</f>
        <v>968504.72549999994</v>
      </c>
      <c r="F31" s="1177">
        <f>'1st Interim-Unrestricted MYP'!G31</f>
        <v>587212</v>
      </c>
      <c r="G31" s="694"/>
      <c r="H31" s="694"/>
      <c r="I31" s="270" t="str">
        <f t="shared" si="0"/>
        <v xml:space="preserve"> </v>
      </c>
      <c r="J31" s="694"/>
      <c r="K31" s="270" t="str">
        <f t="shared" si="1"/>
        <v xml:space="preserve"> </v>
      </c>
      <c r="L31" s="789"/>
      <c r="M31" s="307" t="str">
        <f t="shared" si="2"/>
        <v xml:space="preserve"> </v>
      </c>
    </row>
    <row r="32" spans="1:13" ht="15.75">
      <c r="A32" s="68"/>
      <c r="B32" s="278" t="s">
        <v>25</v>
      </c>
      <c r="C32" s="278"/>
      <c r="D32" s="279" t="s">
        <v>105</v>
      </c>
      <c r="E32" s="1178">
        <f>'Budget-Unrestricted MYP'!F32</f>
        <v>522371.33</v>
      </c>
      <c r="F32" s="1177">
        <f>'1st Interim-Unrestricted MYP'!G32</f>
        <v>370313</v>
      </c>
      <c r="G32" s="694"/>
      <c r="H32" s="694"/>
      <c r="I32" s="270" t="str">
        <f t="shared" si="0"/>
        <v xml:space="preserve"> </v>
      </c>
      <c r="J32" s="694"/>
      <c r="K32" s="270" t="str">
        <f t="shared" si="1"/>
        <v xml:space="preserve"> </v>
      </c>
      <c r="L32" s="789"/>
      <c r="M32" s="307" t="str">
        <f t="shared" si="2"/>
        <v xml:space="preserve"> </v>
      </c>
    </row>
    <row r="33" spans="1:13" ht="15.75">
      <c r="A33" s="68"/>
      <c r="B33" s="278" t="s">
        <v>26</v>
      </c>
      <c r="C33" s="278"/>
      <c r="D33" s="279" t="s">
        <v>106</v>
      </c>
      <c r="E33" s="1178">
        <f>'Budget-Unrestricted MYP'!F33</f>
        <v>4541682.3687866004</v>
      </c>
      <c r="F33" s="1177">
        <f>'1st Interim-Unrestricted MYP'!G33</f>
        <v>2214236.9155000001</v>
      </c>
      <c r="G33" s="694"/>
      <c r="H33" s="694"/>
      <c r="I33" s="270" t="str">
        <f t="shared" si="0"/>
        <v xml:space="preserve"> </v>
      </c>
      <c r="J33" s="694"/>
      <c r="K33" s="270" t="str">
        <f t="shared" si="1"/>
        <v xml:space="preserve"> </v>
      </c>
      <c r="L33" s="789"/>
      <c r="M33" s="307" t="str">
        <f t="shared" si="2"/>
        <v xml:space="preserve"> </v>
      </c>
    </row>
    <row r="34" spans="1:13" ht="15.75">
      <c r="A34" s="68"/>
      <c r="B34" s="278" t="s">
        <v>5</v>
      </c>
      <c r="C34" s="278"/>
      <c r="D34" s="279" t="s">
        <v>107</v>
      </c>
      <c r="E34" s="1178">
        <f>'Budget-Unrestricted MYP'!F34</f>
        <v>14362.290000000005</v>
      </c>
      <c r="F34" s="1177">
        <f>'1st Interim-Unrestricted MYP'!G34</f>
        <v>22116</v>
      </c>
      <c r="G34" s="694"/>
      <c r="H34" s="694"/>
      <c r="I34" s="270" t="str">
        <f t="shared" si="0"/>
        <v xml:space="preserve"> </v>
      </c>
      <c r="J34" s="694"/>
      <c r="K34" s="270" t="str">
        <f t="shared" si="1"/>
        <v xml:space="preserve"> </v>
      </c>
      <c r="L34" s="789"/>
      <c r="M34" s="307" t="str">
        <f t="shared" si="2"/>
        <v xml:space="preserve"> </v>
      </c>
    </row>
    <row r="35" spans="1:13" ht="15.75">
      <c r="A35" s="68"/>
      <c r="B35" s="278" t="s">
        <v>27</v>
      </c>
      <c r="C35" s="278"/>
      <c r="D35" s="279" t="s">
        <v>108</v>
      </c>
      <c r="E35" s="1178">
        <f>'Budget-Unrestricted MYP'!F35</f>
        <v>2499</v>
      </c>
      <c r="F35" s="1177">
        <f>'1st Interim-Unrestricted MYP'!G35</f>
        <v>2499</v>
      </c>
      <c r="G35" s="694"/>
      <c r="H35" s="694"/>
      <c r="I35" s="270" t="str">
        <f t="shared" si="0"/>
        <v xml:space="preserve"> </v>
      </c>
      <c r="J35" s="694"/>
      <c r="K35" s="270" t="str">
        <f t="shared" si="1"/>
        <v xml:space="preserve"> </v>
      </c>
      <c r="L35" s="789"/>
      <c r="M35" s="307" t="str">
        <f t="shared" si="2"/>
        <v xml:space="preserve"> </v>
      </c>
    </row>
    <row r="36" spans="1:13" ht="16.5" thickBot="1">
      <c r="A36" s="68"/>
      <c r="B36" s="922" t="s">
        <v>149</v>
      </c>
      <c r="C36" s="922"/>
      <c r="D36" s="629" t="s">
        <v>114</v>
      </c>
      <c r="E36" s="1179">
        <f>'Budget-Unrestricted MYP'!F36</f>
        <v>0</v>
      </c>
      <c r="F36" s="1181">
        <f>'1st Interim-Unrestricted MYP'!G36</f>
        <v>0</v>
      </c>
      <c r="G36" s="923"/>
      <c r="H36" s="924"/>
      <c r="I36" s="297" t="str">
        <f t="shared" si="0"/>
        <v xml:space="preserve"> </v>
      </c>
      <c r="J36" s="925"/>
      <c r="K36" s="297" t="str">
        <f t="shared" si="1"/>
        <v xml:space="preserve"> </v>
      </c>
      <c r="L36" s="952"/>
      <c r="M36" s="590" t="str">
        <f t="shared" si="2"/>
        <v xml:space="preserve"> </v>
      </c>
    </row>
    <row r="37" spans="1:13" ht="17.25" thickTop="1" thickBot="1">
      <c r="A37" s="68"/>
      <c r="B37" s="912" t="s">
        <v>28</v>
      </c>
      <c r="C37" s="957"/>
      <c r="D37" s="958"/>
      <c r="E37" s="1161">
        <f>'Budget-Unrestricted MYP'!F37</f>
        <v>9339739.2142865993</v>
      </c>
      <c r="F37" s="1161">
        <f>SUM(F29:F36)</f>
        <v>5774297.0921666669</v>
      </c>
      <c r="G37" s="900">
        <f>SUM(G29:G36)</f>
        <v>0</v>
      </c>
      <c r="H37" s="900">
        <f>SUM(H29:H36)</f>
        <v>0</v>
      </c>
      <c r="I37" s="588" t="str">
        <f t="shared" si="0"/>
        <v xml:space="preserve"> </v>
      </c>
      <c r="J37" s="900">
        <f>SUM(J29:J36)</f>
        <v>0</v>
      </c>
      <c r="K37" s="588" t="str">
        <f t="shared" si="1"/>
        <v xml:space="preserve"> </v>
      </c>
      <c r="L37" s="900">
        <f>SUM(L29:L36)</f>
        <v>0</v>
      </c>
      <c r="M37" s="591" t="str">
        <f t="shared" si="2"/>
        <v xml:space="preserve"> </v>
      </c>
    </row>
    <row r="38" spans="1:13" ht="17.25" thickTop="1" thickBot="1">
      <c r="A38" s="68"/>
      <c r="B38" s="1"/>
      <c r="C38" s="1"/>
      <c r="D38" s="168"/>
      <c r="E38" s="20"/>
      <c r="F38" s="20"/>
      <c r="G38" s="20"/>
      <c r="H38" s="20"/>
      <c r="I38" s="872"/>
      <c r="J38" s="20"/>
      <c r="K38" s="982"/>
      <c r="M38" s="865"/>
    </row>
    <row r="39" spans="1:13" ht="17.25" thickTop="1" thickBot="1">
      <c r="A39" s="945" t="s">
        <v>208</v>
      </c>
      <c r="B39" s="959"/>
      <c r="C39" s="961"/>
      <c r="D39" s="962"/>
      <c r="E39" s="1182">
        <f>'Budget-Unrestricted MYP'!F39</f>
        <v>-753586.78102659807</v>
      </c>
      <c r="F39" s="1182">
        <f>SUM(F26-F37)</f>
        <v>-286352.33236666676</v>
      </c>
      <c r="G39" s="954">
        <f>SUM(G26-G37)</f>
        <v>0</v>
      </c>
      <c r="H39" s="954" t="e">
        <f>SUM(H26-H37)</f>
        <v>#VALUE!</v>
      </c>
      <c r="I39" s="946" t="str">
        <f>IF(E39&lt;1," ",IF(H39&lt;1," ",(H39-E39)/E39))</f>
        <v xml:space="preserve"> </v>
      </c>
      <c r="J39" s="954" t="e">
        <f>SUM(J26-J37)</f>
        <v>#VALUE!</v>
      </c>
      <c r="K39" s="946" t="e">
        <f>IF(H39&lt;1," ",IF(J39&lt;1," ",(J39-H39)/H39))</f>
        <v>#VALUE!</v>
      </c>
      <c r="L39" s="954" t="e">
        <f>SUM(L26-L37)</f>
        <v>#VALUE!</v>
      </c>
      <c r="M39" s="947" t="e">
        <f>IF(J39&lt;1," ",IF(L39&lt;1," ",(L39-J39)/J39))</f>
        <v>#VALUE!</v>
      </c>
    </row>
    <row r="40" spans="1:13" ht="16.5" thickTop="1">
      <c r="A40" s="68"/>
      <c r="B40" s="1"/>
      <c r="C40" s="343"/>
      <c r="D40" s="344"/>
      <c r="E40" s="1183"/>
      <c r="F40" s="1183"/>
      <c r="G40" s="84"/>
      <c r="H40" s="84"/>
      <c r="I40" s="851"/>
      <c r="J40" s="84"/>
      <c r="K40" s="856"/>
      <c r="L40" s="492"/>
      <c r="M40" s="861"/>
    </row>
    <row r="41" spans="1:13" ht="15.75">
      <c r="A41" s="306" t="s">
        <v>29</v>
      </c>
      <c r="B41" s="1"/>
      <c r="C41" s="155"/>
      <c r="D41" s="345"/>
      <c r="E41" s="83"/>
      <c r="F41" s="83"/>
      <c r="G41" s="83"/>
      <c r="H41" s="83"/>
      <c r="I41" s="852"/>
      <c r="J41" s="83"/>
      <c r="K41" s="857"/>
      <c r="L41" s="458"/>
      <c r="M41" s="862"/>
    </row>
    <row r="42" spans="1:13" ht="15.75">
      <c r="A42" s="68"/>
      <c r="B42" s="147" t="s">
        <v>127</v>
      </c>
      <c r="C42" s="141"/>
      <c r="D42" s="310">
        <v>8900</v>
      </c>
      <c r="E42" s="1184">
        <f>'Budget-Unrestricted MYP'!F42</f>
        <v>0</v>
      </c>
      <c r="F42" s="1162">
        <f>'1st Interim-Unrestricted MYP'!G42</f>
        <v>0</v>
      </c>
      <c r="G42" s="789"/>
      <c r="H42" s="789"/>
      <c r="I42" s="50" t="str">
        <f>IF(E42&lt;1," ",IF(H42&lt;1," ",(H42-E42)/E42))</f>
        <v xml:space="preserve"> </v>
      </c>
      <c r="J42" s="789"/>
      <c r="K42" s="634" t="str">
        <f>IF(H42&lt;1," ",IF(J42&lt;1," ",(J42-H42)/H42))</f>
        <v xml:space="preserve"> </v>
      </c>
      <c r="L42" s="789"/>
      <c r="M42" s="633" t="str">
        <f>IF(J42&lt;1," ",IF(L42&lt;1," ",(L42-J42)/J42))</f>
        <v xml:space="preserve"> </v>
      </c>
    </row>
    <row r="43" spans="1:13" ht="16.5" thickBot="1">
      <c r="A43" s="68"/>
      <c r="B43" s="899" t="s">
        <v>30</v>
      </c>
      <c r="C43" s="153"/>
      <c r="D43" s="928">
        <v>7600</v>
      </c>
      <c r="E43" s="1185">
        <f>'Budget-Unrestricted MYP'!F43</f>
        <v>-945000</v>
      </c>
      <c r="F43" s="1165">
        <f>'1st Interim-Unrestricted MYP'!G43</f>
        <v>-360000</v>
      </c>
      <c r="G43" s="805"/>
      <c r="H43" s="805"/>
      <c r="I43" s="596" t="str">
        <f>IF(E43&lt;1," ",IF(H43&lt;1," ",(H43-E43)/E43))</f>
        <v xml:space="preserve"> </v>
      </c>
      <c r="J43" s="805"/>
      <c r="K43" s="641" t="str">
        <f>IF(H43&lt;1," ",IF(J43&lt;1," ",(J43-H43)/H43))</f>
        <v xml:space="preserve"> </v>
      </c>
      <c r="L43" s="805"/>
      <c r="M43" s="642" t="str">
        <f>IF(J43&lt;1," ",IF(L43&lt;1," ",(L43-J43)/J43))</f>
        <v xml:space="preserve"> </v>
      </c>
    </row>
    <row r="44" spans="1:13" ht="17.25" thickTop="1" thickBot="1">
      <c r="A44" s="68"/>
      <c r="B44" s="912" t="s">
        <v>31</v>
      </c>
      <c r="C44" s="957"/>
      <c r="D44" s="958"/>
      <c r="E44" s="1161">
        <f>'Budget-Unrestricted MYP'!F44</f>
        <v>945000</v>
      </c>
      <c r="F44" s="1161">
        <f>F42-F43</f>
        <v>360000</v>
      </c>
      <c r="G44" s="900">
        <f>G42-G43</f>
        <v>0</v>
      </c>
      <c r="H44" s="900">
        <f>H42-H43</f>
        <v>0</v>
      </c>
      <c r="I44" s="588" t="str">
        <f>IF(E44&lt;1," ",IF(H44&lt;1," ",(H44-E44)/E44))</f>
        <v xml:space="preserve"> </v>
      </c>
      <c r="J44" s="900">
        <f>J42-J43</f>
        <v>0</v>
      </c>
      <c r="K44" s="588" t="str">
        <f>IF(H44&lt;1," ",IF(J44&lt;1," ",(J44-H44)/H44))</f>
        <v xml:space="preserve"> </v>
      </c>
      <c r="L44" s="900">
        <f>L42-L43</f>
        <v>0</v>
      </c>
      <c r="M44" s="591" t="str">
        <f>IF(J44&lt;1," ",IF(L44&lt;1," ",(L44-J44)/J44))</f>
        <v xml:space="preserve"> </v>
      </c>
    </row>
    <row r="45" spans="1:13" ht="17.25" thickTop="1" thickBot="1">
      <c r="A45" s="68"/>
      <c r="B45" s="1"/>
      <c r="C45" s="1"/>
      <c r="D45" s="556"/>
      <c r="E45" s="269"/>
      <c r="F45" s="963"/>
      <c r="G45" s="964"/>
      <c r="H45" s="964"/>
      <c r="I45" s="983"/>
      <c r="J45" s="964"/>
      <c r="K45" s="983"/>
      <c r="L45" s="964"/>
      <c r="M45" s="984"/>
    </row>
    <row r="46" spans="1:13" ht="17.25" thickTop="1" thickBot="1">
      <c r="A46" s="915" t="s">
        <v>32</v>
      </c>
      <c r="B46" s="916"/>
      <c r="C46" s="920"/>
      <c r="D46" s="921"/>
      <c r="E46" s="1161">
        <f>'Budget-Unrestricted MYP'!F46</f>
        <v>191413.21897340193</v>
      </c>
      <c r="F46" s="1161">
        <f>F39+F44</f>
        <v>73647.667633333243</v>
      </c>
      <c r="G46" s="900">
        <f>G39+G44</f>
        <v>0</v>
      </c>
      <c r="H46" s="900" t="e">
        <f>H39+H44</f>
        <v>#VALUE!</v>
      </c>
      <c r="I46" s="592" t="e">
        <f>IF(E46&lt;1," ",IF(H46&lt;1," ",(H46-E46)/E46))</f>
        <v>#VALUE!</v>
      </c>
      <c r="J46" s="900" t="e">
        <f>J39+J44</f>
        <v>#VALUE!</v>
      </c>
      <c r="K46" s="592" t="e">
        <f>IF(H46&lt;1," ",IF(J46&lt;1," ",(J46-H46)/H46))</f>
        <v>#VALUE!</v>
      </c>
      <c r="L46" s="900" t="e">
        <f>L39+L44</f>
        <v>#VALUE!</v>
      </c>
      <c r="M46" s="593" t="e">
        <f>IF(J46&lt;1," ",IF(L46&lt;1," ",(L46-J46)/J46))</f>
        <v>#VALUE!</v>
      </c>
    </row>
    <row r="47" spans="1:13" ht="16.5" thickTop="1">
      <c r="A47" s="306"/>
      <c r="B47" s="1"/>
      <c r="C47" s="343"/>
      <c r="D47" s="344"/>
      <c r="E47" s="269"/>
      <c r="F47" s="84"/>
      <c r="G47" s="84"/>
      <c r="H47" s="84"/>
      <c r="I47" s="851"/>
      <c r="J47" s="84"/>
      <c r="K47" s="856"/>
      <c r="L47" s="492"/>
      <c r="M47" s="861"/>
    </row>
    <row r="48" spans="1:13" ht="15.75">
      <c r="A48" s="306" t="s">
        <v>6</v>
      </c>
      <c r="B48" s="1"/>
      <c r="C48" s="155"/>
      <c r="D48" s="345"/>
      <c r="E48" s="269"/>
      <c r="F48" s="457"/>
      <c r="G48" s="457"/>
      <c r="H48" s="457"/>
      <c r="I48" s="850"/>
      <c r="J48" s="457"/>
      <c r="K48" s="855"/>
      <c r="L48" s="152"/>
      <c r="M48" s="860"/>
    </row>
    <row r="49" spans="1:13" ht="15.75">
      <c r="A49" s="68"/>
      <c r="B49" s="293" t="s">
        <v>162</v>
      </c>
      <c r="C49" s="294"/>
      <c r="D49" s="295">
        <v>9791</v>
      </c>
      <c r="E49" s="1186">
        <f>'Budget-Unrestricted MYP'!F49</f>
        <v>193690.83966911718</v>
      </c>
      <c r="F49" s="1173">
        <f>'1st Interim-Unrestricted MYP'!G49</f>
        <v>193690.83966911718</v>
      </c>
      <c r="G49" s="1172">
        <f>E49</f>
        <v>193690.83966911718</v>
      </c>
      <c r="H49" s="1173">
        <f>E49</f>
        <v>193690.83966911718</v>
      </c>
      <c r="I49" s="1087"/>
      <c r="J49" s="1085"/>
      <c r="K49" s="1088"/>
      <c r="L49" s="1086"/>
      <c r="M49" s="1089"/>
    </row>
    <row r="50" spans="1:13" ht="15.75">
      <c r="A50" s="68"/>
      <c r="B50" s="315" t="s">
        <v>136</v>
      </c>
      <c r="C50" s="316"/>
      <c r="D50" s="317">
        <v>9792</v>
      </c>
      <c r="E50" s="1187"/>
      <c r="F50" s="1176">
        <f>'1st Interim-Unrestricted MYP'!G50</f>
        <v>0</v>
      </c>
      <c r="G50" s="1174">
        <f>F50</f>
        <v>0</v>
      </c>
      <c r="H50" s="1175">
        <f>F50</f>
        <v>0</v>
      </c>
      <c r="I50" s="624"/>
      <c r="J50" s="800"/>
      <c r="K50" s="597"/>
      <c r="L50" s="798"/>
      <c r="M50" s="599"/>
    </row>
    <row r="51" spans="1:13" ht="15.75">
      <c r="A51" s="68"/>
      <c r="B51" s="315" t="s">
        <v>236</v>
      </c>
      <c r="C51" s="316"/>
      <c r="D51" s="985"/>
      <c r="E51" s="1187"/>
      <c r="F51" s="1176">
        <f>'1st Interim-Unrestricted MYP'!G51</f>
        <v>193690.83966911718</v>
      </c>
      <c r="G51" s="1174">
        <f>G49+G50</f>
        <v>193690.83966911718</v>
      </c>
      <c r="H51" s="1176">
        <f>H49+H50</f>
        <v>193690.83966911718</v>
      </c>
      <c r="I51" s="624"/>
      <c r="J51" s="800"/>
      <c r="K51" s="597"/>
      <c r="L51" s="798"/>
      <c r="M51" s="599"/>
    </row>
    <row r="52" spans="1:13" ht="15.75">
      <c r="A52" s="68"/>
      <c r="B52" s="315" t="s">
        <v>302</v>
      </c>
      <c r="C52" s="316"/>
      <c r="D52" s="317">
        <v>9793</v>
      </c>
      <c r="E52" s="1187"/>
      <c r="F52" s="1175">
        <f>'1st Interim-Unrestricted MYP'!G52</f>
        <v>0</v>
      </c>
      <c r="G52" s="826">
        <f>F52</f>
        <v>0</v>
      </c>
      <c r="H52" s="826">
        <f>F52</f>
        <v>0</v>
      </c>
      <c r="I52" s="624"/>
      <c r="J52" s="1008"/>
      <c r="K52" s="597"/>
      <c r="L52" s="798"/>
      <c r="M52" s="599"/>
    </row>
    <row r="53" spans="1:13" ht="15.75">
      <c r="A53" s="68"/>
      <c r="B53" s="315" t="s">
        <v>301</v>
      </c>
      <c r="C53" s="316"/>
      <c r="D53" s="317">
        <v>9795</v>
      </c>
      <c r="E53" s="1188"/>
      <c r="F53" s="1175">
        <f>'1st Interim-Unrestricted MYP'!G53</f>
        <v>0</v>
      </c>
      <c r="G53" s="826">
        <f>F53</f>
        <v>0</v>
      </c>
      <c r="H53" s="826">
        <f>F53</f>
        <v>0</v>
      </c>
      <c r="I53" s="624"/>
      <c r="J53" s="801"/>
      <c r="K53" s="598"/>
      <c r="L53" s="799"/>
      <c r="M53" s="600"/>
    </row>
    <row r="54" spans="1:13" ht="16.5" thickBot="1">
      <c r="A54" s="68"/>
      <c r="B54" s="910" t="s">
        <v>284</v>
      </c>
      <c r="C54" s="504"/>
      <c r="D54" s="911"/>
      <c r="E54" s="1188"/>
      <c r="F54" s="1171">
        <f>'1st Interim-Unrestricted MYP'!G54</f>
        <v>193690.83966911718</v>
      </c>
      <c r="G54" s="1195">
        <f>G51+G52+G53</f>
        <v>193690.83966911718</v>
      </c>
      <c r="H54" s="1171">
        <f>H51+H52+H53</f>
        <v>193690.83966911718</v>
      </c>
      <c r="I54" s="615"/>
      <c r="J54" s="1108" t="e">
        <f>H55</f>
        <v>#VALUE!</v>
      </c>
      <c r="K54" s="598"/>
      <c r="L54" s="1109" t="e">
        <f>J55</f>
        <v>#VALUE!</v>
      </c>
      <c r="M54" s="600"/>
    </row>
    <row r="55" spans="1:13" ht="17.25" thickTop="1" thickBot="1">
      <c r="A55" s="68"/>
      <c r="B55" s="912" t="s">
        <v>33</v>
      </c>
      <c r="C55" s="913"/>
      <c r="D55" s="914">
        <v>9790</v>
      </c>
      <c r="E55" s="900">
        <f>'Budget-Unrestricted MYP'!F55</f>
        <v>385104.05864251911</v>
      </c>
      <c r="F55" s="900">
        <f>ROUND(F54+F46,0)</f>
        <v>267339</v>
      </c>
      <c r="G55" s="900">
        <f>ROUND(G54+G46,0)</f>
        <v>193691</v>
      </c>
      <c r="H55" s="900" t="e">
        <f>ROUND(H54+H46,0)</f>
        <v>#VALUE!</v>
      </c>
      <c r="I55" s="588" t="e">
        <f>IF(E55&lt;1," ",IF(H55&lt;1," ",(H55-E55)/E55))</f>
        <v>#VALUE!</v>
      </c>
      <c r="J55" s="900" t="e">
        <f>ROUND(J54+J46,0)</f>
        <v>#VALUE!</v>
      </c>
      <c r="K55" s="588" t="e">
        <f>IF(H55&lt;1," ",IF(J55&lt;1," ",(J55-H55)/H55))</f>
        <v>#VALUE!</v>
      </c>
      <c r="L55" s="900" t="e">
        <f>ROUND(L54+L46,0)</f>
        <v>#VALUE!</v>
      </c>
      <c r="M55" s="591" t="e">
        <f>IF(J55&lt;1," ",IF(L55&lt;1," ",(L55-J55)/J55))</f>
        <v>#VALUE!</v>
      </c>
    </row>
    <row r="56" spans="1:13" ht="16.5" thickTop="1">
      <c r="A56" s="68"/>
      <c r="B56" s="1"/>
      <c r="C56" s="1"/>
      <c r="D56" s="168"/>
      <c r="E56" s="169"/>
      <c r="F56" s="296"/>
      <c r="G56" s="52"/>
      <c r="H56" s="52"/>
      <c r="I56" s="872"/>
      <c r="J56" s="52"/>
      <c r="K56" s="872"/>
      <c r="L56" s="52"/>
      <c r="M56" s="874"/>
    </row>
    <row r="57" spans="1:13" ht="15.75">
      <c r="A57" s="324" t="s">
        <v>142</v>
      </c>
      <c r="B57" s="152"/>
      <c r="C57" s="480"/>
      <c r="D57" s="481" t="s">
        <v>2</v>
      </c>
      <c r="E57" s="482"/>
      <c r="F57" s="483"/>
      <c r="G57" s="484"/>
      <c r="H57" s="484"/>
      <c r="I57" s="850"/>
      <c r="J57" s="484"/>
      <c r="K57" s="850"/>
      <c r="L57" s="484"/>
      <c r="M57" s="863"/>
    </row>
    <row r="58" spans="1:13" ht="15.75">
      <c r="A58" s="68"/>
      <c r="B58" s="348" t="s">
        <v>7</v>
      </c>
      <c r="C58" s="354" t="s">
        <v>143</v>
      </c>
      <c r="D58" s="355"/>
      <c r="E58" s="601"/>
      <c r="F58" s="601"/>
      <c r="G58" s="601"/>
      <c r="H58" s="601"/>
      <c r="I58" s="585"/>
      <c r="J58" s="601"/>
      <c r="K58" s="858"/>
      <c r="L58" s="146"/>
      <c r="M58" s="864"/>
    </row>
    <row r="59" spans="1:13" ht="15.75">
      <c r="A59" s="68"/>
      <c r="B59" s="351"/>
      <c r="C59" s="349" t="s">
        <v>34</v>
      </c>
      <c r="D59" s="289">
        <v>9711</v>
      </c>
      <c r="E59" s="1178">
        <f>'Budget-Unrestricted MYP'!F59</f>
        <v>0</v>
      </c>
      <c r="F59" s="1189">
        <f>'1st Interim-Unrestricted MYP'!G59</f>
        <v>0</v>
      </c>
      <c r="G59" s="828"/>
      <c r="H59" s="828"/>
      <c r="I59" s="270" t="str">
        <f>IF(E59&lt;1," ",IF(H59&lt;1," ",(H59-E59)/E59))</f>
        <v xml:space="preserve"> </v>
      </c>
      <c r="J59" s="828"/>
      <c r="K59" s="637" t="str">
        <f>IF(H59&lt;1," ",IF(J59&lt;1," ",(J59-H59)/H59))</f>
        <v xml:space="preserve"> </v>
      </c>
      <c r="L59" s="828"/>
      <c r="M59" s="870" t="str">
        <f>IF(J59&lt;1," ",IF(L59&lt;1," ",(L59-J59)/J59))</f>
        <v xml:space="preserve"> </v>
      </c>
    </row>
    <row r="60" spans="1:13" ht="15.75">
      <c r="A60" s="68"/>
      <c r="B60" s="348"/>
      <c r="C60" s="349" t="s">
        <v>10</v>
      </c>
      <c r="D60" s="289">
        <v>9712</v>
      </c>
      <c r="E60" s="1190">
        <f>'Budget-Unrestricted MYP'!F60</f>
        <v>0</v>
      </c>
      <c r="F60" s="1189">
        <f>'1st Interim-Unrestricted MYP'!G60</f>
        <v>0</v>
      </c>
      <c r="G60" s="828"/>
      <c r="H60" s="828"/>
      <c r="I60" s="635" t="str">
        <f>IF(E60&lt;1," ",IF(H60&lt;1," ",(H60-E60)/E60))</f>
        <v xml:space="preserve"> </v>
      </c>
      <c r="J60" s="828"/>
      <c r="K60" s="638" t="str">
        <f>IF(H60&lt;1," ",IF(J60&lt;1," ",(J60-H60)/H60))</f>
        <v xml:space="preserve"> </v>
      </c>
      <c r="L60" s="828"/>
      <c r="M60" s="639" t="str">
        <f>IF(J60&lt;1," ",IF(L60&lt;1," ",(L60-J60)/J60))</f>
        <v xml:space="preserve"> </v>
      </c>
    </row>
    <row r="61" spans="1:13" ht="15.75">
      <c r="A61" s="68"/>
      <c r="B61" s="348"/>
      <c r="C61" s="349" t="s">
        <v>11</v>
      </c>
      <c r="D61" s="289">
        <v>9713</v>
      </c>
      <c r="E61" s="1176">
        <f>'Budget-Unrestricted MYP'!F61</f>
        <v>0</v>
      </c>
      <c r="F61" s="1164">
        <f>'1st Interim-Unrestricted MYP'!G61</f>
        <v>0</v>
      </c>
      <c r="G61" s="804"/>
      <c r="H61" s="804"/>
      <c r="I61" s="50" t="str">
        <f>IF(E61&lt;1," ",IF(H61&lt;1," ",(H61-E61)/E61))</f>
        <v xml:space="preserve"> </v>
      </c>
      <c r="J61" s="804"/>
      <c r="K61" s="634" t="str">
        <f>IF(H61&lt;1," ",IF(J61&lt;1," ",(J61-H61)/H61))</f>
        <v xml:space="preserve"> </v>
      </c>
      <c r="L61" s="804"/>
      <c r="M61" s="633" t="str">
        <f>IF(J61&lt;1," ",IF(L61&lt;1," ",(L61-J61)/J61))</f>
        <v xml:space="preserve"> </v>
      </c>
    </row>
    <row r="62" spans="1:13" ht="15.75">
      <c r="A62" s="68"/>
      <c r="B62" s="348"/>
      <c r="C62" s="349" t="s">
        <v>144</v>
      </c>
      <c r="D62" s="289">
        <v>9719</v>
      </c>
      <c r="E62" s="1176">
        <f>'Budget-Unrestricted MYP'!F62</f>
        <v>0</v>
      </c>
      <c r="F62" s="1164">
        <f>'1st Interim-Unrestricted MYP'!G62</f>
        <v>0</v>
      </c>
      <c r="G62" s="804"/>
      <c r="H62" s="804"/>
      <c r="I62" s="50" t="str">
        <f>IF(E62&lt;1," ",IF(H62&lt;1," ",(H62-E62)/E62))</f>
        <v xml:space="preserve"> </v>
      </c>
      <c r="J62" s="804"/>
      <c r="K62" s="634" t="str">
        <f>IF(H62&lt;1," ",IF(J62&lt;1," ",(J62-H62)/H62))</f>
        <v xml:space="preserve"> </v>
      </c>
      <c r="L62" s="804"/>
      <c r="M62" s="633" t="str">
        <f>IF(J62&lt;1," ",IF(L62&lt;1," ",(L62-J62)/J62))</f>
        <v xml:space="preserve"> </v>
      </c>
    </row>
    <row r="63" spans="1:13" ht="15.75">
      <c r="A63" s="326"/>
      <c r="B63" s="477" t="s">
        <v>8</v>
      </c>
      <c r="C63" s="478" t="s">
        <v>145</v>
      </c>
      <c r="D63" s="479">
        <v>9740</v>
      </c>
      <c r="E63" s="1191"/>
      <c r="F63" s="1192"/>
      <c r="G63" s="829"/>
      <c r="H63" s="829"/>
      <c r="I63" s="624"/>
      <c r="J63" s="829"/>
      <c r="K63" s="597"/>
      <c r="L63" s="829"/>
      <c r="M63" s="599"/>
    </row>
    <row r="64" spans="1:13" ht="15.75">
      <c r="A64" s="68"/>
      <c r="B64" s="348" t="s">
        <v>9</v>
      </c>
      <c r="C64" s="354" t="s">
        <v>349</v>
      </c>
      <c r="D64" s="988"/>
      <c r="E64" s="1193"/>
      <c r="F64" s="1193"/>
      <c r="G64" s="833"/>
      <c r="H64" s="833"/>
      <c r="I64" s="636"/>
      <c r="J64" s="833"/>
      <c r="K64" s="636"/>
      <c r="L64" s="833"/>
      <c r="M64" s="640"/>
    </row>
    <row r="65" spans="1:13" ht="15.75">
      <c r="A65" s="68"/>
      <c r="B65" s="348"/>
      <c r="C65" s="349" t="s">
        <v>146</v>
      </c>
      <c r="D65" s="290">
        <v>9750</v>
      </c>
      <c r="E65" s="1176">
        <f>'Budget-Unrestricted MYP'!F65</f>
        <v>0</v>
      </c>
      <c r="F65" s="1164">
        <f>'1st Interim-Unrestricted MYP'!G65</f>
        <v>0</v>
      </c>
      <c r="G65" s="804"/>
      <c r="H65" s="804"/>
      <c r="I65" s="50" t="str">
        <f>IF(E65&lt;1," ",IF(H65&lt;1," ",(H65-E65)/E65))</f>
        <v xml:space="preserve"> </v>
      </c>
      <c r="J65" s="804"/>
      <c r="K65" s="634" t="str">
        <f>IF(H65&lt;1," ",IF(J65&lt;1," ",(J65-H65)/H65))</f>
        <v xml:space="preserve"> </v>
      </c>
      <c r="L65" s="804"/>
      <c r="M65" s="633" t="str">
        <f>IF(J65&lt;1," ",IF(L65&lt;1," ",(L65-J65)/J65))</f>
        <v xml:space="preserve"> </v>
      </c>
    </row>
    <row r="66" spans="1:13" ht="15.75">
      <c r="A66" s="68"/>
      <c r="B66" s="348"/>
      <c r="C66" s="349" t="s">
        <v>147</v>
      </c>
      <c r="D66" s="290">
        <v>9760</v>
      </c>
      <c r="E66" s="1176">
        <f>'Budget-Unrestricted MYP'!F66</f>
        <v>0</v>
      </c>
      <c r="F66" s="1164">
        <f>'1st Interim-Unrestricted MYP'!G66</f>
        <v>0</v>
      </c>
      <c r="G66" s="804"/>
      <c r="H66" s="804"/>
      <c r="I66" s="50" t="str">
        <f>IF(E66&lt;1," ",IF(H66&lt;1," ",(H66-E66)/E66))</f>
        <v xml:space="preserve"> </v>
      </c>
      <c r="J66" s="804"/>
      <c r="K66" s="634" t="str">
        <f>IF(H66&lt;1," ",IF(J66&lt;1," ",(J66-H66)/H66))</f>
        <v xml:space="preserve"> </v>
      </c>
      <c r="L66" s="804"/>
      <c r="M66" s="633" t="str">
        <f>IF(J66&lt;1," ",IF(L66&lt;1," ",(L66-J66)/J66))</f>
        <v xml:space="preserve"> </v>
      </c>
    </row>
    <row r="67" spans="1:13" ht="15.75">
      <c r="A67" s="68"/>
      <c r="B67" s="348" t="s">
        <v>38</v>
      </c>
      <c r="C67" s="350" t="s">
        <v>148</v>
      </c>
      <c r="D67" s="289">
        <v>9780</v>
      </c>
      <c r="E67" s="1176">
        <f>'Budget-Unrestricted MYP'!F67</f>
        <v>0</v>
      </c>
      <c r="F67" s="1164">
        <f>'1st Interim-Unrestricted MYP'!G67</f>
        <v>0</v>
      </c>
      <c r="G67" s="804"/>
      <c r="H67" s="804"/>
      <c r="I67" s="50" t="str">
        <f>IF(E67&lt;1," ",IF(H67&lt;1," ",(H67-E67)/E67))</f>
        <v xml:space="preserve"> </v>
      </c>
      <c r="J67" s="804"/>
      <c r="K67" s="634" t="str">
        <f>IF(H67&lt;1," ",IF(J67&lt;1," ",(J67-H67)/H67))</f>
        <v xml:space="preserve"> </v>
      </c>
      <c r="L67" s="804"/>
      <c r="M67" s="633" t="str">
        <f>IF(J67&lt;1," ",IF(L67&lt;1," ",(L67-J67)/J67))</f>
        <v xml:space="preserve"> </v>
      </c>
    </row>
    <row r="68" spans="1:13" ht="15.75">
      <c r="A68" s="68"/>
      <c r="B68" s="348" t="s">
        <v>40</v>
      </c>
      <c r="C68" s="354" t="s">
        <v>352</v>
      </c>
      <c r="D68" s="604"/>
      <c r="E68" s="1193"/>
      <c r="F68" s="1193"/>
      <c r="G68" s="833"/>
      <c r="H68" s="833"/>
      <c r="I68" s="636"/>
      <c r="J68" s="833"/>
      <c r="K68" s="636"/>
      <c r="L68" s="833"/>
      <c r="M68" s="640"/>
    </row>
    <row r="69" spans="1:13" ht="15.75">
      <c r="A69" s="68"/>
      <c r="B69" s="348"/>
      <c r="C69" s="349" t="s">
        <v>350</v>
      </c>
      <c r="D69" s="290">
        <v>9789</v>
      </c>
      <c r="E69" s="1176">
        <f>'Budget-Unrestricted MYP'!F69</f>
        <v>0</v>
      </c>
      <c r="F69" s="1164">
        <f>'1st Interim-Unrestricted MYP'!G69</f>
        <v>0</v>
      </c>
      <c r="G69" s="803"/>
      <c r="H69" s="803"/>
      <c r="I69" s="50" t="str">
        <f>IF(E69&lt;1," ",IF(H69&lt;1," ",(H69-E69)/E69))</f>
        <v xml:space="preserve"> </v>
      </c>
      <c r="J69" s="803"/>
      <c r="K69" s="634" t="str">
        <f>IF(H69&lt;1," ",IF(J69&lt;1," ",(J69-H69)/H69))</f>
        <v xml:space="preserve"> </v>
      </c>
      <c r="L69" s="803"/>
      <c r="M69" s="633" t="str">
        <f>IF(J69&lt;1," ",IF(L69&lt;1," ",(L69-J69)/J69))</f>
        <v xml:space="preserve"> </v>
      </c>
    </row>
    <row r="70" spans="1:13" ht="16.5" thickBot="1">
      <c r="A70" s="68"/>
      <c r="B70" s="899"/>
      <c r="C70" s="905" t="s">
        <v>351</v>
      </c>
      <c r="D70" s="629">
        <v>9790</v>
      </c>
      <c r="E70" s="1185">
        <f>E55-E65-E66-E67-E69-E59-E60-E61-E62-E63</f>
        <v>385104.05864251911</v>
      </c>
      <c r="F70" s="1185">
        <f>'1st Interim-Unrestricted MYP'!G70</f>
        <v>267338.50730245042</v>
      </c>
      <c r="G70" s="1185">
        <f>G55-G65-G66-G67-G69-G59-G60-G61-G62-G63</f>
        <v>193691</v>
      </c>
      <c r="H70" s="1185" t="e">
        <f>H55-H65-H66-H67-H69-H59-H60-H61-H62-H63</f>
        <v>#VALUE!</v>
      </c>
      <c r="I70" s="596" t="e">
        <f>IF(E70&lt;1," ",IF(H70&lt;1," ",(H70-E70)/E70))</f>
        <v>#VALUE!</v>
      </c>
      <c r="J70" s="815" t="e">
        <f>J55-J65-J66-J67-J69-J59-J60-J61-J62-J63</f>
        <v>#VALUE!</v>
      </c>
      <c r="K70" s="641" t="e">
        <f>IF(H70&lt;1," ",IF(J70&lt;1," ",(J70-H70)/H70))</f>
        <v>#VALUE!</v>
      </c>
      <c r="L70" s="815" t="e">
        <f>L55-L65-L66-L67-L69-L59-L60-L61-L62-L63</f>
        <v>#VALUE!</v>
      </c>
      <c r="M70" s="642" t="e">
        <f>IF(J70&lt;1," ",IF(L70&lt;1," ",(L70-J70)/J70))</f>
        <v>#VALUE!</v>
      </c>
    </row>
    <row r="71" spans="1:13" ht="17.25" thickTop="1" thickBot="1">
      <c r="A71" s="68"/>
      <c r="B71" s="1709"/>
      <c r="C71" s="1710"/>
      <c r="D71" s="1710"/>
      <c r="E71" s="1194"/>
      <c r="F71" s="1194"/>
      <c r="G71" s="1000"/>
      <c r="H71" s="1000"/>
      <c r="I71" s="1000"/>
      <c r="J71" s="1000"/>
      <c r="K71" s="1000"/>
      <c r="L71" s="1000"/>
      <c r="M71" s="1001"/>
    </row>
    <row r="72" spans="1:13" ht="16.5" thickTop="1">
      <c r="A72" s="332"/>
      <c r="B72" s="225"/>
      <c r="C72" s="225"/>
      <c r="D72" s="225"/>
      <c r="E72" s="225"/>
      <c r="F72" s="226"/>
      <c r="G72" s="226"/>
      <c r="H72" s="226"/>
      <c r="I72" s="226"/>
      <c r="J72" s="226"/>
      <c r="K72" s="226"/>
      <c r="M72" s="865"/>
    </row>
    <row r="73" spans="1:13" ht="15.75">
      <c r="A73" s="332" t="s">
        <v>316</v>
      </c>
      <c r="B73" s="225"/>
      <c r="C73" s="225"/>
      <c r="D73" s="225"/>
      <c r="E73" s="225"/>
      <c r="F73" s="226"/>
      <c r="G73" s="226"/>
      <c r="H73" s="226"/>
      <c r="I73" s="226"/>
      <c r="J73" s="226"/>
      <c r="K73" s="226"/>
      <c r="M73" s="865"/>
    </row>
    <row r="74" spans="1:13" ht="16.5">
      <c r="A74" s="284"/>
      <c r="B74" s="166"/>
      <c r="C74" s="1749" t="s">
        <v>324</v>
      </c>
      <c r="D74" s="1749"/>
      <c r="E74" s="1749"/>
      <c r="F74" s="1749"/>
      <c r="G74" s="1749"/>
      <c r="H74" s="365"/>
      <c r="I74" s="853"/>
      <c r="J74" s="365"/>
      <c r="K74" s="853"/>
      <c r="L74" s="458"/>
      <c r="M74" s="865"/>
    </row>
    <row r="75" spans="1:13" ht="15.75">
      <c r="A75" s="332"/>
      <c r="B75" s="291">
        <v>1</v>
      </c>
      <c r="C75" s="1719" t="s">
        <v>244</v>
      </c>
      <c r="D75" s="1719"/>
      <c r="E75" s="1186">
        <f>'Budget-Unrestricted MYP'!F75</f>
        <v>0</v>
      </c>
      <c r="F75" s="1173">
        <f>'1st Interim-Unrestricted MYP'!G75</f>
        <v>0</v>
      </c>
      <c r="G75" s="720"/>
      <c r="H75" s="720"/>
      <c r="I75" s="50" t="str">
        <f t="shared" ref="I75:I83" si="3">IF(E75&lt;1," ",IF(H75&lt;1," ",(H75-E75)/E75))</f>
        <v xml:space="preserve"> </v>
      </c>
      <c r="J75" s="726"/>
      <c r="K75" s="489" t="str">
        <f t="shared" ref="K75:K84" si="4">IF(H75&lt;1," ",IF(J75&lt;1," ",(J75-H75)/H75))</f>
        <v xml:space="preserve"> </v>
      </c>
      <c r="L75" s="710"/>
      <c r="M75" s="488" t="str">
        <f t="shared" ref="M75:M84" si="5">IF(J75&lt;1," ",IF(L75&lt;1," ",(L75-J75)/J75))</f>
        <v xml:space="preserve"> </v>
      </c>
    </row>
    <row r="76" spans="1:13" ht="15.75">
      <c r="A76" s="284"/>
      <c r="B76" s="291">
        <v>2</v>
      </c>
      <c r="C76" s="1717"/>
      <c r="D76" s="1717"/>
      <c r="E76" s="1186">
        <f>'Budget-Unrestricted MYP'!F76</f>
        <v>0</v>
      </c>
      <c r="F76" s="1173">
        <f>'1st Interim-Unrestricted MYP'!G76</f>
        <v>0</v>
      </c>
      <c r="G76" s="720"/>
      <c r="H76" s="720"/>
      <c r="I76" s="50" t="str">
        <f t="shared" si="3"/>
        <v xml:space="preserve"> </v>
      </c>
      <c r="J76" s="726"/>
      <c r="K76" s="489" t="str">
        <f t="shared" si="4"/>
        <v xml:space="preserve"> </v>
      </c>
      <c r="L76" s="710"/>
      <c r="M76" s="488" t="str">
        <f t="shared" si="5"/>
        <v xml:space="preserve"> </v>
      </c>
    </row>
    <row r="77" spans="1:13" ht="15.75">
      <c r="A77" s="284"/>
      <c r="B77" s="291">
        <v>3</v>
      </c>
      <c r="C77" s="1717"/>
      <c r="D77" s="1717"/>
      <c r="E77" s="1186">
        <f>'Budget-Unrestricted MYP'!F77</f>
        <v>0</v>
      </c>
      <c r="F77" s="1173">
        <f>'1st Interim-Unrestricted MYP'!G77</f>
        <v>0</v>
      </c>
      <c r="G77" s="720"/>
      <c r="H77" s="720"/>
      <c r="I77" s="50" t="str">
        <f t="shared" si="3"/>
        <v xml:space="preserve"> </v>
      </c>
      <c r="J77" s="726"/>
      <c r="K77" s="489" t="str">
        <f t="shared" si="4"/>
        <v xml:space="preserve"> </v>
      </c>
      <c r="L77" s="710"/>
      <c r="M77" s="488" t="str">
        <f t="shared" si="5"/>
        <v xml:space="preserve"> </v>
      </c>
    </row>
    <row r="78" spans="1:13" ht="15.75">
      <c r="A78" s="284"/>
      <c r="B78" s="291">
        <v>4</v>
      </c>
      <c r="C78" s="1717"/>
      <c r="D78" s="1717"/>
      <c r="E78" s="1186">
        <f>'Budget-Unrestricted MYP'!F78</f>
        <v>0</v>
      </c>
      <c r="F78" s="1173">
        <f>'1st Interim-Unrestricted MYP'!G78</f>
        <v>0</v>
      </c>
      <c r="G78" s="720"/>
      <c r="H78" s="720"/>
      <c r="I78" s="50" t="str">
        <f t="shared" si="3"/>
        <v xml:space="preserve"> </v>
      </c>
      <c r="J78" s="726"/>
      <c r="K78" s="489" t="str">
        <f t="shared" si="4"/>
        <v xml:space="preserve"> </v>
      </c>
      <c r="L78" s="710"/>
      <c r="M78" s="488" t="str">
        <f t="shared" si="5"/>
        <v xml:space="preserve"> </v>
      </c>
    </row>
    <row r="79" spans="1:13" ht="15.75">
      <c r="A79" s="284"/>
      <c r="B79" s="291">
        <v>5</v>
      </c>
      <c r="C79" s="1717"/>
      <c r="D79" s="1717"/>
      <c r="E79" s="1186">
        <f>'Budget-Unrestricted MYP'!F79</f>
        <v>0</v>
      </c>
      <c r="F79" s="1173">
        <f>'1st Interim-Unrestricted MYP'!G79</f>
        <v>0</v>
      </c>
      <c r="G79" s="720"/>
      <c r="H79" s="720"/>
      <c r="I79" s="50" t="str">
        <f t="shared" si="3"/>
        <v xml:space="preserve"> </v>
      </c>
      <c r="J79" s="726"/>
      <c r="K79" s="489" t="str">
        <f t="shared" si="4"/>
        <v xml:space="preserve"> </v>
      </c>
      <c r="L79" s="710"/>
      <c r="M79" s="488" t="str">
        <f t="shared" si="5"/>
        <v xml:space="preserve"> </v>
      </c>
    </row>
    <row r="80" spans="1:13" ht="15.75">
      <c r="A80" s="284"/>
      <c r="B80" s="292">
        <v>6</v>
      </c>
      <c r="C80" s="1720"/>
      <c r="D80" s="1720"/>
      <c r="E80" s="1186">
        <f>'Budget-Unrestricted MYP'!F80</f>
        <v>0</v>
      </c>
      <c r="F80" s="1173">
        <f>'1st Interim-Unrestricted MYP'!G80</f>
        <v>0</v>
      </c>
      <c r="G80" s="720"/>
      <c r="H80" s="720"/>
      <c r="I80" s="50" t="str">
        <f t="shared" si="3"/>
        <v xml:space="preserve"> </v>
      </c>
      <c r="J80" s="726"/>
      <c r="K80" s="489" t="str">
        <f t="shared" si="4"/>
        <v xml:space="preserve"> </v>
      </c>
      <c r="L80" s="710"/>
      <c r="M80" s="488" t="str">
        <f t="shared" si="5"/>
        <v xml:space="preserve"> </v>
      </c>
    </row>
    <row r="81" spans="1:13" ht="15.75">
      <c r="A81" s="284"/>
      <c r="B81" s="292">
        <v>7</v>
      </c>
      <c r="C81" s="1720"/>
      <c r="D81" s="1720"/>
      <c r="E81" s="1186">
        <f>'Budget-Unrestricted MYP'!F81</f>
        <v>0</v>
      </c>
      <c r="F81" s="1173">
        <f>'1st Interim-Unrestricted MYP'!G81</f>
        <v>0</v>
      </c>
      <c r="G81" s="720"/>
      <c r="H81" s="720"/>
      <c r="I81" s="50" t="str">
        <f t="shared" si="3"/>
        <v xml:space="preserve"> </v>
      </c>
      <c r="J81" s="726"/>
      <c r="K81" s="489" t="str">
        <f t="shared" si="4"/>
        <v xml:space="preserve"> </v>
      </c>
      <c r="L81" s="710"/>
      <c r="M81" s="488" t="str">
        <f t="shared" si="5"/>
        <v xml:space="preserve"> </v>
      </c>
    </row>
    <row r="82" spans="1:13" ht="15.75">
      <c r="A82" s="68"/>
      <c r="B82" s="292">
        <v>8</v>
      </c>
      <c r="C82" s="1720"/>
      <c r="D82" s="1720"/>
      <c r="E82" s="1186">
        <f>'Budget-Unrestricted MYP'!F82</f>
        <v>0</v>
      </c>
      <c r="F82" s="1173">
        <f>'1st Interim-Unrestricted MYP'!G82</f>
        <v>0</v>
      </c>
      <c r="G82" s="721"/>
      <c r="H82" s="721"/>
      <c r="I82" s="50" t="str">
        <f t="shared" si="3"/>
        <v xml:space="preserve"> </v>
      </c>
      <c r="J82" s="728"/>
      <c r="K82" s="489" t="str">
        <f t="shared" si="4"/>
        <v xml:space="preserve"> </v>
      </c>
      <c r="L82" s="717"/>
      <c r="M82" s="488" t="str">
        <f t="shared" si="5"/>
        <v xml:space="preserve"> </v>
      </c>
    </row>
    <row r="83" spans="1:13" ht="16.5" thickBot="1">
      <c r="A83" s="68"/>
      <c r="B83" s="938">
        <v>9</v>
      </c>
      <c r="C83" s="1842"/>
      <c r="D83" s="1842"/>
      <c r="E83" s="1186">
        <f>'Budget-Unrestricted MYP'!F83</f>
        <v>0</v>
      </c>
      <c r="F83" s="1173">
        <f>'1st Interim-Unrestricted MYP'!G83</f>
        <v>0</v>
      </c>
      <c r="G83" s="722"/>
      <c r="H83" s="722"/>
      <c r="I83" s="50" t="str">
        <f t="shared" si="3"/>
        <v xml:space="preserve"> </v>
      </c>
      <c r="J83" s="834"/>
      <c r="K83" s="490" t="str">
        <f t="shared" si="4"/>
        <v xml:space="preserve"> </v>
      </c>
      <c r="L83" s="711"/>
      <c r="M83" s="491" t="str">
        <f t="shared" si="5"/>
        <v xml:space="preserve"> </v>
      </c>
    </row>
    <row r="84" spans="1:13" ht="17.25" thickTop="1" thickBot="1">
      <c r="A84" s="68"/>
      <c r="B84" s="939" t="s">
        <v>2</v>
      </c>
      <c r="C84" s="1707" t="s">
        <v>321</v>
      </c>
      <c r="D84" s="1708"/>
      <c r="E84" s="1161">
        <f>SUM(E75:E83)</f>
        <v>0</v>
      </c>
      <c r="F84" s="1161">
        <f>SUM(F75:F83)</f>
        <v>0</v>
      </c>
      <c r="G84" s="1161">
        <f>SUM(G75:G83)</f>
        <v>0</v>
      </c>
      <c r="H84" s="1161">
        <f>SUM(H75:H83)</f>
        <v>0</v>
      </c>
      <c r="I84" s="1113" t="str">
        <f>IF(E84&lt;1," ",IF(H84&lt;1," ",(H84-E84)/E84))</f>
        <v xml:space="preserve"> </v>
      </c>
      <c r="J84" s="900">
        <f>SUM(J75:J83)</f>
        <v>0</v>
      </c>
      <c r="K84" s="901" t="str">
        <f t="shared" si="4"/>
        <v xml:space="preserve"> </v>
      </c>
      <c r="L84" s="900">
        <f>SUM(L75:L83)</f>
        <v>0</v>
      </c>
      <c r="M84" s="902" t="str">
        <f t="shared" si="5"/>
        <v xml:space="preserve"> </v>
      </c>
    </row>
    <row r="85" spans="1:13" ht="16.5" thickTop="1">
      <c r="A85" s="68"/>
      <c r="B85" s="986"/>
      <c r="C85" s="968"/>
      <c r="D85" s="968"/>
      <c r="E85" s="169"/>
      <c r="F85" s="169"/>
      <c r="G85" s="52"/>
      <c r="H85" s="169"/>
      <c r="I85" s="52"/>
      <c r="J85" s="169"/>
      <c r="K85" s="52"/>
      <c r="L85" s="52"/>
      <c r="M85" s="313"/>
    </row>
    <row r="86" spans="1:13" ht="15.75">
      <c r="A86" s="68"/>
      <c r="B86" s="972" t="s">
        <v>128</v>
      </c>
      <c r="C86" s="352"/>
      <c r="D86" s="976"/>
      <c r="E86" s="1114">
        <f>'Budget-Unrestricted MYP'!F86</f>
        <v>163</v>
      </c>
      <c r="F86" s="1090">
        <f>'1st Interim-Unrestricted MYP'!G86</f>
        <v>163</v>
      </c>
      <c r="G86" s="582"/>
      <c r="H86" s="975">
        <f>'2nd Interim-Assumptions'!G16</f>
        <v>0</v>
      </c>
      <c r="I86" s="470"/>
      <c r="J86" s="975">
        <f>'2nd Interim-Assumptions'!H16</f>
        <v>0</v>
      </c>
      <c r="K86" s="470"/>
      <c r="L86" s="975">
        <f>'2nd Interim-Assumptions'!J16</f>
        <v>0</v>
      </c>
      <c r="M86" s="690"/>
    </row>
    <row r="87" spans="1:13" ht="15.75">
      <c r="A87" s="284"/>
      <c r="B87" s="972" t="s">
        <v>137</v>
      </c>
      <c r="C87" s="352"/>
      <c r="D87" s="976"/>
      <c r="E87" s="1115">
        <f>'Budget-Unrestricted MYP'!F87</f>
        <v>133984.37325999999</v>
      </c>
      <c r="F87" s="1091">
        <f>'1st Interim-Unrestricted MYP'!G87</f>
        <v>86825.959800000011</v>
      </c>
      <c r="G87" s="583"/>
      <c r="H87" s="978" t="e">
        <f>(1.04446*'2nd Interim-ADA'!O76)*H86</f>
        <v>#VALUE!</v>
      </c>
      <c r="I87" s="50" t="e">
        <f>IF(E87&lt;1," ",IF(H87&lt;1," ",(H87-E87)/E87))</f>
        <v>#VALUE!</v>
      </c>
      <c r="J87" s="978" t="e">
        <f>(1.04446*'2nd Interim-ADA'!R76)*J86</f>
        <v>#VALUE!</v>
      </c>
      <c r="K87" s="272" t="e">
        <f>IF(H87&lt;1," ",IF(J87&lt;1," ",(J87-H87)/H87))</f>
        <v>#VALUE!</v>
      </c>
      <c r="L87" s="978" t="e">
        <f>(1.04446*'2nd Interim-ADA'!U76)*L86</f>
        <v>#VALUE!</v>
      </c>
      <c r="M87" s="308" t="e">
        <f>IF(J87&lt;1," ",IF(L87&lt;1," ",(L87-J87)/J87))</f>
        <v>#VALUE!</v>
      </c>
    </row>
    <row r="88" spans="1:13" ht="15.75">
      <c r="A88" s="68"/>
      <c r="B88" s="969"/>
      <c r="C88" s="969"/>
      <c r="D88" s="969"/>
      <c r="E88" s="970"/>
      <c r="F88" s="971"/>
      <c r="G88" s="52"/>
      <c r="H88" s="52"/>
      <c r="I88" s="52"/>
      <c r="J88" s="52"/>
      <c r="K88" s="52"/>
      <c r="L88" s="52"/>
      <c r="M88" s="313"/>
    </row>
    <row r="89" spans="1:13" ht="15.75">
      <c r="A89" s="284"/>
      <c r="B89" s="166"/>
      <c r="C89" s="166" t="s">
        <v>129</v>
      </c>
      <c r="D89" s="166"/>
      <c r="E89" s="166"/>
      <c r="F89" s="553"/>
      <c r="G89" s="553"/>
      <c r="H89" s="553"/>
      <c r="I89" s="553"/>
      <c r="J89" s="553"/>
      <c r="K89" s="553"/>
      <c r="L89" s="52"/>
      <c r="M89" s="313"/>
    </row>
    <row r="90" spans="1:13" ht="15.75">
      <c r="A90" s="284"/>
      <c r="B90" s="291">
        <v>1</v>
      </c>
      <c r="C90" s="1717"/>
      <c r="D90" s="1718"/>
      <c r="E90" s="1120">
        <f>'Budget-Unrestricted MYP'!F90</f>
        <v>0</v>
      </c>
      <c r="F90" s="1151">
        <f>'1st Interim-Unrestricted MYP'!G90</f>
        <v>0</v>
      </c>
      <c r="G90" s="1154"/>
      <c r="H90" s="720"/>
      <c r="I90" s="50" t="str">
        <f t="shared" ref="I90:I108" si="6">IF(E90&lt;1," ",IF(H90&lt;1," ",(H90-E90)/E90))</f>
        <v xml:space="preserve"> </v>
      </c>
      <c r="J90" s="726"/>
      <c r="K90" s="490" t="str">
        <f t="shared" ref="K90:K108" si="7">IF(H90&lt;1," ",IF(J90&lt;1," ",(J90-H90)/H90))</f>
        <v xml:space="preserve"> </v>
      </c>
      <c r="L90" s="715"/>
      <c r="M90" s="608" t="str">
        <f t="shared" ref="M90:M108" si="8">IF(J90&lt;1," ",IF(L90&lt;1," ",(L90-J90)/J90))</f>
        <v xml:space="preserve"> </v>
      </c>
    </row>
    <row r="91" spans="1:13" ht="15.75">
      <c r="A91" s="284"/>
      <c r="B91" s="291">
        <v>2</v>
      </c>
      <c r="C91" s="1717"/>
      <c r="D91" s="1718"/>
      <c r="E91" s="1116">
        <f>'Budget-Unrestricted MYP'!F91</f>
        <v>0</v>
      </c>
      <c r="F91" s="1152">
        <f>'1st Interim-Unrestricted MYP'!G91</f>
        <v>0</v>
      </c>
      <c r="G91" s="1141"/>
      <c r="H91" s="721"/>
      <c r="I91" s="50" t="str">
        <f t="shared" si="6"/>
        <v xml:space="preserve"> </v>
      </c>
      <c r="J91" s="728"/>
      <c r="K91" s="490" t="str">
        <f t="shared" si="7"/>
        <v xml:space="preserve"> </v>
      </c>
      <c r="L91" s="717"/>
      <c r="M91" s="491" t="str">
        <f t="shared" si="8"/>
        <v xml:space="preserve"> </v>
      </c>
    </row>
    <row r="92" spans="1:13" ht="15.75">
      <c r="A92" s="284"/>
      <c r="B92" s="291">
        <v>3</v>
      </c>
      <c r="C92" s="1717"/>
      <c r="D92" s="1718"/>
      <c r="E92" s="1116">
        <f>'Budget-Unrestricted MYP'!F92</f>
        <v>0</v>
      </c>
      <c r="F92" s="1152">
        <f>'1st Interim-Unrestricted MYP'!G92</f>
        <v>0</v>
      </c>
      <c r="G92" s="1141"/>
      <c r="H92" s="721"/>
      <c r="I92" s="50" t="str">
        <f t="shared" si="6"/>
        <v xml:space="preserve"> </v>
      </c>
      <c r="J92" s="728"/>
      <c r="K92" s="490" t="str">
        <f t="shared" si="7"/>
        <v xml:space="preserve"> </v>
      </c>
      <c r="L92" s="717"/>
      <c r="M92" s="491" t="str">
        <f t="shared" si="8"/>
        <v xml:space="preserve"> </v>
      </c>
    </row>
    <row r="93" spans="1:13" ht="15.75">
      <c r="A93" s="284"/>
      <c r="B93" s="291">
        <v>4</v>
      </c>
      <c r="C93" s="1717"/>
      <c r="D93" s="1718"/>
      <c r="E93" s="1116">
        <f>'Budget-Unrestricted MYP'!F93</f>
        <v>0</v>
      </c>
      <c r="F93" s="1151">
        <f>'1st Interim-Unrestricted MYP'!G93</f>
        <v>0</v>
      </c>
      <c r="G93" s="1154"/>
      <c r="H93" s="720"/>
      <c r="I93" s="50" t="str">
        <f t="shared" si="6"/>
        <v xml:space="preserve"> </v>
      </c>
      <c r="J93" s="726"/>
      <c r="K93" s="490" t="str">
        <f t="shared" si="7"/>
        <v xml:space="preserve"> </v>
      </c>
      <c r="L93" s="710"/>
      <c r="M93" s="491" t="str">
        <f t="shared" si="8"/>
        <v xml:space="preserve"> </v>
      </c>
    </row>
    <row r="94" spans="1:13" ht="15.75">
      <c r="A94" s="68"/>
      <c r="B94" s="291">
        <v>5</v>
      </c>
      <c r="C94" s="1717"/>
      <c r="D94" s="1718"/>
      <c r="E94" s="1116">
        <f>'Budget-Unrestricted MYP'!F94</f>
        <v>0</v>
      </c>
      <c r="F94" s="1153">
        <f>'1st Interim-Unrestricted MYP'!G94</f>
        <v>0</v>
      </c>
      <c r="G94" s="1155"/>
      <c r="H94" s="738"/>
      <c r="I94" s="50" t="str">
        <f t="shared" si="6"/>
        <v xml:space="preserve"> </v>
      </c>
      <c r="J94" s="835"/>
      <c r="K94" s="490" t="str">
        <f t="shared" si="7"/>
        <v xml:space="preserve"> </v>
      </c>
      <c r="L94" s="840"/>
      <c r="M94" s="491" t="str">
        <f t="shared" si="8"/>
        <v xml:space="preserve"> </v>
      </c>
    </row>
    <row r="95" spans="1:13" ht="15.75">
      <c r="A95" s="285"/>
      <c r="B95" s="292">
        <v>6</v>
      </c>
      <c r="C95" s="1720"/>
      <c r="D95" s="1757"/>
      <c r="E95" s="1116">
        <f>'Budget-Unrestricted MYP'!F95</f>
        <v>0</v>
      </c>
      <c r="F95" s="1118">
        <f>'1st Interim-Unrestricted MYP'!G95</f>
        <v>0</v>
      </c>
      <c r="G95" s="1140"/>
      <c r="H95" s="739"/>
      <c r="I95" s="50" t="str">
        <f t="shared" si="6"/>
        <v xml:space="preserve"> </v>
      </c>
      <c r="J95" s="836"/>
      <c r="K95" s="489" t="str">
        <f t="shared" si="7"/>
        <v xml:space="preserve"> </v>
      </c>
      <c r="L95" s="841"/>
      <c r="M95" s="488" t="str">
        <f t="shared" si="8"/>
        <v xml:space="preserve"> </v>
      </c>
    </row>
    <row r="96" spans="1:13" ht="15.75">
      <c r="A96" s="285"/>
      <c r="B96" s="292">
        <v>7</v>
      </c>
      <c r="C96" s="1720"/>
      <c r="D96" s="1757"/>
      <c r="E96" s="1116">
        <f>'Budget-Unrestricted MYP'!F96</f>
        <v>0</v>
      </c>
      <c r="F96" s="1117">
        <f>'1st Interim-Unrestricted MYP'!G96</f>
        <v>0</v>
      </c>
      <c r="G96" s="1141"/>
      <c r="H96" s="721"/>
      <c r="I96" s="50" t="str">
        <f t="shared" si="6"/>
        <v xml:space="preserve"> </v>
      </c>
      <c r="J96" s="728"/>
      <c r="K96" s="489" t="str">
        <f t="shared" si="7"/>
        <v xml:space="preserve"> </v>
      </c>
      <c r="L96" s="717"/>
      <c r="M96" s="488" t="str">
        <f t="shared" si="8"/>
        <v xml:space="preserve"> </v>
      </c>
    </row>
    <row r="97" spans="1:13" ht="15.75">
      <c r="A97" s="285"/>
      <c r="B97" s="292">
        <v>8</v>
      </c>
      <c r="C97" s="1720"/>
      <c r="D97" s="1757"/>
      <c r="E97" s="1119">
        <f>'Budget-Unrestricted MYP'!F97</f>
        <v>0</v>
      </c>
      <c r="F97" s="1117">
        <f>'1st Interim-Unrestricted MYP'!G97</f>
        <v>0</v>
      </c>
      <c r="G97" s="1141"/>
      <c r="H97" s="724"/>
      <c r="I97" s="50" t="str">
        <f t="shared" si="6"/>
        <v xml:space="preserve"> </v>
      </c>
      <c r="J97" s="728"/>
      <c r="K97" s="489" t="str">
        <f t="shared" si="7"/>
        <v xml:space="preserve"> </v>
      </c>
      <c r="L97" s="717"/>
      <c r="M97" s="488" t="str">
        <f t="shared" si="8"/>
        <v xml:space="preserve"> </v>
      </c>
    </row>
    <row r="98" spans="1:13" ht="15.75">
      <c r="A98" s="285"/>
      <c r="B98" s="292">
        <v>9</v>
      </c>
      <c r="C98" s="1717"/>
      <c r="D98" s="1718"/>
      <c r="E98" s="1109">
        <f>'Budget-Unrestricted MYP'!F98</f>
        <v>0</v>
      </c>
      <c r="F98" s="1117">
        <f>'1st Interim-Unrestricted MYP'!G98</f>
        <v>0</v>
      </c>
      <c r="G98" s="1141"/>
      <c r="H98" s="724"/>
      <c r="I98" s="50" t="str">
        <f t="shared" si="6"/>
        <v xml:space="preserve"> </v>
      </c>
      <c r="J98" s="728"/>
      <c r="K98" s="489" t="str">
        <f t="shared" si="7"/>
        <v xml:space="preserve"> </v>
      </c>
      <c r="L98" s="717"/>
      <c r="M98" s="488" t="str">
        <f t="shared" si="8"/>
        <v xml:space="preserve"> </v>
      </c>
    </row>
    <row r="99" spans="1:13" ht="15.75">
      <c r="A99" s="285"/>
      <c r="B99" s="147">
        <v>10</v>
      </c>
      <c r="C99" s="1720"/>
      <c r="D99" s="1757"/>
      <c r="E99" s="1120">
        <f>'Budget-Unrestricted MYP'!F99</f>
        <v>0</v>
      </c>
      <c r="F99" s="1117">
        <f>'1st Interim-Unrestricted MYP'!G99</f>
        <v>0</v>
      </c>
      <c r="G99" s="1141"/>
      <c r="H99" s="724"/>
      <c r="I99" s="50" t="str">
        <f t="shared" si="6"/>
        <v xml:space="preserve"> </v>
      </c>
      <c r="J99" s="728"/>
      <c r="K99" s="489" t="str">
        <f t="shared" si="7"/>
        <v xml:space="preserve"> </v>
      </c>
      <c r="L99" s="717"/>
      <c r="M99" s="488" t="str">
        <f t="shared" si="8"/>
        <v xml:space="preserve"> </v>
      </c>
    </row>
    <row r="100" spans="1:13" ht="15.75">
      <c r="A100" s="68"/>
      <c r="B100" s="147">
        <v>11</v>
      </c>
      <c r="C100" s="1720"/>
      <c r="D100" s="1757"/>
      <c r="E100" s="1116">
        <f>'Budget-Unrestricted MYP'!F100</f>
        <v>0</v>
      </c>
      <c r="F100" s="1121">
        <f>'1st Interim-Unrestricted MYP'!G100</f>
        <v>0</v>
      </c>
      <c r="G100" s="1142"/>
      <c r="H100" s="1134"/>
      <c r="I100" s="50" t="str">
        <f t="shared" si="6"/>
        <v xml:space="preserve"> </v>
      </c>
      <c r="J100" s="731"/>
      <c r="K100" s="489" t="str">
        <f t="shared" si="7"/>
        <v xml:space="preserve"> </v>
      </c>
      <c r="L100" s="842"/>
      <c r="M100" s="488" t="str">
        <f t="shared" si="8"/>
        <v xml:space="preserve"> </v>
      </c>
    </row>
    <row r="101" spans="1:13" ht="15.75">
      <c r="A101" s="68"/>
      <c r="B101" s="147">
        <v>12</v>
      </c>
      <c r="C101" s="1720"/>
      <c r="D101" s="1757"/>
      <c r="E101" s="1116">
        <f>'Budget-Unrestricted MYP'!F101</f>
        <v>0</v>
      </c>
      <c r="F101" s="986">
        <f>'1st Interim-Unrestricted MYP'!G101</f>
        <v>0</v>
      </c>
      <c r="G101" s="1143"/>
      <c r="H101" s="1135"/>
      <c r="I101" s="50" t="str">
        <f t="shared" si="6"/>
        <v xml:space="preserve"> </v>
      </c>
      <c r="J101" s="732"/>
      <c r="K101" s="489" t="str">
        <f t="shared" si="7"/>
        <v xml:space="preserve"> </v>
      </c>
      <c r="L101" s="843"/>
      <c r="M101" s="488" t="str">
        <f t="shared" si="8"/>
        <v xml:space="preserve"> </v>
      </c>
    </row>
    <row r="102" spans="1:13" ht="15.75">
      <c r="A102" s="68"/>
      <c r="B102" s="147">
        <v>13</v>
      </c>
      <c r="C102" s="1720"/>
      <c r="D102" s="1757"/>
      <c r="E102" s="1116">
        <f>'Budget-Unrestricted MYP'!F102</f>
        <v>0</v>
      </c>
      <c r="F102" s="1122">
        <f>'1st Interim-Unrestricted MYP'!G102</f>
        <v>0</v>
      </c>
      <c r="G102" s="1144"/>
      <c r="H102" s="1136"/>
      <c r="I102" s="50" t="str">
        <f t="shared" si="6"/>
        <v xml:space="preserve"> </v>
      </c>
      <c r="J102" s="837"/>
      <c r="K102" s="489" t="str">
        <f t="shared" si="7"/>
        <v xml:space="preserve"> </v>
      </c>
      <c r="L102" s="746"/>
      <c r="M102" s="488" t="str">
        <f t="shared" si="8"/>
        <v xml:space="preserve"> </v>
      </c>
    </row>
    <row r="103" spans="1:13" ht="15.75">
      <c r="A103" s="68"/>
      <c r="B103" s="147">
        <v>14</v>
      </c>
      <c r="C103" s="1720"/>
      <c r="D103" s="1757"/>
      <c r="E103" s="1116">
        <f>'Budget-Unrestricted MYP'!F103</f>
        <v>0</v>
      </c>
      <c r="F103" s="1123">
        <f>'1st Interim-Unrestricted MYP'!G103</f>
        <v>0</v>
      </c>
      <c r="G103" s="750"/>
      <c r="H103" s="848"/>
      <c r="I103" s="50" t="str">
        <f t="shared" si="6"/>
        <v xml:space="preserve"> </v>
      </c>
      <c r="J103" s="754"/>
      <c r="K103" s="489" t="str">
        <f t="shared" si="7"/>
        <v xml:space="preserve"> </v>
      </c>
      <c r="L103" s="747"/>
      <c r="M103" s="488" t="str">
        <f t="shared" si="8"/>
        <v xml:space="preserve"> </v>
      </c>
    </row>
    <row r="104" spans="1:13" ht="15.75">
      <c r="A104" s="68"/>
      <c r="B104" s="147">
        <v>15</v>
      </c>
      <c r="C104" s="1720"/>
      <c r="D104" s="1757"/>
      <c r="E104" s="1116">
        <f>'Budget-Unrestricted MYP'!F104</f>
        <v>0</v>
      </c>
      <c r="F104" s="1122">
        <f>'1st Interim-Unrestricted MYP'!G104</f>
        <v>0</v>
      </c>
      <c r="G104" s="1144"/>
      <c r="H104" s="1136"/>
      <c r="I104" s="50" t="str">
        <f t="shared" si="6"/>
        <v xml:space="preserve"> </v>
      </c>
      <c r="J104" s="837"/>
      <c r="K104" s="489" t="str">
        <f t="shared" si="7"/>
        <v xml:space="preserve"> </v>
      </c>
      <c r="L104" s="746"/>
      <c r="M104" s="488" t="str">
        <f t="shared" si="8"/>
        <v xml:space="preserve"> </v>
      </c>
    </row>
    <row r="105" spans="1:13" ht="15.75">
      <c r="A105" s="68"/>
      <c r="B105" s="147">
        <v>16</v>
      </c>
      <c r="C105" s="1720"/>
      <c r="D105" s="1757"/>
      <c r="E105" s="1116">
        <f>'Budget-Unrestricted MYP'!F105</f>
        <v>0</v>
      </c>
      <c r="F105" s="1124">
        <f>'1st Interim-Unrestricted MYP'!G105</f>
        <v>0</v>
      </c>
      <c r="G105" s="1145"/>
      <c r="H105" s="1137"/>
      <c r="I105" s="50" t="str">
        <f t="shared" si="6"/>
        <v xml:space="preserve"> </v>
      </c>
      <c r="J105" s="838"/>
      <c r="K105" s="489" t="str">
        <f t="shared" si="7"/>
        <v xml:space="preserve"> </v>
      </c>
      <c r="L105" s="748"/>
      <c r="M105" s="488" t="str">
        <f t="shared" si="8"/>
        <v xml:space="preserve"> </v>
      </c>
    </row>
    <row r="106" spans="1:13" ht="15.75">
      <c r="A106" s="68"/>
      <c r="B106" s="147">
        <v>17</v>
      </c>
      <c r="C106" s="1720"/>
      <c r="D106" s="1757"/>
      <c r="E106" s="1119">
        <f>'Budget-Unrestricted MYP'!F106</f>
        <v>0</v>
      </c>
      <c r="F106" s="1125">
        <f>'1st Interim-Unrestricted MYP'!G106</f>
        <v>0</v>
      </c>
      <c r="G106" s="1146"/>
      <c r="H106" s="1138"/>
      <c r="I106" s="50" t="str">
        <f t="shared" si="6"/>
        <v xml:space="preserve"> </v>
      </c>
      <c r="J106" s="839"/>
      <c r="K106" s="489" t="str">
        <f t="shared" si="7"/>
        <v xml:space="preserve"> </v>
      </c>
      <c r="L106" s="749"/>
      <c r="M106" s="488" t="str">
        <f t="shared" si="8"/>
        <v xml:space="preserve"> </v>
      </c>
    </row>
    <row r="107" spans="1:13" ht="16.5" thickBot="1">
      <c r="A107" s="68"/>
      <c r="B107" s="899">
        <v>18</v>
      </c>
      <c r="C107" s="1758"/>
      <c r="D107" s="1759"/>
      <c r="E107" s="1109">
        <f>'Budget-Unrestricted MYP'!F107</f>
        <v>0</v>
      </c>
      <c r="F107" s="1126">
        <f>'1st Interim-Unrestricted MYP'!G107</f>
        <v>0</v>
      </c>
      <c r="G107" s="1147"/>
      <c r="H107" s="1139"/>
      <c r="I107" s="50" t="str">
        <f t="shared" si="6"/>
        <v xml:space="preserve"> </v>
      </c>
      <c r="J107" s="737"/>
      <c r="K107" s="605" t="str">
        <f t="shared" si="7"/>
        <v xml:space="preserve"> </v>
      </c>
      <c r="L107" s="844"/>
      <c r="M107" s="606" t="str">
        <f t="shared" si="8"/>
        <v xml:space="preserve"> </v>
      </c>
    </row>
    <row r="108" spans="1:13" ht="17.25" thickTop="1" thickBot="1">
      <c r="A108" s="68"/>
      <c r="B108" s="903"/>
      <c r="C108" s="1707" t="s">
        <v>320</v>
      </c>
      <c r="D108" s="1708"/>
      <c r="E108" s="1133">
        <f>SUM(E90:E107)</f>
        <v>0</v>
      </c>
      <c r="F108" s="1133">
        <f>SUM(F90:F107)</f>
        <v>0</v>
      </c>
      <c r="G108" s="1133">
        <f>SUM(G90:G107)</f>
        <v>0</v>
      </c>
      <c r="H108" s="900">
        <f>SUM(H90:H107)</f>
        <v>0</v>
      </c>
      <c r="I108" s="1132" t="str">
        <f t="shared" si="6"/>
        <v xml:space="preserve"> </v>
      </c>
      <c r="J108" s="900">
        <f>SUM(J90:J107)</f>
        <v>0</v>
      </c>
      <c r="K108" s="901" t="str">
        <f t="shared" si="7"/>
        <v xml:space="preserve"> </v>
      </c>
      <c r="L108" s="900">
        <f>SUM(L90:L107)</f>
        <v>0</v>
      </c>
      <c r="M108" s="902" t="str">
        <f t="shared" si="8"/>
        <v xml:space="preserve"> </v>
      </c>
    </row>
    <row r="109" spans="1:13" ht="16.5" thickTop="1">
      <c r="A109" s="68"/>
      <c r="B109" s="153"/>
      <c r="C109" s="1841"/>
      <c r="D109" s="1841"/>
      <c r="E109" s="658"/>
      <c r="F109" s="869"/>
      <c r="G109" s="459"/>
      <c r="H109" s="459"/>
      <c r="I109" s="873"/>
      <c r="J109" s="459"/>
      <c r="K109" s="873"/>
      <c r="L109" s="459"/>
      <c r="M109" s="875"/>
    </row>
    <row r="110" spans="1:13" ht="15.75">
      <c r="A110" s="284"/>
      <c r="B110" s="166"/>
      <c r="C110" s="166" t="s">
        <v>329</v>
      </c>
      <c r="D110" s="166"/>
      <c r="E110" s="166"/>
      <c r="F110" s="553"/>
      <c r="G110" s="553"/>
      <c r="H110" s="553"/>
      <c r="I110" s="553"/>
      <c r="J110" s="553"/>
      <c r="K110" s="553"/>
      <c r="L110" s="52"/>
      <c r="M110" s="313"/>
    </row>
    <row r="111" spans="1:13" ht="15.75">
      <c r="A111" s="68"/>
      <c r="B111" s="291">
        <v>1</v>
      </c>
      <c r="C111" s="1717" t="s">
        <v>245</v>
      </c>
      <c r="D111" s="1718"/>
      <c r="E111" s="1127">
        <f>'Budget-Unrestricted MYP'!F111</f>
        <v>0</v>
      </c>
      <c r="F111" s="1123">
        <f>'1st Interim-Unrestricted MYP'!G111</f>
        <v>0</v>
      </c>
      <c r="G111" s="1148"/>
      <c r="H111" s="845"/>
      <c r="I111" s="50" t="str">
        <f t="shared" ref="I111:I117" si="9">IF(E111&lt;1," ",IF(H111&lt;1," ",(H111-E111)/E111))</f>
        <v xml:space="preserve"> </v>
      </c>
      <c r="J111" s="754"/>
      <c r="K111" s="31" t="str">
        <f t="shared" ref="K111:K117" si="10">IF(H111&lt;1," ",IF(J111&lt;1," ",(J111-H111)/H111))</f>
        <v xml:space="preserve"> </v>
      </c>
      <c r="L111" s="845"/>
      <c r="M111" s="644" t="str">
        <f t="shared" ref="M111:M117" si="11">IF(J111&lt;1," ",IF(L111&lt;1," ",(L111-J111)/J111))</f>
        <v xml:space="preserve"> </v>
      </c>
    </row>
    <row r="112" spans="1:13" ht="15.75">
      <c r="A112" s="68"/>
      <c r="B112" s="291">
        <v>2</v>
      </c>
      <c r="C112" s="1717"/>
      <c r="D112" s="1718"/>
      <c r="E112" s="1128">
        <f>'Budget-Unrestricted MYP'!F112</f>
        <v>0</v>
      </c>
      <c r="F112" s="1129">
        <f>'1st Interim-Unrestricted MYP'!G112</f>
        <v>0</v>
      </c>
      <c r="G112" s="1149"/>
      <c r="H112" s="846"/>
      <c r="I112" s="50" t="str">
        <f t="shared" si="9"/>
        <v xml:space="preserve"> </v>
      </c>
      <c r="J112" s="752"/>
      <c r="K112" s="80" t="str">
        <f t="shared" si="10"/>
        <v xml:space="preserve"> </v>
      </c>
      <c r="L112" s="846"/>
      <c r="M112" s="645" t="str">
        <f t="shared" si="11"/>
        <v xml:space="preserve"> </v>
      </c>
    </row>
    <row r="113" spans="1:13" ht="15.75">
      <c r="A113" s="68"/>
      <c r="B113" s="291">
        <v>3</v>
      </c>
      <c r="C113" s="1717"/>
      <c r="D113" s="1718"/>
      <c r="E113" s="1130">
        <f>'Budget-Unrestricted MYP'!F113</f>
        <v>0</v>
      </c>
      <c r="F113" s="1126">
        <f>'1st Interim-Unrestricted MYP'!G113</f>
        <v>0</v>
      </c>
      <c r="G113" s="1150"/>
      <c r="H113" s="847"/>
      <c r="I113" s="50" t="str">
        <f t="shared" si="9"/>
        <v xml:space="preserve"> </v>
      </c>
      <c r="J113" s="755"/>
      <c r="K113" s="334" t="str">
        <f t="shared" si="10"/>
        <v xml:space="preserve"> </v>
      </c>
      <c r="L113" s="847"/>
      <c r="M113" s="646" t="str">
        <f t="shared" si="11"/>
        <v xml:space="preserve"> </v>
      </c>
    </row>
    <row r="114" spans="1:13" ht="15.75">
      <c r="A114" s="68"/>
      <c r="B114" s="291">
        <v>4</v>
      </c>
      <c r="C114" s="1717"/>
      <c r="D114" s="1718"/>
      <c r="E114" s="1130">
        <f>'Budget-Unrestricted MYP'!F114</f>
        <v>0</v>
      </c>
      <c r="F114" s="1123">
        <f>'1st Interim-Unrestricted MYP'!G114</f>
        <v>0</v>
      </c>
      <c r="G114" s="750"/>
      <c r="H114" s="848"/>
      <c r="I114" s="50" t="str">
        <f t="shared" si="9"/>
        <v xml:space="preserve"> </v>
      </c>
      <c r="J114" s="754"/>
      <c r="K114" s="31" t="str">
        <f t="shared" si="10"/>
        <v xml:space="preserve"> </v>
      </c>
      <c r="L114" s="848"/>
      <c r="M114" s="647" t="str">
        <f t="shared" si="11"/>
        <v xml:space="preserve"> </v>
      </c>
    </row>
    <row r="115" spans="1:13" ht="15.75">
      <c r="A115" s="68"/>
      <c r="B115" s="291">
        <v>5</v>
      </c>
      <c r="C115" s="1717"/>
      <c r="D115" s="1718"/>
      <c r="E115" s="1130">
        <f>'Budget-Unrestricted MYP'!F115</f>
        <v>0</v>
      </c>
      <c r="F115" s="1123">
        <f>'1st Interim-Unrestricted MYP'!G115</f>
        <v>0</v>
      </c>
      <c r="G115" s="750"/>
      <c r="H115" s="848"/>
      <c r="I115" s="50" t="str">
        <f t="shared" si="9"/>
        <v xml:space="preserve"> </v>
      </c>
      <c r="J115" s="754"/>
      <c r="K115" s="31" t="str">
        <f t="shared" si="10"/>
        <v xml:space="preserve"> </v>
      </c>
      <c r="L115" s="848"/>
      <c r="M115" s="647" t="str">
        <f t="shared" si="11"/>
        <v xml:space="preserve"> </v>
      </c>
    </row>
    <row r="116" spans="1:13" ht="16.5" thickBot="1">
      <c r="A116" s="68"/>
      <c r="B116" s="938">
        <v>6</v>
      </c>
      <c r="C116" s="1758"/>
      <c r="D116" s="1759"/>
      <c r="E116" s="1131">
        <f>'Budget-Unrestricted MYP'!F116</f>
        <v>0</v>
      </c>
      <c r="F116" s="1126">
        <f>'1st Interim-Unrestricted MYP'!G116</f>
        <v>0</v>
      </c>
      <c r="G116" s="1147"/>
      <c r="H116" s="1139"/>
      <c r="I116" s="50" t="str">
        <f t="shared" si="9"/>
        <v xml:space="preserve"> </v>
      </c>
      <c r="J116" s="755"/>
      <c r="K116" s="96" t="str">
        <f t="shared" si="10"/>
        <v xml:space="preserve"> </v>
      </c>
      <c r="L116" s="847"/>
      <c r="M116" s="646" t="str">
        <f t="shared" si="11"/>
        <v xml:space="preserve"> </v>
      </c>
    </row>
    <row r="117" spans="1:13" ht="17.25" thickTop="1" thickBot="1">
      <c r="A117" s="240"/>
      <c r="B117" s="929"/>
      <c r="C117" s="1707" t="s">
        <v>319</v>
      </c>
      <c r="D117" s="1708"/>
      <c r="E117" s="1133">
        <f>SUM(E111:E116)</f>
        <v>0</v>
      </c>
      <c r="F117" s="1133">
        <f>SUM(F111:F116)</f>
        <v>0</v>
      </c>
      <c r="G117" s="1133">
        <f>SUM(G111:G116)</f>
        <v>0</v>
      </c>
      <c r="H117" s="900">
        <f>SUM(H111:H116)</f>
        <v>0</v>
      </c>
      <c r="I117" s="1132" t="str">
        <f t="shared" si="9"/>
        <v xml:space="preserve"> </v>
      </c>
      <c r="J117" s="900">
        <f>SUM(J111:J116)</f>
        <v>0</v>
      </c>
      <c r="K117" s="901" t="str">
        <f t="shared" si="10"/>
        <v xml:space="preserve"> </v>
      </c>
      <c r="L117" s="900">
        <f>SUM(L111:L116)</f>
        <v>0</v>
      </c>
      <c r="M117" s="591" t="str">
        <f t="shared" si="11"/>
        <v xml:space="preserve"> </v>
      </c>
    </row>
    <row r="118" spans="1:13" ht="15.75">
      <c r="A118" s="2"/>
      <c r="B118" s="3"/>
      <c r="C118" s="3"/>
      <c r="D118" s="46"/>
      <c r="F118" s="4"/>
      <c r="G118" s="47"/>
      <c r="H118" s="47"/>
      <c r="I118" s="4"/>
      <c r="J118" s="47"/>
      <c r="K118" s="4"/>
      <c r="L118" s="47"/>
      <c r="M118" s="4"/>
    </row>
    <row r="119" spans="1:13" ht="15.75">
      <c r="A119" s="2"/>
      <c r="B119" s="2"/>
      <c r="C119" s="2"/>
      <c r="D119" s="2"/>
      <c r="E119" s="2"/>
      <c r="F119" s="2"/>
      <c r="G119" s="32"/>
      <c r="H119" s="32"/>
      <c r="I119" s="2"/>
      <c r="J119" s="32"/>
      <c r="K119" s="2"/>
      <c r="L119" s="32"/>
      <c r="M119" s="2"/>
    </row>
    <row r="120" spans="1:13" ht="15.75">
      <c r="A120" s="2"/>
      <c r="B120" s="2"/>
      <c r="C120" s="2"/>
      <c r="D120" s="2"/>
      <c r="E120" s="2"/>
      <c r="F120" s="2"/>
      <c r="G120" s="32"/>
      <c r="H120" s="32"/>
      <c r="I120" s="2"/>
      <c r="J120" s="32"/>
      <c r="K120" s="2"/>
      <c r="L120" s="32"/>
      <c r="M120" s="2"/>
    </row>
    <row r="121" spans="1:13" ht="15.75">
      <c r="A121" s="2"/>
      <c r="B121" s="2"/>
      <c r="C121" s="2"/>
      <c r="D121" s="2"/>
      <c r="E121" s="2"/>
      <c r="F121" s="2"/>
      <c r="G121" s="32"/>
      <c r="H121" s="32"/>
      <c r="I121" s="2"/>
      <c r="J121" s="32"/>
      <c r="K121" s="2"/>
      <c r="L121" s="32"/>
      <c r="M121" s="2"/>
    </row>
    <row r="122" spans="1:13" ht="15.75">
      <c r="A122" s="2"/>
      <c r="B122" s="2"/>
      <c r="C122" s="2"/>
      <c r="D122" s="2"/>
      <c r="E122" s="2"/>
      <c r="F122" s="2"/>
      <c r="G122" s="32"/>
      <c r="H122" s="32"/>
      <c r="I122" s="2"/>
      <c r="J122" s="32"/>
      <c r="K122" s="2"/>
      <c r="L122" s="32"/>
      <c r="M122" s="2"/>
    </row>
    <row r="123" spans="1:13" ht="15.75">
      <c r="A123" s="2"/>
      <c r="B123" s="2"/>
      <c r="C123" s="2"/>
      <c r="D123" s="2"/>
      <c r="E123" s="2"/>
      <c r="F123" s="2"/>
      <c r="G123" s="32"/>
      <c r="H123" s="32"/>
      <c r="I123" s="2"/>
      <c r="J123" s="32"/>
      <c r="K123" s="2"/>
      <c r="L123" s="32"/>
      <c r="M123" s="2"/>
    </row>
    <row r="124" spans="1:13" ht="15.75">
      <c r="A124" s="2"/>
      <c r="B124" s="2"/>
      <c r="C124" s="2"/>
      <c r="D124" s="2"/>
      <c r="E124" s="2"/>
      <c r="F124" s="2"/>
      <c r="G124" s="32"/>
      <c r="H124" s="32"/>
      <c r="I124" s="2"/>
      <c r="J124" s="32"/>
      <c r="K124" s="2"/>
      <c r="L124" s="32"/>
      <c r="M124" s="2"/>
    </row>
    <row r="125" spans="1:13" ht="15.75">
      <c r="A125" s="2"/>
      <c r="B125" s="2"/>
      <c r="C125" s="2"/>
      <c r="D125" s="2"/>
      <c r="E125" s="2"/>
      <c r="F125" s="2"/>
      <c r="G125" s="32"/>
      <c r="H125" s="32"/>
      <c r="I125" s="2"/>
      <c r="J125" s="32"/>
      <c r="K125" s="2"/>
      <c r="L125" s="32"/>
      <c r="M125" s="2"/>
    </row>
    <row r="126" spans="1:13" ht="15.75">
      <c r="A126" s="2"/>
      <c r="B126" s="2"/>
      <c r="C126" s="2"/>
      <c r="D126" s="2"/>
      <c r="E126" s="2"/>
      <c r="F126" s="2"/>
      <c r="G126" s="32"/>
      <c r="H126" s="32"/>
      <c r="I126" s="2"/>
      <c r="J126" s="32"/>
      <c r="K126" s="2"/>
      <c r="L126" s="32"/>
      <c r="M126" s="2"/>
    </row>
    <row r="127" spans="1:13" ht="15.75">
      <c r="A127" s="2"/>
      <c r="B127" s="2"/>
      <c r="C127" s="2"/>
      <c r="D127" s="2"/>
      <c r="E127" s="2"/>
      <c r="F127" s="2"/>
      <c r="G127" s="32"/>
      <c r="H127" s="32"/>
      <c r="I127" s="2"/>
      <c r="J127" s="32"/>
      <c r="K127" s="2"/>
      <c r="L127" s="32"/>
      <c r="M127" s="2"/>
    </row>
    <row r="128" spans="1:13" ht="15.75">
      <c r="A128" s="2"/>
      <c r="B128" s="2"/>
      <c r="C128" s="2"/>
      <c r="D128" s="2"/>
      <c r="E128" s="2"/>
      <c r="F128" s="2"/>
      <c r="G128" s="32"/>
      <c r="H128" s="32"/>
      <c r="I128" s="2"/>
      <c r="J128" s="32"/>
      <c r="K128" s="2"/>
      <c r="L128" s="32"/>
      <c r="M128" s="2"/>
    </row>
    <row r="129" spans="1:13" ht="15.75">
      <c r="A129" s="2"/>
      <c r="B129" s="2"/>
      <c r="C129" s="2"/>
      <c r="D129" s="2"/>
      <c r="E129" s="2"/>
      <c r="F129" s="2"/>
      <c r="G129" s="32"/>
      <c r="H129" s="32"/>
      <c r="I129" s="2"/>
      <c r="J129" s="32"/>
      <c r="K129" s="2"/>
      <c r="L129" s="32"/>
      <c r="M129" s="2"/>
    </row>
    <row r="130" spans="1:13" ht="15.75">
      <c r="A130" s="2"/>
      <c r="B130" s="2"/>
      <c r="C130" s="2"/>
      <c r="D130" s="2"/>
      <c r="E130" s="2"/>
      <c r="F130" s="2"/>
      <c r="G130" s="32"/>
      <c r="H130" s="32"/>
      <c r="I130" s="2"/>
      <c r="J130" s="32"/>
      <c r="K130" s="2"/>
      <c r="L130" s="32"/>
      <c r="M130" s="2"/>
    </row>
    <row r="131" spans="1:13" ht="15.75">
      <c r="A131" s="2"/>
      <c r="B131" s="2"/>
      <c r="C131" s="2"/>
      <c r="D131" s="2"/>
      <c r="E131" s="2"/>
      <c r="F131" s="2"/>
      <c r="G131" s="32"/>
      <c r="H131" s="32"/>
      <c r="I131" s="2"/>
      <c r="J131" s="32"/>
      <c r="K131" s="2"/>
      <c r="L131" s="32"/>
      <c r="M131" s="2"/>
    </row>
    <row r="132" spans="1:13" ht="15.75">
      <c r="A132" s="2"/>
      <c r="B132" s="2"/>
      <c r="C132" s="2"/>
      <c r="D132" s="2"/>
      <c r="E132" s="2"/>
      <c r="F132" s="2"/>
      <c r="G132" s="32"/>
      <c r="H132" s="32"/>
      <c r="I132" s="2"/>
      <c r="J132" s="32"/>
      <c r="K132" s="2"/>
      <c r="L132" s="32"/>
      <c r="M132" s="2"/>
    </row>
    <row r="133" spans="1:13" ht="15.75">
      <c r="A133" s="2"/>
      <c r="B133" s="2"/>
      <c r="C133" s="2"/>
      <c r="D133" s="2"/>
      <c r="E133" s="2"/>
      <c r="F133" s="2"/>
      <c r="G133" s="32"/>
      <c r="H133" s="32"/>
      <c r="I133" s="2"/>
      <c r="J133" s="32"/>
      <c r="K133" s="2"/>
      <c r="L133" s="32"/>
      <c r="M133" s="2"/>
    </row>
    <row r="134" spans="1:13" ht="15.75">
      <c r="A134" s="2"/>
      <c r="B134" s="2"/>
      <c r="C134" s="2"/>
      <c r="D134" s="2"/>
      <c r="E134" s="2"/>
      <c r="F134" s="2"/>
      <c r="G134" s="32"/>
      <c r="H134" s="32"/>
      <c r="I134" s="2"/>
      <c r="J134" s="32"/>
      <c r="K134" s="2"/>
      <c r="L134" s="32"/>
      <c r="M134" s="2"/>
    </row>
    <row r="135" spans="1:13" ht="15.75">
      <c r="A135" s="2"/>
      <c r="B135" s="2"/>
      <c r="C135" s="2"/>
      <c r="D135" s="2"/>
      <c r="E135" s="2"/>
      <c r="F135" s="2"/>
      <c r="G135" s="32"/>
      <c r="H135" s="32"/>
      <c r="I135" s="2"/>
      <c r="J135" s="32"/>
      <c r="K135" s="2"/>
      <c r="L135" s="32"/>
      <c r="M135" s="2"/>
    </row>
    <row r="136" spans="1:13" ht="15.75">
      <c r="A136" s="2"/>
      <c r="B136" s="2"/>
      <c r="C136" s="2"/>
      <c r="D136" s="2"/>
      <c r="E136" s="2"/>
      <c r="F136" s="2"/>
      <c r="G136" s="32"/>
      <c r="H136" s="32"/>
      <c r="I136" s="2"/>
      <c r="J136" s="32"/>
      <c r="K136" s="2"/>
      <c r="L136" s="32"/>
      <c r="M136" s="2"/>
    </row>
    <row r="137" spans="1:13" ht="15.75">
      <c r="A137" s="2"/>
      <c r="B137" s="2"/>
      <c r="C137" s="2"/>
      <c r="D137" s="2"/>
      <c r="E137" s="2"/>
      <c r="F137" s="2"/>
      <c r="G137" s="32"/>
      <c r="H137" s="32"/>
      <c r="I137" s="2"/>
      <c r="J137" s="32"/>
      <c r="K137" s="2"/>
      <c r="L137" s="32"/>
      <c r="M137" s="2"/>
    </row>
    <row r="138" spans="1:13" ht="15.75">
      <c r="A138" s="2"/>
      <c r="B138" s="2"/>
      <c r="C138" s="2"/>
      <c r="D138" s="2"/>
      <c r="E138" s="2"/>
      <c r="F138" s="2"/>
      <c r="G138" s="32"/>
      <c r="H138" s="32"/>
      <c r="I138" s="2"/>
      <c r="J138" s="32"/>
      <c r="K138" s="2"/>
      <c r="L138" s="32"/>
      <c r="M138" s="2"/>
    </row>
    <row r="139" spans="1:13" ht="15.75">
      <c r="A139" s="2"/>
      <c r="B139" s="2"/>
      <c r="C139" s="2"/>
      <c r="D139" s="2"/>
      <c r="E139" s="2"/>
      <c r="F139" s="2"/>
      <c r="G139" s="32"/>
      <c r="H139" s="32"/>
      <c r="I139" s="2"/>
      <c r="J139" s="32"/>
      <c r="K139" s="2"/>
      <c r="L139" s="32"/>
      <c r="M139" s="2"/>
    </row>
    <row r="140" spans="1:13" ht="15.75">
      <c r="A140" s="2"/>
      <c r="B140" s="2"/>
      <c r="C140" s="2"/>
      <c r="D140" s="2"/>
      <c r="E140" s="2"/>
      <c r="F140" s="2"/>
      <c r="G140" s="32"/>
      <c r="H140" s="32"/>
      <c r="I140" s="2"/>
      <c r="J140" s="32"/>
      <c r="K140" s="2"/>
      <c r="L140" s="32"/>
      <c r="M140" s="2"/>
    </row>
    <row r="141" spans="1:13" ht="15.75">
      <c r="A141" s="2"/>
      <c r="B141" s="2"/>
      <c r="C141" s="2"/>
      <c r="D141" s="2"/>
      <c r="E141" s="2"/>
      <c r="F141" s="2"/>
      <c r="G141" s="32"/>
      <c r="H141" s="32"/>
      <c r="I141" s="2"/>
      <c r="J141" s="32"/>
      <c r="K141" s="2"/>
      <c r="L141" s="32"/>
      <c r="M141" s="2"/>
    </row>
    <row r="142" spans="1:13" ht="15.75">
      <c r="A142" s="2"/>
      <c r="B142" s="2"/>
      <c r="C142" s="2"/>
      <c r="D142" s="2"/>
      <c r="E142" s="2"/>
      <c r="F142" s="2"/>
      <c r="G142" s="32"/>
      <c r="H142" s="32"/>
      <c r="I142" s="2"/>
      <c r="J142" s="32"/>
      <c r="K142" s="2"/>
      <c r="L142" s="32"/>
      <c r="M142" s="2"/>
    </row>
    <row r="143" spans="1:13" ht="15.75">
      <c r="A143" s="2"/>
      <c r="B143" s="2"/>
      <c r="C143" s="2"/>
      <c r="D143" s="2"/>
      <c r="E143" s="2"/>
      <c r="F143" s="2"/>
      <c r="G143" s="32"/>
      <c r="H143" s="32"/>
      <c r="I143" s="2"/>
      <c r="J143" s="32"/>
      <c r="K143" s="2"/>
      <c r="L143" s="32"/>
      <c r="M143" s="2"/>
    </row>
    <row r="144" spans="1:13" ht="15.75">
      <c r="A144" s="2"/>
      <c r="B144" s="2"/>
      <c r="C144" s="2"/>
      <c r="D144" s="2"/>
      <c r="E144" s="2"/>
      <c r="F144" s="2"/>
      <c r="G144" s="32"/>
      <c r="H144" s="32"/>
      <c r="I144" s="2"/>
      <c r="J144" s="32"/>
      <c r="K144" s="2"/>
      <c r="L144" s="32"/>
      <c r="M144" s="2"/>
    </row>
    <row r="145" spans="1:13" ht="15.75">
      <c r="A145" s="2"/>
      <c r="B145" s="2"/>
      <c r="C145" s="2"/>
      <c r="D145" s="2"/>
      <c r="E145" s="2"/>
      <c r="F145" s="2"/>
      <c r="G145" s="32"/>
      <c r="H145" s="32"/>
      <c r="I145" s="2"/>
      <c r="J145" s="32"/>
      <c r="K145" s="2"/>
      <c r="L145" s="32"/>
      <c r="M145" s="2"/>
    </row>
    <row r="146" spans="1:13" ht="15.75">
      <c r="A146" s="2"/>
      <c r="B146" s="2"/>
      <c r="C146" s="2"/>
      <c r="D146" s="2"/>
      <c r="E146" s="2"/>
      <c r="F146" s="2"/>
      <c r="G146" s="32"/>
      <c r="H146" s="32"/>
      <c r="I146" s="2"/>
      <c r="J146" s="32"/>
      <c r="K146" s="2"/>
      <c r="L146" s="32"/>
      <c r="M146" s="2"/>
    </row>
    <row r="147" spans="1:13" ht="15.75">
      <c r="A147" s="2"/>
      <c r="B147" s="2"/>
      <c r="C147" s="2"/>
      <c r="D147" s="2"/>
      <c r="E147" s="2"/>
      <c r="F147" s="2"/>
      <c r="G147" s="32"/>
      <c r="H147" s="32"/>
      <c r="I147" s="2"/>
      <c r="J147" s="32"/>
      <c r="K147" s="2"/>
      <c r="L147" s="32"/>
      <c r="M147" s="2"/>
    </row>
    <row r="148" spans="1:13" ht="15.75">
      <c r="A148" s="2"/>
      <c r="B148" s="2"/>
      <c r="C148" s="2"/>
      <c r="D148" s="2"/>
      <c r="E148" s="2"/>
      <c r="F148" s="2"/>
      <c r="G148" s="32"/>
      <c r="H148" s="32"/>
      <c r="I148" s="2"/>
      <c r="J148" s="32"/>
      <c r="K148" s="2"/>
      <c r="L148" s="32"/>
      <c r="M148" s="2"/>
    </row>
    <row r="149" spans="1:13" ht="15.75">
      <c r="A149" s="2"/>
      <c r="B149" s="2"/>
      <c r="C149" s="2"/>
      <c r="D149" s="2"/>
      <c r="E149" s="2"/>
      <c r="F149" s="2"/>
      <c r="G149" s="32"/>
      <c r="H149" s="32"/>
      <c r="I149" s="2"/>
      <c r="J149" s="32"/>
      <c r="K149" s="2"/>
      <c r="L149" s="32"/>
      <c r="M149" s="2"/>
    </row>
    <row r="150" spans="1:13" ht="15.75">
      <c r="A150" s="2"/>
      <c r="B150" s="2"/>
      <c r="C150" s="2"/>
      <c r="D150" s="2"/>
      <c r="E150" s="2"/>
      <c r="F150" s="2"/>
      <c r="G150" s="32"/>
      <c r="H150" s="32"/>
      <c r="I150" s="2"/>
      <c r="J150" s="32"/>
      <c r="K150" s="2"/>
      <c r="L150" s="32"/>
      <c r="M150" s="2"/>
    </row>
    <row r="151" spans="1:13" ht="15.75">
      <c r="A151" s="2"/>
      <c r="B151" s="2"/>
      <c r="C151" s="2"/>
      <c r="D151" s="2"/>
      <c r="E151" s="2"/>
      <c r="F151" s="2"/>
      <c r="G151" s="32"/>
      <c r="H151" s="32"/>
      <c r="I151" s="2"/>
      <c r="J151" s="32"/>
      <c r="K151" s="2"/>
      <c r="L151" s="32"/>
      <c r="M151" s="2"/>
    </row>
    <row r="152" spans="1:13" ht="15.75">
      <c r="A152" s="2"/>
      <c r="B152" s="2"/>
      <c r="C152" s="2"/>
      <c r="D152" s="2"/>
      <c r="E152" s="2"/>
      <c r="F152" s="2"/>
      <c r="G152" s="32"/>
      <c r="H152" s="32"/>
      <c r="I152" s="2"/>
      <c r="J152" s="32"/>
      <c r="K152" s="2"/>
      <c r="L152" s="32"/>
      <c r="M152" s="2"/>
    </row>
    <row r="153" spans="1:13" ht="15.75">
      <c r="A153" s="2"/>
      <c r="B153" s="2"/>
      <c r="C153" s="2"/>
      <c r="D153" s="2"/>
      <c r="E153" s="2"/>
      <c r="F153" s="2"/>
      <c r="G153" s="32"/>
      <c r="H153" s="32"/>
      <c r="I153" s="2"/>
      <c r="J153" s="32"/>
      <c r="K153" s="2"/>
      <c r="L153" s="32"/>
      <c r="M153" s="2"/>
    </row>
    <row r="154" spans="1:13" ht="15.75">
      <c r="A154" s="2"/>
      <c r="B154" s="2"/>
      <c r="C154" s="2"/>
      <c r="D154" s="2"/>
      <c r="E154" s="2"/>
      <c r="F154" s="2"/>
      <c r="G154" s="32"/>
      <c r="H154" s="32"/>
      <c r="I154" s="2"/>
      <c r="J154" s="32"/>
      <c r="K154" s="2"/>
      <c r="L154" s="32"/>
      <c r="M154" s="2"/>
    </row>
    <row r="155" spans="1:13" ht="15.75">
      <c r="A155" s="2"/>
      <c r="B155" s="2"/>
      <c r="C155" s="2"/>
      <c r="D155" s="2"/>
      <c r="E155" s="2"/>
      <c r="F155" s="2"/>
      <c r="G155" s="32"/>
      <c r="H155" s="32"/>
      <c r="I155" s="2"/>
      <c r="J155" s="32"/>
      <c r="K155" s="2"/>
      <c r="L155" s="32"/>
      <c r="M155" s="2"/>
    </row>
    <row r="156" spans="1:13" ht="15.75">
      <c r="A156" s="2"/>
      <c r="B156" s="2"/>
      <c r="C156" s="2"/>
      <c r="D156" s="2"/>
      <c r="E156" s="2"/>
      <c r="F156" s="2"/>
      <c r="G156" s="32"/>
      <c r="H156" s="32"/>
      <c r="I156" s="2"/>
      <c r="J156" s="32"/>
      <c r="K156" s="2"/>
      <c r="L156" s="32"/>
      <c r="M156" s="2"/>
    </row>
    <row r="157" spans="1:13" ht="15.75">
      <c r="A157" s="2"/>
      <c r="B157" s="2"/>
      <c r="C157" s="2"/>
      <c r="D157" s="2"/>
      <c r="E157" s="2"/>
      <c r="F157" s="2"/>
      <c r="G157" s="32"/>
      <c r="H157" s="32"/>
      <c r="I157" s="2"/>
      <c r="J157" s="32"/>
      <c r="K157" s="2"/>
      <c r="L157" s="32"/>
      <c r="M157" s="2"/>
    </row>
    <row r="158" spans="1:13" ht="15.75">
      <c r="A158" s="2"/>
      <c r="B158" s="2"/>
      <c r="C158" s="2"/>
      <c r="D158" s="2"/>
      <c r="E158" s="2"/>
      <c r="F158" s="2"/>
      <c r="G158" s="32"/>
      <c r="H158" s="32"/>
      <c r="I158" s="2"/>
      <c r="J158" s="32"/>
      <c r="K158" s="2"/>
      <c r="L158" s="32"/>
      <c r="M158" s="2"/>
    </row>
    <row r="159" spans="1:13" ht="15.75">
      <c r="A159" s="2"/>
      <c r="B159" s="2"/>
      <c r="C159" s="2"/>
      <c r="D159" s="2"/>
      <c r="E159" s="2"/>
      <c r="F159" s="2"/>
      <c r="G159" s="32"/>
      <c r="H159" s="32"/>
      <c r="I159" s="2"/>
      <c r="J159" s="32"/>
      <c r="K159" s="2"/>
      <c r="L159" s="32"/>
      <c r="M159" s="2"/>
    </row>
    <row r="160" spans="1:13" ht="15.75">
      <c r="A160" s="2"/>
      <c r="B160" s="2"/>
      <c r="C160" s="2"/>
      <c r="D160" s="2"/>
      <c r="E160" s="2"/>
      <c r="F160" s="2"/>
      <c r="G160" s="32"/>
      <c r="H160" s="32"/>
      <c r="I160" s="2"/>
      <c r="J160" s="32"/>
      <c r="K160" s="2"/>
      <c r="L160" s="32"/>
      <c r="M160" s="2"/>
    </row>
    <row r="161" spans="1:13" ht="15.75">
      <c r="A161" s="2"/>
      <c r="B161" s="2"/>
      <c r="C161" s="2"/>
      <c r="D161" s="2"/>
      <c r="E161" s="2"/>
      <c r="F161" s="2"/>
      <c r="G161" s="32"/>
      <c r="H161" s="32"/>
      <c r="I161" s="2"/>
      <c r="J161" s="32"/>
      <c r="K161" s="2"/>
      <c r="L161" s="32"/>
      <c r="M161" s="2"/>
    </row>
    <row r="162" spans="1:13" ht="15.75">
      <c r="A162" s="2"/>
      <c r="B162" s="2"/>
      <c r="C162" s="2"/>
      <c r="D162" s="2"/>
      <c r="E162" s="2"/>
      <c r="F162" s="2"/>
      <c r="G162" s="32"/>
      <c r="H162" s="32"/>
      <c r="I162" s="2"/>
      <c r="J162" s="32"/>
      <c r="K162" s="2"/>
      <c r="L162" s="32"/>
      <c r="M162" s="2"/>
    </row>
    <row r="163" spans="1:13" ht="15.75">
      <c r="A163" s="2"/>
      <c r="B163" s="2"/>
      <c r="C163" s="2"/>
      <c r="D163" s="2"/>
      <c r="E163" s="2"/>
      <c r="F163" s="2"/>
      <c r="G163" s="32"/>
      <c r="H163" s="32"/>
      <c r="I163" s="2"/>
      <c r="J163" s="32"/>
      <c r="K163" s="2"/>
      <c r="L163" s="32"/>
      <c r="M163" s="2"/>
    </row>
    <row r="164" spans="1:13" ht="15.75">
      <c r="A164" s="2"/>
      <c r="B164" s="2"/>
      <c r="C164" s="2"/>
      <c r="D164" s="2"/>
      <c r="E164" s="2"/>
      <c r="F164" s="2"/>
      <c r="G164" s="32"/>
      <c r="H164" s="32"/>
      <c r="I164" s="2"/>
      <c r="J164" s="32"/>
      <c r="K164" s="2"/>
      <c r="L164" s="32"/>
      <c r="M164" s="2"/>
    </row>
    <row r="165" spans="1:13" ht="15.75">
      <c r="A165" s="2"/>
      <c r="B165" s="2"/>
      <c r="C165" s="2"/>
      <c r="D165" s="2"/>
      <c r="E165" s="2"/>
      <c r="F165" s="2"/>
      <c r="G165" s="32"/>
      <c r="H165" s="32"/>
      <c r="I165" s="2"/>
      <c r="J165" s="32"/>
      <c r="K165" s="2"/>
      <c r="L165" s="32"/>
      <c r="M165" s="2"/>
    </row>
    <row r="166" spans="1:13" ht="15.75">
      <c r="A166" s="2"/>
      <c r="B166" s="2"/>
      <c r="C166" s="2"/>
      <c r="D166" s="2"/>
      <c r="E166" s="2"/>
      <c r="F166" s="2"/>
      <c r="G166" s="32"/>
      <c r="H166" s="32"/>
      <c r="I166" s="2"/>
      <c r="J166" s="32"/>
      <c r="K166" s="2"/>
      <c r="L166" s="32"/>
      <c r="M166" s="2"/>
    </row>
    <row r="167" spans="1:13" ht="15.75">
      <c r="A167" s="2"/>
      <c r="B167" s="2"/>
      <c r="C167" s="2"/>
      <c r="D167" s="2"/>
      <c r="E167" s="2"/>
      <c r="F167" s="2"/>
      <c r="G167" s="32"/>
      <c r="H167" s="32"/>
      <c r="I167" s="2"/>
      <c r="J167" s="32"/>
      <c r="K167" s="2"/>
      <c r="L167" s="32"/>
      <c r="M167" s="2"/>
    </row>
    <row r="168" spans="1:13" ht="15.75">
      <c r="A168" s="2"/>
      <c r="B168" s="2"/>
      <c r="C168" s="2"/>
      <c r="D168" s="2"/>
      <c r="E168" s="2"/>
      <c r="F168" s="2"/>
      <c r="G168" s="32"/>
      <c r="H168" s="32"/>
      <c r="I168" s="2"/>
      <c r="J168" s="32"/>
      <c r="K168" s="2"/>
      <c r="L168" s="32"/>
      <c r="M168" s="2"/>
    </row>
    <row r="169" spans="1:13" ht="15.75">
      <c r="A169" s="2"/>
      <c r="B169" s="2"/>
      <c r="C169" s="2"/>
      <c r="D169" s="2"/>
      <c r="E169" s="2"/>
      <c r="F169" s="2"/>
      <c r="G169" s="32"/>
      <c r="H169" s="32"/>
      <c r="I169" s="2"/>
      <c r="J169" s="32"/>
      <c r="K169" s="2"/>
      <c r="L169" s="32"/>
      <c r="M169" s="2"/>
    </row>
    <row r="170" spans="1:13" ht="15.75">
      <c r="A170" s="2"/>
      <c r="B170" s="2"/>
      <c r="C170" s="2"/>
      <c r="D170" s="2"/>
      <c r="E170" s="2"/>
      <c r="F170" s="2"/>
      <c r="G170" s="32"/>
      <c r="H170" s="32"/>
      <c r="I170" s="2"/>
      <c r="J170" s="32"/>
      <c r="K170" s="2"/>
      <c r="L170" s="32"/>
      <c r="M170" s="2"/>
    </row>
    <row r="171" spans="1:13" ht="15.75">
      <c r="A171" s="2"/>
      <c r="B171" s="2"/>
      <c r="C171" s="2"/>
      <c r="D171" s="2"/>
      <c r="E171" s="2"/>
      <c r="F171" s="2"/>
      <c r="G171" s="32"/>
      <c r="H171" s="32"/>
      <c r="I171" s="2"/>
      <c r="J171" s="32"/>
      <c r="K171" s="2"/>
      <c r="L171" s="32"/>
      <c r="M171" s="2"/>
    </row>
    <row r="172" spans="1:13" ht="15.75">
      <c r="A172" s="2"/>
      <c r="B172" s="2"/>
      <c r="C172" s="2"/>
      <c r="D172" s="2"/>
      <c r="E172" s="2"/>
      <c r="F172" s="2"/>
      <c r="G172" s="32"/>
      <c r="H172" s="32"/>
      <c r="I172" s="2"/>
      <c r="J172" s="32"/>
      <c r="K172" s="2"/>
      <c r="L172" s="32"/>
      <c r="M172" s="2"/>
    </row>
    <row r="173" spans="1:13" ht="15.75">
      <c r="A173" s="2"/>
      <c r="B173" s="2"/>
      <c r="C173" s="2"/>
      <c r="D173" s="2"/>
      <c r="E173" s="2"/>
      <c r="F173" s="2"/>
      <c r="G173" s="32"/>
      <c r="H173" s="32"/>
      <c r="I173" s="2"/>
      <c r="J173" s="32"/>
      <c r="K173" s="2"/>
      <c r="L173" s="32"/>
      <c r="M173" s="2"/>
    </row>
    <row r="174" spans="1:13" ht="15.75">
      <c r="A174" s="2"/>
      <c r="B174" s="2"/>
      <c r="C174" s="2"/>
      <c r="D174" s="2"/>
      <c r="E174" s="2"/>
      <c r="F174" s="2"/>
      <c r="G174" s="32"/>
      <c r="H174" s="32"/>
      <c r="I174" s="2"/>
      <c r="J174" s="32"/>
      <c r="K174" s="2"/>
      <c r="L174" s="32"/>
      <c r="M174" s="2"/>
    </row>
    <row r="175" spans="1:13" ht="15.75">
      <c r="A175" s="2"/>
      <c r="B175" s="2"/>
      <c r="C175" s="2"/>
      <c r="D175" s="2"/>
      <c r="E175" s="2"/>
      <c r="F175" s="2"/>
      <c r="G175" s="32"/>
      <c r="H175" s="32"/>
      <c r="I175" s="2"/>
      <c r="J175" s="32"/>
      <c r="K175" s="2"/>
      <c r="L175" s="32"/>
      <c r="M175" s="2"/>
    </row>
    <row r="176" spans="1:13" ht="15.75">
      <c r="A176" s="2"/>
      <c r="B176" s="2"/>
      <c r="C176" s="2"/>
      <c r="D176" s="2"/>
      <c r="E176" s="2"/>
      <c r="F176" s="2"/>
      <c r="G176" s="32"/>
      <c r="H176" s="32"/>
      <c r="I176" s="2"/>
      <c r="J176" s="32"/>
      <c r="K176" s="2"/>
      <c r="L176" s="32"/>
      <c r="M176" s="2"/>
    </row>
    <row r="177" spans="1:13" ht="15.75">
      <c r="A177" s="2"/>
      <c r="B177" s="2"/>
      <c r="C177" s="2"/>
      <c r="D177" s="2"/>
      <c r="E177" s="2"/>
      <c r="F177" s="2"/>
      <c r="G177" s="32"/>
      <c r="H177" s="32"/>
      <c r="I177" s="2"/>
      <c r="J177" s="32"/>
      <c r="K177" s="2"/>
      <c r="L177" s="32"/>
      <c r="M177" s="2"/>
    </row>
    <row r="178" spans="1:13" ht="15.75">
      <c r="A178" s="2"/>
      <c r="B178" s="2"/>
      <c r="C178" s="2"/>
      <c r="D178" s="2"/>
      <c r="E178" s="2"/>
      <c r="F178" s="2"/>
      <c r="G178" s="32"/>
      <c r="H178" s="32"/>
      <c r="I178" s="2"/>
      <c r="J178" s="32"/>
      <c r="K178" s="2"/>
      <c r="L178" s="32"/>
      <c r="M178" s="2"/>
    </row>
    <row r="179" spans="1:13" ht="15.75">
      <c r="A179" s="2"/>
      <c r="B179" s="2"/>
      <c r="C179" s="2"/>
      <c r="D179" s="2"/>
      <c r="E179" s="2"/>
      <c r="F179" s="2"/>
      <c r="G179" s="32"/>
      <c r="H179" s="32"/>
      <c r="I179" s="2"/>
      <c r="J179" s="32"/>
      <c r="K179" s="2"/>
      <c r="L179" s="32"/>
      <c r="M179" s="2"/>
    </row>
    <row r="180" spans="1:13" ht="15.75">
      <c r="A180" s="2"/>
      <c r="B180" s="2"/>
      <c r="C180" s="2"/>
      <c r="D180" s="2"/>
      <c r="E180" s="2"/>
      <c r="F180" s="2"/>
      <c r="G180" s="32"/>
      <c r="H180" s="32"/>
      <c r="I180" s="2"/>
      <c r="J180" s="32"/>
      <c r="K180" s="2"/>
      <c r="L180" s="32"/>
      <c r="M180" s="2"/>
    </row>
    <row r="181" spans="1:13" ht="15.75">
      <c r="A181" s="2"/>
      <c r="B181" s="2"/>
      <c r="C181" s="2"/>
      <c r="D181" s="2"/>
      <c r="E181" s="2"/>
      <c r="F181" s="2"/>
      <c r="G181" s="32"/>
      <c r="H181" s="32"/>
      <c r="I181" s="2"/>
      <c r="J181" s="32"/>
      <c r="K181" s="2"/>
      <c r="L181" s="32"/>
      <c r="M181" s="2"/>
    </row>
    <row r="182" spans="1:13" ht="15.75">
      <c r="A182" s="2"/>
      <c r="B182" s="2"/>
      <c r="C182" s="2"/>
      <c r="D182" s="2"/>
      <c r="E182" s="2"/>
      <c r="F182" s="2"/>
      <c r="G182" s="32"/>
      <c r="H182" s="32"/>
      <c r="I182" s="2"/>
      <c r="J182" s="32"/>
      <c r="K182" s="2"/>
      <c r="L182" s="32"/>
      <c r="M182" s="2"/>
    </row>
    <row r="183" spans="1:13" ht="15.75">
      <c r="A183" s="2"/>
      <c r="B183" s="2"/>
      <c r="C183" s="2"/>
      <c r="D183" s="2"/>
      <c r="E183" s="2"/>
      <c r="F183" s="2"/>
      <c r="G183" s="32"/>
      <c r="H183" s="32"/>
      <c r="I183" s="2"/>
      <c r="J183" s="32"/>
      <c r="K183" s="2"/>
      <c r="L183" s="32"/>
      <c r="M183" s="2"/>
    </row>
    <row r="184" spans="1:13" ht="15.75">
      <c r="A184" s="2"/>
      <c r="B184" s="2"/>
      <c r="C184" s="2"/>
      <c r="D184" s="2"/>
      <c r="E184" s="2"/>
      <c r="F184" s="2"/>
      <c r="G184" s="32"/>
      <c r="H184" s="32"/>
      <c r="I184" s="2"/>
      <c r="J184" s="32"/>
      <c r="K184" s="2"/>
      <c r="L184" s="32"/>
      <c r="M184" s="2"/>
    </row>
    <row r="185" spans="1:13" ht="15.75">
      <c r="A185" s="2"/>
      <c r="B185" s="2"/>
      <c r="C185" s="2"/>
      <c r="D185" s="2"/>
      <c r="E185" s="2"/>
      <c r="F185" s="2"/>
      <c r="G185" s="32"/>
      <c r="H185" s="32"/>
      <c r="I185" s="2"/>
      <c r="J185" s="32"/>
      <c r="K185" s="2"/>
      <c r="L185" s="32"/>
      <c r="M185" s="2"/>
    </row>
    <row r="186" spans="1:13" ht="15.75">
      <c r="A186" s="2"/>
      <c r="B186" s="2"/>
      <c r="C186" s="2"/>
      <c r="D186" s="2"/>
      <c r="E186" s="2"/>
      <c r="F186" s="2"/>
      <c r="G186" s="32"/>
      <c r="H186" s="32"/>
      <c r="I186" s="2"/>
      <c r="J186" s="32"/>
      <c r="K186" s="2"/>
      <c r="L186" s="32"/>
      <c r="M186" s="2"/>
    </row>
    <row r="187" spans="1:13" ht="15.75">
      <c r="A187" s="2"/>
      <c r="B187" s="2"/>
      <c r="C187" s="2"/>
      <c r="D187" s="2"/>
      <c r="E187" s="2"/>
      <c r="F187" s="2"/>
      <c r="G187" s="32"/>
      <c r="H187" s="32"/>
      <c r="I187" s="2"/>
      <c r="J187" s="32"/>
      <c r="K187" s="2"/>
      <c r="L187" s="32"/>
      <c r="M187" s="2"/>
    </row>
    <row r="188" spans="1:13" ht="15.75">
      <c r="A188" s="2"/>
      <c r="B188" s="2"/>
      <c r="C188" s="2"/>
      <c r="D188" s="2"/>
      <c r="E188" s="2"/>
      <c r="F188" s="2"/>
      <c r="G188" s="32"/>
      <c r="H188" s="32"/>
      <c r="I188" s="2"/>
      <c r="J188" s="32"/>
      <c r="K188" s="2"/>
      <c r="L188" s="32"/>
      <c r="M188" s="2"/>
    </row>
    <row r="189" spans="1:13" ht="15.75">
      <c r="A189" s="2"/>
      <c r="B189" s="2"/>
      <c r="C189" s="2"/>
      <c r="D189" s="2"/>
      <c r="E189" s="2"/>
      <c r="F189" s="2"/>
      <c r="G189" s="32"/>
      <c r="H189" s="32"/>
      <c r="I189" s="2"/>
      <c r="J189" s="32"/>
      <c r="K189" s="2"/>
      <c r="L189" s="32"/>
      <c r="M189" s="2"/>
    </row>
    <row r="190" spans="1:13" ht="15.75">
      <c r="A190" s="2"/>
      <c r="B190" s="2"/>
      <c r="C190" s="2"/>
      <c r="D190" s="2"/>
      <c r="E190" s="2"/>
      <c r="F190" s="2"/>
      <c r="G190" s="32"/>
      <c r="H190" s="32"/>
      <c r="I190" s="2"/>
      <c r="J190" s="32"/>
      <c r="K190" s="2"/>
      <c r="L190" s="32"/>
      <c r="M190" s="2"/>
    </row>
    <row r="191" spans="1:13" ht="15.75">
      <c r="A191" s="2"/>
      <c r="B191" s="2"/>
      <c r="C191" s="2"/>
      <c r="D191" s="2"/>
      <c r="E191" s="2"/>
      <c r="F191" s="2"/>
      <c r="G191" s="32"/>
      <c r="H191" s="32"/>
      <c r="I191" s="2"/>
      <c r="J191" s="32"/>
      <c r="K191" s="2"/>
      <c r="L191" s="32"/>
      <c r="M191" s="2"/>
    </row>
    <row r="192" spans="1:13" ht="15.75">
      <c r="A192" s="2"/>
      <c r="B192" s="2"/>
      <c r="C192" s="2"/>
      <c r="D192" s="2"/>
      <c r="E192" s="2"/>
      <c r="F192" s="2"/>
      <c r="G192" s="32"/>
      <c r="H192" s="32"/>
      <c r="I192" s="2"/>
      <c r="J192" s="32"/>
      <c r="K192" s="2"/>
      <c r="L192" s="32"/>
      <c r="M192" s="2"/>
    </row>
    <row r="193" spans="1:13" ht="15.75">
      <c r="A193" s="2"/>
      <c r="B193" s="2"/>
      <c r="C193" s="2"/>
      <c r="D193" s="2"/>
      <c r="E193" s="2"/>
      <c r="F193" s="2"/>
      <c r="G193" s="32"/>
      <c r="H193" s="32"/>
      <c r="I193" s="2"/>
      <c r="J193" s="32"/>
      <c r="K193" s="2"/>
      <c r="L193" s="32"/>
      <c r="M193" s="2"/>
    </row>
    <row r="194" spans="1:13" ht="15.75">
      <c r="A194" s="2"/>
      <c r="B194" s="2"/>
      <c r="C194" s="2"/>
      <c r="D194" s="2"/>
      <c r="E194" s="2"/>
      <c r="F194" s="2"/>
      <c r="G194" s="32"/>
      <c r="H194" s="32"/>
      <c r="I194" s="2"/>
      <c r="J194" s="32"/>
      <c r="K194" s="2"/>
      <c r="L194" s="32"/>
      <c r="M194" s="2"/>
    </row>
    <row r="195" spans="1:13" ht="15.75">
      <c r="A195" s="2"/>
      <c r="B195" s="2"/>
      <c r="C195" s="2"/>
      <c r="D195" s="2"/>
      <c r="E195" s="2"/>
      <c r="F195" s="2"/>
      <c r="G195" s="32"/>
      <c r="H195" s="32"/>
      <c r="I195" s="2"/>
      <c r="J195" s="32"/>
      <c r="K195" s="2"/>
      <c r="L195" s="32"/>
      <c r="M195" s="2"/>
    </row>
    <row r="196" spans="1:13" ht="15.75">
      <c r="A196" s="2"/>
      <c r="B196" s="2"/>
      <c r="C196" s="2"/>
      <c r="D196" s="2"/>
      <c r="E196" s="2"/>
      <c r="F196" s="2"/>
      <c r="G196" s="32"/>
      <c r="H196" s="32"/>
      <c r="I196" s="2"/>
      <c r="J196" s="32"/>
      <c r="K196" s="2"/>
      <c r="L196" s="32"/>
      <c r="M196" s="2"/>
    </row>
    <row r="197" spans="1:13" ht="15.75">
      <c r="A197" s="2"/>
      <c r="B197" s="2"/>
      <c r="C197" s="2"/>
      <c r="D197" s="2"/>
      <c r="E197" s="2"/>
      <c r="F197" s="2"/>
      <c r="G197" s="32"/>
      <c r="H197" s="32"/>
      <c r="I197" s="2"/>
      <c r="J197" s="32"/>
      <c r="K197" s="2"/>
      <c r="L197" s="32"/>
      <c r="M197" s="2"/>
    </row>
    <row r="198" spans="1:13" ht="15.75">
      <c r="A198" s="2"/>
      <c r="B198" s="2"/>
      <c r="C198" s="2"/>
      <c r="D198" s="2"/>
      <c r="E198" s="2"/>
      <c r="F198" s="2"/>
      <c r="G198" s="32"/>
      <c r="H198" s="32"/>
      <c r="I198" s="2"/>
      <c r="J198" s="32"/>
      <c r="K198" s="2"/>
      <c r="L198" s="32"/>
      <c r="M198" s="2"/>
    </row>
    <row r="199" spans="1:13" ht="15.75">
      <c r="A199" s="2"/>
      <c r="B199" s="2"/>
      <c r="C199" s="2"/>
      <c r="D199" s="2"/>
      <c r="E199" s="2"/>
      <c r="F199" s="2"/>
      <c r="G199" s="32"/>
      <c r="H199" s="32"/>
      <c r="I199" s="2"/>
      <c r="J199" s="32"/>
      <c r="K199" s="2"/>
      <c r="L199" s="32"/>
      <c r="M199" s="2"/>
    </row>
    <row r="200" spans="1:13" ht="15.75">
      <c r="A200" s="2"/>
      <c r="B200" s="2"/>
      <c r="C200" s="2"/>
      <c r="D200" s="2"/>
      <c r="E200" s="2"/>
      <c r="F200" s="2"/>
      <c r="G200" s="32"/>
      <c r="H200" s="32"/>
      <c r="I200" s="2"/>
      <c r="J200" s="32"/>
      <c r="K200" s="2"/>
      <c r="L200" s="32"/>
      <c r="M200" s="2"/>
    </row>
    <row r="201" spans="1:13" ht="15.75">
      <c r="A201" s="2"/>
      <c r="B201" s="2"/>
      <c r="C201" s="2"/>
      <c r="D201" s="2"/>
      <c r="E201" s="2"/>
      <c r="F201" s="2"/>
      <c r="G201" s="32"/>
      <c r="H201" s="32"/>
      <c r="I201" s="2"/>
      <c r="J201" s="32"/>
      <c r="K201" s="2"/>
      <c r="L201" s="32"/>
      <c r="M201" s="2"/>
    </row>
    <row r="202" spans="1:13" ht="15.75">
      <c r="A202" s="2"/>
      <c r="B202" s="2"/>
      <c r="C202" s="2"/>
      <c r="D202" s="2"/>
      <c r="E202" s="2"/>
      <c r="F202" s="2"/>
      <c r="G202" s="32"/>
      <c r="H202" s="32"/>
      <c r="I202" s="2"/>
      <c r="J202" s="32"/>
      <c r="K202" s="2"/>
      <c r="L202" s="32"/>
      <c r="M202" s="2"/>
    </row>
    <row r="203" spans="1:13" ht="15.75">
      <c r="A203" s="2"/>
      <c r="B203" s="2"/>
      <c r="C203" s="2"/>
      <c r="D203" s="2"/>
      <c r="E203" s="2"/>
      <c r="F203" s="2"/>
      <c r="G203" s="32"/>
      <c r="H203" s="32"/>
      <c r="I203" s="2"/>
      <c r="J203" s="32"/>
      <c r="K203" s="2"/>
      <c r="L203" s="32"/>
      <c r="M203" s="2"/>
    </row>
    <row r="204" spans="1:13" ht="15.75">
      <c r="A204" s="2"/>
      <c r="B204" s="2"/>
      <c r="C204" s="2"/>
      <c r="D204" s="2"/>
      <c r="E204" s="2"/>
      <c r="F204" s="2"/>
      <c r="G204" s="32"/>
      <c r="H204" s="32"/>
      <c r="I204" s="2"/>
      <c r="J204" s="32"/>
      <c r="K204" s="2"/>
      <c r="L204" s="32"/>
      <c r="M204" s="2"/>
    </row>
    <row r="205" spans="1:13" ht="15.75">
      <c r="A205" s="2"/>
      <c r="B205" s="2"/>
      <c r="C205" s="2"/>
      <c r="D205" s="2"/>
      <c r="E205" s="2"/>
      <c r="F205" s="2"/>
      <c r="G205" s="32"/>
      <c r="H205" s="32"/>
      <c r="I205" s="2"/>
      <c r="J205" s="32"/>
      <c r="K205" s="2"/>
      <c r="L205" s="32"/>
      <c r="M205" s="2"/>
    </row>
    <row r="206" spans="1:13" ht="15.75">
      <c r="A206" s="2"/>
      <c r="B206" s="2"/>
      <c r="C206" s="2"/>
      <c r="D206" s="2"/>
      <c r="E206" s="2"/>
      <c r="F206" s="2"/>
      <c r="G206" s="32"/>
      <c r="H206" s="32"/>
      <c r="I206" s="2"/>
      <c r="J206" s="32"/>
      <c r="K206" s="2"/>
      <c r="L206" s="32"/>
      <c r="M206" s="2"/>
    </row>
    <row r="207" spans="1:13" ht="15.75">
      <c r="A207" s="2"/>
      <c r="B207" s="2"/>
      <c r="C207" s="2"/>
      <c r="D207" s="2"/>
      <c r="E207" s="2"/>
      <c r="F207" s="2"/>
      <c r="G207" s="32"/>
      <c r="H207" s="32"/>
      <c r="I207" s="2"/>
      <c r="J207" s="32"/>
      <c r="K207" s="2"/>
      <c r="L207" s="32"/>
      <c r="M207" s="2"/>
    </row>
    <row r="208" spans="1:13" ht="15.75">
      <c r="A208" s="2"/>
      <c r="B208" s="2"/>
      <c r="C208" s="2"/>
      <c r="D208" s="2"/>
      <c r="E208" s="2"/>
      <c r="F208" s="2"/>
      <c r="G208" s="32"/>
      <c r="H208" s="32"/>
      <c r="I208" s="2"/>
      <c r="J208" s="32"/>
      <c r="K208" s="2"/>
      <c r="L208" s="32"/>
      <c r="M208" s="2"/>
    </row>
    <row r="209" spans="1:13" ht="15.75">
      <c r="A209" s="2"/>
      <c r="B209" s="2"/>
      <c r="C209" s="2"/>
      <c r="D209" s="2"/>
      <c r="E209" s="2"/>
      <c r="F209" s="2"/>
      <c r="G209" s="32"/>
      <c r="H209" s="32"/>
      <c r="I209" s="2"/>
      <c r="J209" s="32"/>
      <c r="K209" s="2"/>
      <c r="L209" s="32"/>
      <c r="M209" s="2"/>
    </row>
    <row r="210" spans="1:13" ht="15.75">
      <c r="A210" s="2"/>
      <c r="B210" s="2"/>
      <c r="C210" s="2"/>
      <c r="D210" s="2"/>
      <c r="E210" s="2"/>
      <c r="F210" s="2"/>
      <c r="G210" s="32"/>
      <c r="H210" s="32"/>
      <c r="I210" s="2"/>
      <c r="J210" s="32"/>
      <c r="K210" s="2"/>
      <c r="L210" s="32"/>
      <c r="M210" s="2"/>
    </row>
    <row r="211" spans="1:13" ht="15.75">
      <c r="A211" s="2"/>
      <c r="B211" s="2"/>
      <c r="C211" s="2"/>
      <c r="D211" s="2"/>
      <c r="E211" s="2"/>
      <c r="F211" s="2"/>
      <c r="G211" s="32"/>
      <c r="H211" s="32"/>
      <c r="I211" s="2"/>
      <c r="J211" s="32"/>
      <c r="K211" s="2"/>
      <c r="L211" s="32"/>
      <c r="M211" s="2"/>
    </row>
    <row r="212" spans="1:13" ht="15.75">
      <c r="A212" s="2"/>
      <c r="B212" s="2"/>
      <c r="C212" s="2"/>
      <c r="D212" s="2"/>
      <c r="E212" s="2"/>
      <c r="F212" s="2"/>
      <c r="G212" s="32"/>
      <c r="H212" s="32"/>
    </row>
    <row r="213" spans="1:13" ht="15.75">
      <c r="A213" s="2"/>
      <c r="B213" s="2"/>
      <c r="C213" s="2"/>
      <c r="D213" s="2"/>
      <c r="E213" s="2"/>
      <c r="F213" s="2"/>
      <c r="G213" s="32"/>
      <c r="H213" s="32"/>
    </row>
    <row r="214" spans="1:13" ht="15.75">
      <c r="A214" s="2"/>
      <c r="B214" s="2"/>
      <c r="C214" s="2"/>
      <c r="D214" s="2"/>
      <c r="E214" s="2"/>
      <c r="F214" s="2"/>
      <c r="G214" s="32"/>
      <c r="H214" s="32"/>
    </row>
    <row r="215" spans="1:13" ht="15.75">
      <c r="A215" s="2"/>
      <c r="B215" s="2"/>
      <c r="C215" s="2"/>
      <c r="D215" s="2"/>
      <c r="E215" s="2"/>
      <c r="F215" s="2"/>
      <c r="G215" s="32"/>
      <c r="H215" s="32"/>
    </row>
    <row r="216" spans="1:13" ht="15.75">
      <c r="A216" s="2"/>
      <c r="B216" s="2"/>
      <c r="C216" s="2"/>
      <c r="D216" s="2"/>
      <c r="E216" s="2"/>
      <c r="F216" s="2"/>
      <c r="G216" s="32"/>
      <c r="H216" s="32"/>
    </row>
    <row r="217" spans="1:13" ht="15.75">
      <c r="A217" s="2"/>
      <c r="B217" s="2"/>
      <c r="C217" s="2"/>
      <c r="D217" s="2"/>
      <c r="E217" s="2"/>
      <c r="F217" s="2"/>
      <c r="G217" s="32"/>
      <c r="H217" s="32"/>
    </row>
    <row r="218" spans="1:13" ht="15.75">
      <c r="A218" s="2"/>
      <c r="B218" s="2"/>
      <c r="C218" s="2"/>
      <c r="D218" s="2"/>
      <c r="E218" s="2"/>
      <c r="F218" s="2"/>
      <c r="G218" s="32"/>
      <c r="H218" s="32"/>
    </row>
    <row r="219" spans="1:13" ht="15.75">
      <c r="A219" s="2"/>
      <c r="B219" s="2"/>
      <c r="C219" s="2"/>
      <c r="D219" s="2"/>
      <c r="E219" s="2"/>
      <c r="F219" s="2"/>
      <c r="G219" s="32"/>
      <c r="H219" s="32"/>
    </row>
    <row r="220" spans="1:13" ht="15.75">
      <c r="A220" s="2"/>
      <c r="B220" s="2"/>
      <c r="C220" s="2"/>
      <c r="D220" s="2"/>
      <c r="E220" s="2"/>
      <c r="F220" s="2"/>
      <c r="G220" s="32"/>
      <c r="H220" s="32"/>
    </row>
    <row r="221" spans="1:13" ht="15.75">
      <c r="A221" s="2"/>
      <c r="B221" s="2"/>
      <c r="C221" s="2"/>
      <c r="D221" s="2"/>
      <c r="E221" s="2"/>
      <c r="F221" s="2"/>
      <c r="G221" s="32"/>
      <c r="H221" s="32"/>
    </row>
    <row r="222" spans="1:13" ht="15.75">
      <c r="A222" s="2"/>
      <c r="B222" s="2"/>
      <c r="C222" s="2"/>
      <c r="D222" s="2"/>
      <c r="E222" s="2"/>
      <c r="F222" s="2"/>
      <c r="G222" s="32"/>
      <c r="H222" s="32"/>
    </row>
    <row r="223" spans="1:13" ht="15.75">
      <c r="A223" s="2"/>
      <c r="B223" s="2"/>
      <c r="C223" s="2"/>
      <c r="D223" s="2"/>
      <c r="E223" s="2"/>
      <c r="F223" s="2"/>
      <c r="G223" s="32"/>
      <c r="H223" s="32"/>
    </row>
    <row r="224" spans="1:13" ht="15.75">
      <c r="A224" s="2"/>
      <c r="B224" s="2"/>
      <c r="C224" s="2"/>
      <c r="D224" s="2"/>
      <c r="E224" s="2"/>
      <c r="F224" s="2"/>
      <c r="G224" s="32"/>
      <c r="H224" s="32"/>
    </row>
    <row r="225" spans="1:8" ht="15.75">
      <c r="A225" s="2"/>
      <c r="B225" s="2"/>
      <c r="C225" s="2"/>
      <c r="D225" s="2"/>
      <c r="E225" s="2"/>
      <c r="F225" s="2"/>
      <c r="G225" s="32"/>
      <c r="H225" s="32"/>
    </row>
    <row r="226" spans="1:8" ht="15.75">
      <c r="A226" s="2"/>
      <c r="B226" s="2"/>
      <c r="C226" s="2"/>
      <c r="D226" s="2"/>
      <c r="E226" s="2"/>
      <c r="F226" s="2"/>
      <c r="G226" s="32"/>
      <c r="H226" s="32"/>
    </row>
    <row r="227" spans="1:8" ht="15.75">
      <c r="A227" s="2"/>
      <c r="B227" s="2"/>
      <c r="C227" s="2"/>
      <c r="D227" s="2"/>
      <c r="E227" s="2"/>
      <c r="F227" s="2"/>
      <c r="G227" s="32"/>
      <c r="H227" s="32"/>
    </row>
    <row r="228" spans="1:8" ht="15.75">
      <c r="A228" s="2"/>
      <c r="B228" s="2"/>
      <c r="C228" s="2"/>
      <c r="D228" s="2"/>
      <c r="E228" s="2"/>
      <c r="F228" s="2"/>
      <c r="G228" s="32"/>
      <c r="H228" s="32"/>
    </row>
    <row r="229" spans="1:8" ht="15.75">
      <c r="A229" s="2"/>
      <c r="B229" s="2"/>
      <c r="C229" s="2"/>
      <c r="D229" s="2"/>
      <c r="E229" s="2"/>
      <c r="F229" s="2"/>
      <c r="G229" s="32"/>
      <c r="H229" s="32"/>
    </row>
    <row r="230" spans="1:8" ht="15.75">
      <c r="A230" s="2"/>
      <c r="B230" s="2"/>
      <c r="C230" s="2"/>
      <c r="D230" s="2"/>
      <c r="E230" s="2"/>
      <c r="F230" s="2"/>
      <c r="G230" s="32"/>
      <c r="H230" s="32"/>
    </row>
    <row r="231" spans="1:8" ht="15.75">
      <c r="A231" s="2"/>
      <c r="B231" s="2"/>
      <c r="C231" s="2"/>
      <c r="D231" s="2"/>
      <c r="E231" s="2"/>
      <c r="F231" s="2"/>
      <c r="G231" s="32"/>
      <c r="H231" s="32"/>
    </row>
    <row r="232" spans="1:8" ht="15.75">
      <c r="A232" s="2"/>
      <c r="B232" s="2"/>
      <c r="C232" s="2"/>
      <c r="D232" s="2"/>
      <c r="E232" s="2"/>
      <c r="F232" s="2"/>
      <c r="G232" s="32"/>
      <c r="H232" s="32"/>
    </row>
    <row r="233" spans="1:8" ht="15.75">
      <c r="A233" s="2"/>
      <c r="B233" s="2"/>
      <c r="C233" s="2"/>
      <c r="D233" s="2"/>
      <c r="E233" s="2"/>
      <c r="F233" s="2"/>
      <c r="G233" s="32"/>
      <c r="H233" s="32"/>
    </row>
    <row r="234" spans="1:8" ht="15.75">
      <c r="A234" s="2"/>
      <c r="B234" s="2"/>
      <c r="C234" s="2"/>
      <c r="D234" s="2"/>
      <c r="E234" s="2"/>
      <c r="F234" s="2"/>
      <c r="G234" s="32"/>
      <c r="H234" s="32"/>
    </row>
    <row r="235" spans="1:8" ht="15.75">
      <c r="A235" s="2"/>
      <c r="B235" s="2"/>
      <c r="C235" s="2"/>
      <c r="D235" s="2"/>
      <c r="E235" s="2"/>
      <c r="F235" s="2"/>
      <c r="G235" s="32"/>
      <c r="H235" s="32"/>
    </row>
    <row r="236" spans="1:8" ht="15.75">
      <c r="A236" s="2"/>
      <c r="B236" s="2"/>
      <c r="C236" s="2"/>
      <c r="D236" s="2"/>
      <c r="E236" s="2"/>
      <c r="F236" s="2"/>
      <c r="G236" s="32"/>
      <c r="H236" s="32"/>
    </row>
    <row r="237" spans="1:8" ht="15.75">
      <c r="A237" s="2"/>
      <c r="B237" s="2"/>
      <c r="C237" s="2"/>
      <c r="D237" s="2"/>
      <c r="E237" s="2"/>
      <c r="F237" s="2"/>
      <c r="G237" s="32"/>
      <c r="H237" s="32"/>
    </row>
    <row r="238" spans="1:8" ht="15.75">
      <c r="A238" s="2"/>
      <c r="B238" s="2"/>
      <c r="C238" s="2"/>
      <c r="D238" s="2"/>
      <c r="E238" s="2"/>
      <c r="F238" s="2"/>
      <c r="G238" s="32"/>
      <c r="H238" s="32"/>
    </row>
    <row r="239" spans="1:8" ht="15.75">
      <c r="A239" s="2"/>
      <c r="B239" s="2"/>
      <c r="C239" s="2"/>
      <c r="D239" s="2"/>
      <c r="E239" s="2"/>
      <c r="F239" s="2"/>
      <c r="G239" s="32"/>
      <c r="H239" s="32"/>
    </row>
  </sheetData>
  <sheetProtection password="D94D" sheet="1"/>
  <mergeCells count="44">
    <mergeCell ref="C117:D117"/>
    <mergeCell ref="C103:D103"/>
    <mergeCell ref="C104:D104"/>
    <mergeCell ref="C105:D105"/>
    <mergeCell ref="C106:D106"/>
    <mergeCell ref="C107:D107"/>
    <mergeCell ref="C111:D111"/>
    <mergeCell ref="C115:D115"/>
    <mergeCell ref="C116:D116"/>
    <mergeCell ref="C114:D114"/>
    <mergeCell ref="C108:D108"/>
    <mergeCell ref="C113:D113"/>
    <mergeCell ref="C109:D109"/>
    <mergeCell ref="C94:D94"/>
    <mergeCell ref="C95:D95"/>
    <mergeCell ref="C96:D96"/>
    <mergeCell ref="C112:D112"/>
    <mergeCell ref="C98:D98"/>
    <mergeCell ref="C101:D101"/>
    <mergeCell ref="C102:D102"/>
    <mergeCell ref="C100:D100"/>
    <mergeCell ref="C78:D78"/>
    <mergeCell ref="C79:D79"/>
    <mergeCell ref="C74:G74"/>
    <mergeCell ref="C75:D75"/>
    <mergeCell ref="C80:D80"/>
    <mergeCell ref="A1:C1"/>
    <mergeCell ref="A2:C2"/>
    <mergeCell ref="A3:C3"/>
    <mergeCell ref="C76:D76"/>
    <mergeCell ref="C77:D77"/>
    <mergeCell ref="A8:C8"/>
    <mergeCell ref="A28:C28"/>
    <mergeCell ref="B71:D71"/>
    <mergeCell ref="C92:D92"/>
    <mergeCell ref="C99:D99"/>
    <mergeCell ref="C97:D97"/>
    <mergeCell ref="C81:D81"/>
    <mergeCell ref="C82:D82"/>
    <mergeCell ref="C83:D83"/>
    <mergeCell ref="C84:D84"/>
    <mergeCell ref="C90:D90"/>
    <mergeCell ref="C91:D91"/>
    <mergeCell ref="C93:D93"/>
  </mergeCells>
  <conditionalFormatting sqref="A1:A3 D2:D3">
    <cfRule type="containsText" dxfId="41" priority="1" stopIfTrue="1" operator="containsText" text="Enter">
      <formula>NOT(ISERROR(SEARCH("Enter",A1)))</formula>
    </cfRule>
  </conditionalFormatting>
  <printOptions horizontalCentered="1"/>
  <pageMargins left="0.25" right="0.25" top="0.5" bottom="0.5" header="0.5" footer="0.5"/>
  <pageSetup scale="61" fitToHeight="0" orientation="landscape" horizontalDpi="200" verticalDpi="200" r:id="rId1"/>
  <headerFooter alignWithMargins="0">
    <oddFooter>Page &amp;P of &amp;N</oddFooter>
  </headerFooter>
  <rowBreaks count="2" manualBreakCount="2">
    <brk id="46" max="16383" man="1"/>
    <brk id="72" max="12"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tabColor theme="5"/>
  </sheetPr>
  <dimension ref="A1:P268"/>
  <sheetViews>
    <sheetView showGridLines="0" zoomScaleNormal="100" zoomScaleSheetLayoutView="100" workbookViewId="0">
      <pane xSplit="4" ySplit="10" topLeftCell="E11" activePane="bottomRight" state="frozen"/>
      <selection activeCell="J13" sqref="J13"/>
      <selection pane="topRight" activeCell="J13" sqref="J13"/>
      <selection pane="bottomLeft" activeCell="J13" sqref="J13"/>
      <selection pane="bottomRight" activeCell="G20" sqref="G20"/>
    </sheetView>
  </sheetViews>
  <sheetFormatPr defaultColWidth="9.28515625" defaultRowHeight="12.75"/>
  <cols>
    <col min="1" max="1" width="5.42578125" customWidth="1"/>
    <col min="2" max="2" width="3.7109375" customWidth="1"/>
    <col min="3" max="3" width="85.28515625" customWidth="1"/>
    <col min="4" max="4" width="11" customWidth="1"/>
    <col min="5" max="8" width="14.5703125" customWidth="1"/>
    <col min="9" max="9" width="10.5703125" customWidth="1"/>
    <col min="10" max="10" width="14.5703125" customWidth="1"/>
    <col min="11" max="11" width="10.5703125" customWidth="1"/>
    <col min="12" max="12" width="14.5703125" customWidth="1"/>
    <col min="13" max="13" width="10.5703125" customWidth="1"/>
    <col min="14" max="14" width="50.28515625" style="1203" customWidth="1"/>
    <col min="15" max="33" width="9.28515625" customWidth="1"/>
  </cols>
  <sheetData>
    <row r="1" spans="1:16" ht="15.75">
      <c r="A1" s="1645" t="str">
        <f>IF('INTERIM-CERTIFICATION'!$M$1="","CHARTER NAME: Enter Charter Name on INTERIM-CERTIFICATION Worksheet",(CONCATENATE("CHARTER NAME: ",'INTERIM-CERTIFICATION'!$M$1)))</f>
        <v>CHARTER NAME: Elite Academic Academy - Virtual Prep Lucerne</v>
      </c>
      <c r="B1" s="1645"/>
      <c r="C1" s="1645"/>
      <c r="D1" s="209"/>
      <c r="E1" s="12"/>
      <c r="F1" s="12"/>
      <c r="G1" s="158"/>
      <c r="H1" s="157"/>
      <c r="I1" s="1"/>
      <c r="J1" s="159"/>
      <c r="K1" s="1"/>
      <c r="L1" s="159"/>
      <c r="M1" s="1"/>
    </row>
    <row r="2" spans="1:16" ht="15.75">
      <c r="A2" s="1645" t="str">
        <f>IF('INTERIM-CERTIFICATION'!$M$2="","CDS #: Enter Charter CDS # on INTERIM-CERTIFICATION Worksheet",(_xlfn.CONCAT("CDS #: ",'INTERIM-CERTIFICATION'!$M$2)))</f>
        <v>CDS #: 36-75051-0138107</v>
      </c>
      <c r="B2" s="1645"/>
      <c r="C2" s="1645"/>
      <c r="D2" s="209"/>
      <c r="E2" s="12"/>
      <c r="F2" s="82"/>
      <c r="G2" s="158"/>
      <c r="H2" s="158"/>
      <c r="I2" s="1"/>
      <c r="J2" s="159"/>
      <c r="K2" s="1"/>
      <c r="L2" s="159"/>
      <c r="M2" s="1"/>
    </row>
    <row r="3" spans="1:16" ht="15.75">
      <c r="A3" s="1645" t="str">
        <f>IF('INTERIM-CERTIFICATION'!$M$5="","CHARTER #: Enter Charter # on INTERIM-CERTIFICATION Worksheet",(_xlfn.CONCAT("CHARTER #: ",'INTERIM-CERTIFICATION'!$M$5)))</f>
        <v>CHARTER #: 1975</v>
      </c>
      <c r="B3" s="1645"/>
      <c r="C3" s="1645"/>
      <c r="D3" s="209"/>
      <c r="E3" s="12"/>
      <c r="F3" s="12"/>
      <c r="G3" s="157"/>
      <c r="H3" s="157"/>
      <c r="I3" s="1"/>
      <c r="J3" s="159"/>
      <c r="K3" s="1"/>
      <c r="L3" s="159"/>
      <c r="M3" s="1"/>
    </row>
    <row r="4" spans="1:16" ht="15.75">
      <c r="A4" s="2"/>
      <c r="B4" s="53"/>
      <c r="C4" s="53"/>
      <c r="D4" s="160" t="str">
        <f>'2nd Interim-ADA'!J4</f>
        <v>Fiscal Year 2022-23 Second Interim Report</v>
      </c>
      <c r="E4" s="53"/>
      <c r="F4" s="53"/>
      <c r="G4" s="53"/>
      <c r="H4" s="53"/>
      <c r="I4" s="53"/>
      <c r="J4" s="53"/>
      <c r="K4" s="53"/>
      <c r="L4" s="53"/>
      <c r="M4" s="53"/>
    </row>
    <row r="5" spans="1:16" ht="15.75">
      <c r="A5" s="12"/>
      <c r="B5" s="12"/>
      <c r="C5" s="53"/>
      <c r="D5" s="160" t="s">
        <v>209</v>
      </c>
      <c r="E5" s="53"/>
      <c r="F5" s="53"/>
      <c r="G5" s="161"/>
      <c r="H5" s="161"/>
      <c r="I5" s="1"/>
      <c r="J5" s="162"/>
      <c r="K5" s="1"/>
      <c r="L5" s="162"/>
      <c r="M5" s="1"/>
    </row>
    <row r="6" spans="1:16" ht="16.5" thickBot="1">
      <c r="A6" s="12"/>
      <c r="B6" s="12"/>
      <c r="C6" s="12"/>
      <c r="D6" s="12"/>
      <c r="E6" s="12"/>
      <c r="F6" s="12"/>
      <c r="G6" s="157"/>
      <c r="H6" s="157"/>
      <c r="I6" s="1"/>
      <c r="J6" s="159"/>
      <c r="K6" s="1"/>
      <c r="L6" s="159"/>
      <c r="M6" s="1"/>
    </row>
    <row r="7" spans="1:16" ht="15.75">
      <c r="A7" s="242"/>
      <c r="B7" s="237"/>
      <c r="C7" s="237"/>
      <c r="D7" s="299"/>
      <c r="E7" s="300"/>
      <c r="F7" s="301" t="s">
        <v>168</v>
      </c>
      <c r="G7" s="301" t="s">
        <v>164</v>
      </c>
      <c r="H7" s="301" t="str">
        <f>$G$7</f>
        <v>Second Interim</v>
      </c>
      <c r="I7" s="300"/>
      <c r="J7" s="302" t="str">
        <f>$G$7</f>
        <v>Second Interim</v>
      </c>
      <c r="K7" s="300"/>
      <c r="L7" s="302" t="str">
        <f>$G$7</f>
        <v>Second Interim</v>
      </c>
      <c r="M7" s="462"/>
    </row>
    <row r="8" spans="1:16" ht="15.75">
      <c r="A8" s="1703" t="s">
        <v>21</v>
      </c>
      <c r="B8" s="1704"/>
      <c r="C8" s="1704"/>
      <c r="D8" s="54"/>
      <c r="E8" s="14" t="s">
        <v>17</v>
      </c>
      <c r="F8" s="163" t="s">
        <v>19</v>
      </c>
      <c r="G8" s="455" t="s">
        <v>61</v>
      </c>
      <c r="H8" s="163" t="s">
        <v>19</v>
      </c>
      <c r="I8" s="14" t="s">
        <v>18</v>
      </c>
      <c r="J8" s="303" t="s">
        <v>19</v>
      </c>
      <c r="K8" s="14" t="s">
        <v>18</v>
      </c>
      <c r="L8" s="303" t="s">
        <v>19</v>
      </c>
      <c r="M8" s="463" t="s">
        <v>18</v>
      </c>
    </row>
    <row r="9" spans="1:16" ht="15.75">
      <c r="A9" s="68"/>
      <c r="B9" s="1"/>
      <c r="C9" s="1"/>
      <c r="D9" s="54"/>
      <c r="E9" s="14" t="s">
        <v>16</v>
      </c>
      <c r="F9" s="163" t="s">
        <v>16</v>
      </c>
      <c r="G9" s="163" t="str">
        <f>'2nd Interim-Unrestricted MYP'!G9</f>
        <v>thru January 31,</v>
      </c>
      <c r="H9" s="163" t="s">
        <v>16</v>
      </c>
      <c r="I9" s="14" t="s">
        <v>22</v>
      </c>
      <c r="J9" s="303" t="s">
        <v>16</v>
      </c>
      <c r="K9" s="14" t="s">
        <v>22</v>
      </c>
      <c r="L9" s="303" t="s">
        <v>16</v>
      </c>
      <c r="M9" s="463" t="s">
        <v>22</v>
      </c>
    </row>
    <row r="10" spans="1:16" ht="16.5" thickBot="1">
      <c r="A10" s="1592" t="str">
        <f>Instructions!H1</f>
        <v>Form Orignated 5/16/2022</v>
      </c>
      <c r="B10" s="164"/>
      <c r="C10" s="164"/>
      <c r="D10" s="55"/>
      <c r="E10" s="15" t="str">
        <f>'Budget-Unrestricted MYP'!F10</f>
        <v>2022-23</v>
      </c>
      <c r="F10" s="208" t="str">
        <f>E10</f>
        <v>2022-23</v>
      </c>
      <c r="G10" s="15">
        <f>'2nd Interim-Unrestricted MYP'!G10</f>
        <v>2023</v>
      </c>
      <c r="H10" s="165" t="str">
        <f>F10</f>
        <v>2022-23</v>
      </c>
      <c r="I10" s="15"/>
      <c r="J10" s="305" t="str">
        <f>'Budget-Unrestricted MYP'!H10</f>
        <v>2023-24</v>
      </c>
      <c r="K10" s="15"/>
      <c r="L10" s="305" t="str">
        <f>'Budget-Unrestricted MYP'!J10</f>
        <v>2024-25</v>
      </c>
      <c r="M10" s="464"/>
    </row>
    <row r="11" spans="1:16" ht="16.5" thickTop="1">
      <c r="A11" s="306" t="s">
        <v>1</v>
      </c>
      <c r="B11" s="1"/>
      <c r="C11" s="1"/>
      <c r="D11" s="337"/>
      <c r="E11" s="13"/>
      <c r="F11" s="1840"/>
      <c r="G11" s="1840"/>
      <c r="H11" s="1840"/>
      <c r="I11" s="1840"/>
      <c r="J11" s="1840"/>
      <c r="K11" s="456"/>
      <c r="L11" s="456"/>
      <c r="M11" s="465"/>
    </row>
    <row r="12" spans="1:16" ht="15.75">
      <c r="A12" s="306"/>
      <c r="B12" s="278" t="s">
        <v>306</v>
      </c>
      <c r="C12" s="147"/>
      <c r="D12" s="141"/>
      <c r="E12" s="338"/>
      <c r="F12" s="1838"/>
      <c r="G12" s="1838"/>
      <c r="H12" s="1838"/>
      <c r="I12" s="1838"/>
      <c r="J12" s="1838"/>
      <c r="K12" s="152"/>
      <c r="L12" s="152"/>
      <c r="M12" s="466"/>
    </row>
    <row r="13" spans="1:16" ht="15.75">
      <c r="A13" s="306"/>
      <c r="B13" s="467"/>
      <c r="C13" s="468" t="s">
        <v>155</v>
      </c>
      <c r="D13" s="469">
        <v>8011</v>
      </c>
      <c r="E13" s="583"/>
      <c r="F13" s="1156"/>
      <c r="G13" s="583"/>
      <c r="H13" s="583"/>
      <c r="I13" s="486"/>
      <c r="J13" s="586"/>
      <c r="K13" s="486"/>
      <c r="L13" s="583"/>
      <c r="M13" s="353"/>
      <c r="P13" t="s">
        <v>157</v>
      </c>
    </row>
    <row r="14" spans="1:16" ht="15.75">
      <c r="A14" s="306"/>
      <c r="B14" s="467"/>
      <c r="C14" s="468" t="s">
        <v>156</v>
      </c>
      <c r="D14" s="469">
        <v>8012</v>
      </c>
      <c r="E14" s="583"/>
      <c r="F14" s="1156"/>
      <c r="G14" s="583"/>
      <c r="H14" s="583"/>
      <c r="I14" s="611"/>
      <c r="J14" s="586"/>
      <c r="K14" s="486"/>
      <c r="L14" s="583"/>
      <c r="M14" s="353"/>
    </row>
    <row r="15" spans="1:16" ht="15.75">
      <c r="A15" s="68"/>
      <c r="B15" s="467"/>
      <c r="C15" s="468" t="s">
        <v>304</v>
      </c>
      <c r="D15" s="469">
        <v>8019</v>
      </c>
      <c r="E15" s="583"/>
      <c r="F15" s="1157"/>
      <c r="G15" s="583"/>
      <c r="H15" s="583"/>
      <c r="I15" s="611"/>
      <c r="J15" s="586"/>
      <c r="K15" s="486"/>
      <c r="L15" s="583"/>
      <c r="M15" s="353"/>
    </row>
    <row r="16" spans="1:16" ht="15.75">
      <c r="A16" s="68"/>
      <c r="B16" s="467"/>
      <c r="C16" s="468" t="s">
        <v>305</v>
      </c>
      <c r="D16" s="469">
        <v>8096</v>
      </c>
      <c r="E16" s="583"/>
      <c r="F16" s="1156"/>
      <c r="G16" s="583"/>
      <c r="H16" s="582"/>
      <c r="I16" s="871"/>
      <c r="J16" s="587"/>
      <c r="K16" s="486"/>
      <c r="L16" s="582"/>
      <c r="M16" s="353"/>
    </row>
    <row r="17" spans="1:13" ht="15.75">
      <c r="A17" s="68"/>
      <c r="B17" s="278" t="s">
        <v>307</v>
      </c>
      <c r="C17" s="278"/>
      <c r="D17" s="346" t="s">
        <v>99</v>
      </c>
      <c r="E17" s="696">
        <f>'Budget-Restricted MYP'!F17</f>
        <v>534875</v>
      </c>
      <c r="F17" s="1158">
        <f>'1st Interim-Restricted MYP'!G17</f>
        <v>534875</v>
      </c>
      <c r="G17" s="756">
        <f>G113</f>
        <v>0</v>
      </c>
      <c r="H17" s="756">
        <f>H113</f>
        <v>0</v>
      </c>
      <c r="I17" s="270" t="str">
        <f>IF(E17&lt;1," ",IF(H17&lt;1," ",(H17-E17)/E17))</f>
        <v xml:space="preserve"> </v>
      </c>
      <c r="J17" s="291">
        <f>J113</f>
        <v>0</v>
      </c>
      <c r="K17" s="270" t="str">
        <f>IF(H17&lt;1," ",IF(J17&lt;1," ",(J17-H17)/H17))</f>
        <v xml:space="preserve"> </v>
      </c>
      <c r="L17" s="756">
        <f>L113</f>
        <v>0</v>
      </c>
      <c r="M17" s="307" t="str">
        <f>IF(J17&lt;1," ",IF(L17&lt;1," ",(L17-J17)/J17))</f>
        <v xml:space="preserve"> </v>
      </c>
    </row>
    <row r="18" spans="1:13" ht="15.75">
      <c r="A18" s="68"/>
      <c r="B18" s="147" t="s">
        <v>308</v>
      </c>
      <c r="C18" s="141"/>
      <c r="D18" s="141"/>
      <c r="E18" s="579"/>
      <c r="F18" s="1159"/>
      <c r="G18" s="581"/>
      <c r="H18" s="581"/>
      <c r="I18" s="585"/>
      <c r="J18" s="581"/>
      <c r="K18" s="585"/>
      <c r="L18" s="581"/>
      <c r="M18" s="589"/>
    </row>
    <row r="19" spans="1:13" ht="15.75">
      <c r="A19" s="68"/>
      <c r="B19" s="467"/>
      <c r="C19" s="468" t="s">
        <v>309</v>
      </c>
      <c r="D19" s="469">
        <v>8560</v>
      </c>
      <c r="E19" s="582"/>
      <c r="F19" s="1156"/>
      <c r="G19" s="582"/>
      <c r="H19" s="582"/>
      <c r="I19" s="486"/>
      <c r="J19" s="587"/>
      <c r="K19" s="486"/>
      <c r="L19" s="582"/>
      <c r="M19" s="353"/>
    </row>
    <row r="20" spans="1:13" ht="15.75">
      <c r="A20" s="68"/>
      <c r="B20" s="147"/>
      <c r="C20" s="280" t="s">
        <v>310</v>
      </c>
      <c r="D20" s="346">
        <v>8560</v>
      </c>
      <c r="E20" s="696">
        <f>'Budget-Restricted MYP'!F20</f>
        <v>0</v>
      </c>
      <c r="F20" s="1158">
        <f>'1st Interim-Restricted MYP'!G20</f>
        <v>0</v>
      </c>
      <c r="G20" s="788"/>
      <c r="H20" s="756" t="e">
        <f>H116</f>
        <v>#VALUE!</v>
      </c>
      <c r="I20" s="270" t="str">
        <f>IF(E20&lt;1," ",IF(H20&lt;1," ",(H20-E20)/E20))</f>
        <v xml:space="preserve"> </v>
      </c>
      <c r="J20" s="291" t="e">
        <f>J116</f>
        <v>#VALUE!</v>
      </c>
      <c r="K20" s="270" t="e">
        <f>IF(H20&lt;1," ",IF(J20&lt;1," ",(J20-H20)/H20))</f>
        <v>#VALUE!</v>
      </c>
      <c r="L20" s="756" t="e">
        <f>L116</f>
        <v>#VALUE!</v>
      </c>
      <c r="M20" s="307" t="e">
        <f>IF(J20&lt;1," ",IF(L20&lt;1," ",(L20-J20)/J20))</f>
        <v>#VALUE!</v>
      </c>
    </row>
    <row r="21" spans="1:13" ht="15.75">
      <c r="A21" s="68"/>
      <c r="B21" s="147"/>
      <c r="C21" s="280" t="s">
        <v>311</v>
      </c>
      <c r="D21" s="346" t="s">
        <v>100</v>
      </c>
      <c r="E21" s="696">
        <f>'Budget-Restricted MYP'!F21</f>
        <v>0</v>
      </c>
      <c r="F21" s="1158">
        <f>'1st Interim-Restricted MYP'!G21</f>
        <v>0</v>
      </c>
      <c r="G21" s="756">
        <f>G137</f>
        <v>0</v>
      </c>
      <c r="H21" s="756">
        <f>H137</f>
        <v>0</v>
      </c>
      <c r="I21" s="270" t="str">
        <f>IF(E21&lt;1," ",IF(H21&lt;1," ",(H21-E21)/E21))</f>
        <v xml:space="preserve"> </v>
      </c>
      <c r="J21" s="291">
        <f>J137</f>
        <v>0</v>
      </c>
      <c r="K21" s="270" t="str">
        <f>IF(H21&lt;1," ",IF(J21&lt;1," ",(J21-H21)/H21))</f>
        <v xml:space="preserve"> </v>
      </c>
      <c r="L21" s="756">
        <f>L137</f>
        <v>0</v>
      </c>
      <c r="M21" s="307" t="str">
        <f>IF(J21&lt;1," ",IF(L21&lt;1," ",(L21-J21)/J21))</f>
        <v xml:space="preserve"> </v>
      </c>
    </row>
    <row r="22" spans="1:13" ht="15.75">
      <c r="A22" s="68"/>
      <c r="B22" s="147" t="s">
        <v>312</v>
      </c>
      <c r="C22" s="141"/>
      <c r="D22" s="141"/>
      <c r="E22" s="579"/>
      <c r="F22" s="1159"/>
      <c r="G22" s="581"/>
      <c r="H22" s="581"/>
      <c r="I22" s="585"/>
      <c r="J22" s="581"/>
      <c r="K22" s="585"/>
      <c r="L22" s="581"/>
      <c r="M22" s="494"/>
    </row>
    <row r="23" spans="1:13" ht="15.75">
      <c r="A23" s="68"/>
      <c r="B23" s="147"/>
      <c r="C23" s="280" t="s">
        <v>239</v>
      </c>
      <c r="D23" s="346">
        <v>8660</v>
      </c>
      <c r="E23" s="696">
        <f>'Budget-Restricted MYP'!F23</f>
        <v>0</v>
      </c>
      <c r="F23" s="1158">
        <f>'1st Interim-Restricted MYP'!G23</f>
        <v>0</v>
      </c>
      <c r="G23" s="788"/>
      <c r="H23" s="788"/>
      <c r="I23" s="270" t="str">
        <f>IF(E23&lt;1," ",IF(H23&lt;1," ",(H23-E23)/E23))</f>
        <v xml:space="preserve"> </v>
      </c>
      <c r="J23" s="791"/>
      <c r="K23" s="270" t="str">
        <f>IF(H23&lt;1," ",IF(J23&lt;1," ",(J23-H23)/H23))</f>
        <v xml:space="preserve"> </v>
      </c>
      <c r="L23" s="788"/>
      <c r="M23" s="307" t="str">
        <f>IF(J23&lt;1," ",IF(L23&lt;1," ",(L23-J23)/J23))</f>
        <v xml:space="preserve"> </v>
      </c>
    </row>
    <row r="24" spans="1:13" ht="15.75">
      <c r="A24" s="68"/>
      <c r="B24" s="147"/>
      <c r="C24" s="280" t="s">
        <v>313</v>
      </c>
      <c r="D24" s="346">
        <v>8792</v>
      </c>
      <c r="E24" s="696">
        <f>'Budget-Restricted MYP'!F24</f>
        <v>645340</v>
      </c>
      <c r="F24" s="1158">
        <f>'1st Interim-Restricted MYP'!G24</f>
        <v>418200.00000000006</v>
      </c>
      <c r="G24" s="788"/>
      <c r="H24" s="788"/>
      <c r="I24" s="270" t="str">
        <f>IF(E24&lt;1," ",IF(H24&lt;1," ",(H24-E24)/E24))</f>
        <v xml:space="preserve"> </v>
      </c>
      <c r="J24" s="791"/>
      <c r="K24" s="270" t="str">
        <f>IF(H24&lt;1," ",IF(J24&lt;1," ",(J24-H24)/H24))</f>
        <v xml:space="preserve"> </v>
      </c>
      <c r="L24" s="788"/>
      <c r="M24" s="307" t="str">
        <f>IF(J24&lt;1," ",IF(L24&lt;1," ",(L24-J24)/J24))</f>
        <v xml:space="preserve"> </v>
      </c>
    </row>
    <row r="25" spans="1:13" ht="16.5" thickBot="1">
      <c r="A25" s="68"/>
      <c r="B25" s="899"/>
      <c r="C25" s="932" t="s">
        <v>314</v>
      </c>
      <c r="D25" s="933" t="s">
        <v>101</v>
      </c>
      <c r="E25" s="703">
        <f>'Budget-Restricted MYP'!F25</f>
        <v>0</v>
      </c>
      <c r="F25" s="1160">
        <f>'1st Interim-Restricted MYP'!G25</f>
        <v>0</v>
      </c>
      <c r="G25" s="802">
        <f>G146</f>
        <v>0</v>
      </c>
      <c r="H25" s="802">
        <f>H146</f>
        <v>0</v>
      </c>
      <c r="I25" s="297" t="str">
        <f>IF(E25&lt;1," ",IF(H25&lt;1," ",(H25-E25)/E25))</f>
        <v xml:space="preserve"> </v>
      </c>
      <c r="J25" s="951">
        <f>J146</f>
        <v>0</v>
      </c>
      <c r="K25" s="297" t="str">
        <f>IF(H25&lt;1," ",IF(J25&lt;1," ",(J25-H25)/H25))</f>
        <v xml:space="preserve"> </v>
      </c>
      <c r="L25" s="802">
        <f>L146</f>
        <v>0</v>
      </c>
      <c r="M25" s="590" t="str">
        <f>IF(J25&lt;1," ",IF(L25&lt;1," ",(L25-J25)/J25))</f>
        <v xml:space="preserve"> </v>
      </c>
    </row>
    <row r="26" spans="1:13" ht="17.25" thickTop="1" thickBot="1">
      <c r="A26" s="68"/>
      <c r="B26" s="912" t="s">
        <v>315</v>
      </c>
      <c r="C26" s="957"/>
      <c r="D26" s="931"/>
      <c r="E26" s="900">
        <f>'Budget-Restricted MYP'!F26</f>
        <v>1180215</v>
      </c>
      <c r="F26" s="1161">
        <f>SUM(F13:F25)</f>
        <v>953075</v>
      </c>
      <c r="G26" s="810">
        <f>SUM(G13:G25)</f>
        <v>0</v>
      </c>
      <c r="H26" s="810" t="e">
        <f>SUM(H13:H25)</f>
        <v>#VALUE!</v>
      </c>
      <c r="I26" s="588" t="e">
        <f>IF(E26&lt;1," ",IF(H26&lt;1," ",(H26-E26)/E26))</f>
        <v>#VALUE!</v>
      </c>
      <c r="J26" s="810" t="e">
        <f>SUM(J13:J25)</f>
        <v>#VALUE!</v>
      </c>
      <c r="K26" s="588" t="e">
        <f>IF(H26&lt;1," ",IF(J26&lt;1," ",(J26-H26)/H26))</f>
        <v>#VALUE!</v>
      </c>
      <c r="L26" s="810" t="e">
        <f>SUM(L13:L25)</f>
        <v>#VALUE!</v>
      </c>
      <c r="M26" s="591" t="e">
        <f>IF(J26&lt;1," ",IF(L26&lt;1," ",(L26-J26)/J26))</f>
        <v>#VALUE!</v>
      </c>
    </row>
    <row r="27" spans="1:13" ht="16.5" thickTop="1">
      <c r="A27" s="68"/>
      <c r="B27" s="1"/>
      <c r="C27" s="1"/>
      <c r="D27" s="1"/>
      <c r="E27" s="269"/>
      <c r="F27" s="1730"/>
      <c r="G27" s="1730"/>
      <c r="H27" s="1730"/>
      <c r="I27" s="1730"/>
      <c r="J27" s="1730"/>
      <c r="M27" s="472"/>
    </row>
    <row r="28" spans="1:13" ht="15.75">
      <c r="A28" s="1746" t="s">
        <v>3</v>
      </c>
      <c r="B28" s="1747"/>
      <c r="C28" s="1747"/>
      <c r="D28" s="155"/>
      <c r="E28" s="269"/>
      <c r="F28" s="1838"/>
      <c r="G28" s="1838"/>
      <c r="H28" s="1838"/>
      <c r="I28" s="1838"/>
      <c r="J28" s="1838"/>
      <c r="K28" s="152"/>
      <c r="L28" s="152"/>
      <c r="M28" s="466"/>
    </row>
    <row r="29" spans="1:13" ht="15.75">
      <c r="A29" s="68"/>
      <c r="B29" s="278" t="s">
        <v>4</v>
      </c>
      <c r="C29" s="278"/>
      <c r="D29" s="279" t="s">
        <v>102</v>
      </c>
      <c r="E29" s="696">
        <f>'Budget-Restricted MYP'!F29</f>
        <v>664259</v>
      </c>
      <c r="F29" s="1162">
        <f>'1st Interim-Restricted MYP'!G29</f>
        <v>528442.22</v>
      </c>
      <c r="G29" s="789"/>
      <c r="H29" s="789"/>
      <c r="I29" s="270" t="str">
        <f t="shared" ref="I29:I37" si="0">IF(E29&lt;1," ",IF(H29&lt;1," ",(H29-E29)/E29))</f>
        <v xml:space="preserve"> </v>
      </c>
      <c r="J29" s="793"/>
      <c r="K29" s="270" t="str">
        <f t="shared" ref="K29:K37" si="1">IF(H29&lt;1," ",IF(J29&lt;1," ",(J29-H29)/H29))</f>
        <v xml:space="preserve"> </v>
      </c>
      <c r="L29" s="789"/>
      <c r="M29" s="307" t="str">
        <f t="shared" ref="M29:M37" si="2">IF(J29&lt;1," ",IF(L29&lt;1," ",(L29-J29)/J29))</f>
        <v xml:space="preserve"> </v>
      </c>
    </row>
    <row r="30" spans="1:13" ht="15.75">
      <c r="A30" s="68"/>
      <c r="B30" s="278" t="s">
        <v>23</v>
      </c>
      <c r="C30" s="278"/>
      <c r="D30" s="279" t="s">
        <v>103</v>
      </c>
      <c r="E30" s="696">
        <f>'Budget-Restricted MYP'!F30</f>
        <v>0</v>
      </c>
      <c r="F30" s="1162">
        <f>'1st Interim-Restricted MYP'!G30</f>
        <v>0</v>
      </c>
      <c r="G30" s="789"/>
      <c r="H30" s="789"/>
      <c r="I30" s="270" t="str">
        <f t="shared" si="0"/>
        <v xml:space="preserve"> </v>
      </c>
      <c r="J30" s="793"/>
      <c r="K30" s="270" t="str">
        <f t="shared" si="1"/>
        <v xml:space="preserve"> </v>
      </c>
      <c r="L30" s="789"/>
      <c r="M30" s="307" t="str">
        <f t="shared" si="2"/>
        <v xml:space="preserve"> </v>
      </c>
    </row>
    <row r="31" spans="1:13" ht="15.75">
      <c r="A31" s="68"/>
      <c r="B31" s="278" t="s">
        <v>24</v>
      </c>
      <c r="C31" s="278"/>
      <c r="D31" s="279" t="s">
        <v>104</v>
      </c>
      <c r="E31" s="696">
        <f>'Budget-Restricted MYP'!F31</f>
        <v>195932.03099999999</v>
      </c>
      <c r="F31" s="1162">
        <f>'1st Interim-Restricted MYP'!G31</f>
        <v>189885.8601524551</v>
      </c>
      <c r="G31" s="789"/>
      <c r="H31" s="789"/>
      <c r="I31" s="270" t="str">
        <f t="shared" si="0"/>
        <v xml:space="preserve"> </v>
      </c>
      <c r="J31" s="793"/>
      <c r="K31" s="270" t="str">
        <f t="shared" si="1"/>
        <v xml:space="preserve"> </v>
      </c>
      <c r="L31" s="789"/>
      <c r="M31" s="307" t="str">
        <f t="shared" si="2"/>
        <v xml:space="preserve"> </v>
      </c>
    </row>
    <row r="32" spans="1:13" ht="15.75">
      <c r="A32" s="68"/>
      <c r="B32" s="278" t="s">
        <v>25</v>
      </c>
      <c r="C32" s="278"/>
      <c r="D32" s="279" t="s">
        <v>105</v>
      </c>
      <c r="E32" s="696">
        <f>'Budget-Restricted MYP'!F32</f>
        <v>0</v>
      </c>
      <c r="F32" s="1162">
        <f>'1st Interim-Restricted MYP'!G32</f>
        <v>0</v>
      </c>
      <c r="G32" s="789"/>
      <c r="H32" s="789"/>
      <c r="I32" s="270" t="str">
        <f t="shared" si="0"/>
        <v xml:space="preserve"> </v>
      </c>
      <c r="J32" s="793"/>
      <c r="K32" s="270" t="str">
        <f t="shared" si="1"/>
        <v xml:space="preserve"> </v>
      </c>
      <c r="L32" s="789"/>
      <c r="M32" s="307" t="str">
        <f t="shared" si="2"/>
        <v xml:space="preserve"> </v>
      </c>
    </row>
    <row r="33" spans="1:13" ht="15.75">
      <c r="A33" s="68"/>
      <c r="B33" s="278" t="s">
        <v>26</v>
      </c>
      <c r="C33" s="278"/>
      <c r="D33" s="279" t="s">
        <v>106</v>
      </c>
      <c r="E33" s="696">
        <f>'Budget-Restricted MYP'!F33</f>
        <v>241872</v>
      </c>
      <c r="F33" s="1162">
        <f>'1st Interim-Restricted MYP'!G33</f>
        <v>468559.0845</v>
      </c>
      <c r="G33" s="789"/>
      <c r="H33" s="789"/>
      <c r="I33" s="270" t="str">
        <f t="shared" si="0"/>
        <v xml:space="preserve"> </v>
      </c>
      <c r="J33" s="793"/>
      <c r="K33" s="270" t="str">
        <f t="shared" si="1"/>
        <v xml:space="preserve"> </v>
      </c>
      <c r="L33" s="789"/>
      <c r="M33" s="307" t="str">
        <f t="shared" si="2"/>
        <v xml:space="preserve"> </v>
      </c>
    </row>
    <row r="34" spans="1:13" ht="15.75">
      <c r="A34" s="68"/>
      <c r="B34" s="278" t="s">
        <v>5</v>
      </c>
      <c r="C34" s="278"/>
      <c r="D34" s="279" t="s">
        <v>107</v>
      </c>
      <c r="E34" s="696">
        <f>'Budget-Restricted MYP'!F34</f>
        <v>0</v>
      </c>
      <c r="F34" s="1162">
        <f>'1st Interim-Restricted MYP'!G34</f>
        <v>0</v>
      </c>
      <c r="G34" s="789"/>
      <c r="H34" s="789"/>
      <c r="I34" s="270" t="str">
        <f t="shared" si="0"/>
        <v xml:space="preserve"> </v>
      </c>
      <c r="J34" s="793"/>
      <c r="K34" s="270" t="str">
        <f t="shared" si="1"/>
        <v xml:space="preserve"> </v>
      </c>
      <c r="L34" s="789"/>
      <c r="M34" s="307" t="str">
        <f t="shared" si="2"/>
        <v xml:space="preserve"> </v>
      </c>
    </row>
    <row r="35" spans="1:13" ht="15.75">
      <c r="A35" s="68"/>
      <c r="B35" s="278" t="s">
        <v>27</v>
      </c>
      <c r="C35" s="278"/>
      <c r="D35" s="279" t="s">
        <v>108</v>
      </c>
      <c r="E35" s="696">
        <f>'Budget-Restricted MYP'!F35</f>
        <v>0</v>
      </c>
      <c r="F35" s="1162">
        <f>'1st Interim-Restricted MYP'!G35</f>
        <v>0</v>
      </c>
      <c r="G35" s="789"/>
      <c r="H35" s="789"/>
      <c r="I35" s="270" t="str">
        <f t="shared" si="0"/>
        <v xml:space="preserve"> </v>
      </c>
      <c r="J35" s="793"/>
      <c r="K35" s="270" t="str">
        <f t="shared" si="1"/>
        <v xml:space="preserve"> </v>
      </c>
      <c r="L35" s="789"/>
      <c r="M35" s="307" t="str">
        <f t="shared" si="2"/>
        <v xml:space="preserve"> </v>
      </c>
    </row>
    <row r="36" spans="1:13" ht="16.5" thickBot="1">
      <c r="A36" s="68"/>
      <c r="B36" s="922" t="s">
        <v>149</v>
      </c>
      <c r="C36" s="922"/>
      <c r="D36" s="629" t="s">
        <v>114</v>
      </c>
      <c r="E36" s="703">
        <f>'Budget-Restricted MYP'!F36</f>
        <v>0</v>
      </c>
      <c r="F36" s="1163">
        <f>'1st Interim-Restricted MYP'!G36</f>
        <v>0</v>
      </c>
      <c r="G36" s="952"/>
      <c r="H36" s="952"/>
      <c r="I36" s="297" t="str">
        <f t="shared" si="0"/>
        <v xml:space="preserve"> </v>
      </c>
      <c r="J36" s="953"/>
      <c r="K36" s="297" t="str">
        <f t="shared" si="1"/>
        <v xml:space="preserve"> </v>
      </c>
      <c r="L36" s="952"/>
      <c r="M36" s="590" t="str">
        <f t="shared" si="2"/>
        <v xml:space="preserve"> </v>
      </c>
    </row>
    <row r="37" spans="1:13" ht="17.25" thickTop="1" thickBot="1">
      <c r="A37" s="68"/>
      <c r="B37" s="912" t="s">
        <v>28</v>
      </c>
      <c r="C37" s="957"/>
      <c r="D37" s="958"/>
      <c r="E37" s="900">
        <f>'Budget-Restricted MYP'!F37</f>
        <v>1102063.031</v>
      </c>
      <c r="F37" s="1161">
        <f>SUM(F29:F36)</f>
        <v>1186887.1646524551</v>
      </c>
      <c r="G37" s="810">
        <f>SUM(G29:G36)</f>
        <v>0</v>
      </c>
      <c r="H37" s="810">
        <f>SUM(H29:H36)</f>
        <v>0</v>
      </c>
      <c r="I37" s="588" t="str">
        <f t="shared" si="0"/>
        <v xml:space="preserve"> </v>
      </c>
      <c r="J37" s="810">
        <f>SUM(J29:J36)</f>
        <v>0</v>
      </c>
      <c r="K37" s="588" t="str">
        <f t="shared" si="1"/>
        <v xml:space="preserve"> </v>
      </c>
      <c r="L37" s="810">
        <f>SUM(L29:L36)</f>
        <v>0</v>
      </c>
      <c r="M37" s="591" t="str">
        <f t="shared" si="2"/>
        <v xml:space="preserve"> </v>
      </c>
    </row>
    <row r="38" spans="1:13" ht="17.25" thickTop="1" thickBot="1">
      <c r="A38" s="68"/>
      <c r="B38" s="1"/>
      <c r="C38" s="1"/>
      <c r="D38" s="168"/>
      <c r="E38" s="20"/>
      <c r="F38" s="1845"/>
      <c r="G38" s="1845"/>
      <c r="H38" s="1845"/>
      <c r="I38" s="1845"/>
      <c r="J38" s="1845"/>
      <c r="M38" s="472"/>
    </row>
    <row r="39" spans="1:13" ht="17.25" thickTop="1" thickBot="1">
      <c r="A39" s="948" t="s">
        <v>208</v>
      </c>
      <c r="B39" s="913"/>
      <c r="C39" s="957"/>
      <c r="D39" s="958"/>
      <c r="E39" s="900">
        <f>'Budget-Restricted MYP'!F39</f>
        <v>78151.969000000041</v>
      </c>
      <c r="F39" s="900">
        <f>SUM(F26-F37)</f>
        <v>-233812.16465245513</v>
      </c>
      <c r="G39" s="810">
        <f>SUM(G26-G37)</f>
        <v>0</v>
      </c>
      <c r="H39" s="810" t="e">
        <f>SUM(H26-H37)</f>
        <v>#VALUE!</v>
      </c>
      <c r="I39" s="588" t="e">
        <f>IF(E39&lt;1," ",IF(H39&lt;1," ",(H39-E39)/E39))</f>
        <v>#VALUE!</v>
      </c>
      <c r="J39" s="810" t="e">
        <f>SUM(J26-J37)</f>
        <v>#VALUE!</v>
      </c>
      <c r="K39" s="588" t="e">
        <f>IF(H39&lt;1," ",IF(J39&lt;1," ",(J39-H39)/H39))</f>
        <v>#VALUE!</v>
      </c>
      <c r="L39" s="810" t="e">
        <f>SUM(L26-L37)</f>
        <v>#VALUE!</v>
      </c>
      <c r="M39" s="591" t="e">
        <f>IF(J39&lt;1," ",IF(L39&lt;1," ",(L39-J39)/J39))</f>
        <v>#VALUE!</v>
      </c>
    </row>
    <row r="40" spans="1:13" ht="16.5" thickTop="1">
      <c r="A40" s="68"/>
      <c r="B40" s="1"/>
      <c r="C40" s="1"/>
      <c r="D40" s="168"/>
      <c r="E40" s="269"/>
      <c r="F40" s="1730"/>
      <c r="G40" s="1730"/>
      <c r="H40" s="1730"/>
      <c r="I40" s="1730"/>
      <c r="J40" s="1730"/>
      <c r="M40" s="472"/>
    </row>
    <row r="41" spans="1:13" ht="15.75">
      <c r="A41" s="306" t="s">
        <v>29</v>
      </c>
      <c r="B41" s="1"/>
      <c r="C41" s="155"/>
      <c r="D41" s="345"/>
      <c r="E41" s="83"/>
      <c r="F41" s="1728"/>
      <c r="G41" s="1728"/>
      <c r="H41" s="1728"/>
      <c r="I41" s="1728"/>
      <c r="J41" s="1728"/>
      <c r="K41" s="458"/>
      <c r="L41" s="458"/>
      <c r="M41" s="476"/>
    </row>
    <row r="42" spans="1:13" ht="15.75">
      <c r="A42" s="68"/>
      <c r="B42" s="147" t="s">
        <v>127</v>
      </c>
      <c r="C42" s="141"/>
      <c r="D42" s="310">
        <v>8900</v>
      </c>
      <c r="E42" s="765">
        <f>'Budget-Restricted MYP'!F42</f>
        <v>0</v>
      </c>
      <c r="F42" s="1164">
        <f>'1st Interim-Restricted MYP'!G42</f>
        <v>0</v>
      </c>
      <c r="G42" s="804"/>
      <c r="H42" s="804"/>
      <c r="I42" s="50" t="str">
        <f>IF(E42&lt;1," ",IF(H42&lt;1," ",(H42-E42)/E42))</f>
        <v xml:space="preserve"> </v>
      </c>
      <c r="J42" s="806"/>
      <c r="K42" s="634" t="str">
        <f>IF(H42&lt;1," ",IF(J42&lt;1," ",(J42-H42)/H42))</f>
        <v xml:space="preserve"> </v>
      </c>
      <c r="L42" s="808"/>
      <c r="M42" s="633" t="str">
        <f>IF(J42&lt;1," ",IF(L42&lt;1," ",(L42-J42)/J42))</f>
        <v xml:space="preserve"> </v>
      </c>
    </row>
    <row r="43" spans="1:13" ht="16.5" thickBot="1">
      <c r="A43" s="68"/>
      <c r="B43" s="899" t="s">
        <v>30</v>
      </c>
      <c r="C43" s="153"/>
      <c r="D43" s="928">
        <v>7600</v>
      </c>
      <c r="E43" s="815">
        <f>'Budget-Restricted MYP'!F43</f>
        <v>0</v>
      </c>
      <c r="F43" s="1165">
        <f>'1st Interim-Restricted MYP'!G43</f>
        <v>0</v>
      </c>
      <c r="G43" s="805"/>
      <c r="H43" s="805"/>
      <c r="I43" s="596" t="str">
        <f>IF(E43&lt;1," ",IF(H43&lt;1," ",(H43-E43)/E43))</f>
        <v xml:space="preserve"> </v>
      </c>
      <c r="J43" s="807"/>
      <c r="K43" s="641" t="str">
        <f>IF(H43&lt;1," ",IF(J43&lt;1," ",(J43-H43)/H43))</f>
        <v xml:space="preserve"> </v>
      </c>
      <c r="L43" s="809"/>
      <c r="M43" s="642" t="str">
        <f>IF(J43&lt;1," ",IF(L43&lt;1," ",(L43-J43)/J43))</f>
        <v xml:space="preserve"> </v>
      </c>
    </row>
    <row r="44" spans="1:13" ht="17.25" thickTop="1" thickBot="1">
      <c r="A44" s="68"/>
      <c r="B44" s="912" t="s">
        <v>31</v>
      </c>
      <c r="C44" s="957"/>
      <c r="D44" s="958"/>
      <c r="E44" s="900">
        <f>'Budget-Restricted MYP'!F44</f>
        <v>0</v>
      </c>
      <c r="F44" s="1161">
        <f>F42-F43</f>
        <v>0</v>
      </c>
      <c r="G44" s="810">
        <f>G42-G43</f>
        <v>0</v>
      </c>
      <c r="H44" s="810">
        <f>H42-H43</f>
        <v>0</v>
      </c>
      <c r="I44" s="588" t="str">
        <f>IF(E44&lt;1," ",IF(H44&lt;1," ",(H44-E44)/E44))</f>
        <v xml:space="preserve"> </v>
      </c>
      <c r="J44" s="810">
        <f>J42-J43</f>
        <v>0</v>
      </c>
      <c r="K44" s="588" t="str">
        <f>IF(H44&lt;1," ",IF(J44&lt;1," ",(J44-H44)/H44))</f>
        <v xml:space="preserve"> </v>
      </c>
      <c r="L44" s="810">
        <f>L42-L43</f>
        <v>0</v>
      </c>
      <c r="M44" s="591" t="str">
        <f>IF(J44&lt;1," ",IF(L44&lt;1," ",(L44-J44)/J44))</f>
        <v xml:space="preserve"> </v>
      </c>
    </row>
    <row r="45" spans="1:13" ht="17.25" thickTop="1" thickBot="1">
      <c r="A45" s="68"/>
      <c r="B45" s="1"/>
      <c r="C45" s="1"/>
      <c r="D45" s="168"/>
      <c r="E45" s="269"/>
      <c r="F45" s="1166"/>
      <c r="G45" s="52"/>
      <c r="H45" s="52"/>
      <c r="I45" s="269"/>
      <c r="J45" s="52"/>
      <c r="K45" s="269"/>
      <c r="L45" s="52"/>
      <c r="M45" s="881"/>
    </row>
    <row r="46" spans="1:13" ht="17.25" thickTop="1" thickBot="1">
      <c r="A46" s="948" t="s">
        <v>32</v>
      </c>
      <c r="B46" s="913"/>
      <c r="C46" s="957"/>
      <c r="D46" s="958"/>
      <c r="E46" s="900">
        <f>'Budget-Restricted MYP'!F46</f>
        <v>78151.969000000041</v>
      </c>
      <c r="F46" s="1161">
        <f>F39+F44</f>
        <v>-233812.16465245513</v>
      </c>
      <c r="G46" s="810">
        <f>G39+G44</f>
        <v>0</v>
      </c>
      <c r="H46" s="810" t="e">
        <f>H39+H44</f>
        <v>#VALUE!</v>
      </c>
      <c r="I46" s="588" t="e">
        <f>IF(E46&lt;1," ",IF(H46&lt;1," ",(H46-E46)/E46))</f>
        <v>#VALUE!</v>
      </c>
      <c r="J46" s="810" t="e">
        <f>J39+J44</f>
        <v>#VALUE!</v>
      </c>
      <c r="K46" s="588" t="e">
        <f>IF(H46&lt;1," ",IF(J46&lt;1," ",(J46-H46)/H46))</f>
        <v>#VALUE!</v>
      </c>
      <c r="L46" s="810" t="e">
        <f>L39+L44</f>
        <v>#VALUE!</v>
      </c>
      <c r="M46" s="591" t="e">
        <f>IF(J46&lt;1," ",IF(L46&lt;1," ",(L46-J46)/J46))</f>
        <v>#VALUE!</v>
      </c>
    </row>
    <row r="47" spans="1:13" ht="16.5" thickTop="1">
      <c r="A47" s="306"/>
      <c r="B47" s="1"/>
      <c r="C47" s="1"/>
      <c r="D47" s="168"/>
      <c r="E47" s="269"/>
      <c r="F47" s="1730"/>
      <c r="G47" s="1730"/>
      <c r="H47" s="1730"/>
      <c r="I47" s="1730"/>
      <c r="J47" s="1730"/>
      <c r="M47" s="472"/>
    </row>
    <row r="48" spans="1:13" ht="15.75">
      <c r="A48" s="306" t="s">
        <v>6</v>
      </c>
      <c r="B48" s="1"/>
      <c r="C48" s="1"/>
      <c r="D48" s="168"/>
      <c r="E48" s="269"/>
      <c r="F48" s="1730"/>
      <c r="G48" s="1730"/>
      <c r="H48" s="1730"/>
      <c r="I48" s="1730"/>
      <c r="J48" s="1730"/>
      <c r="M48" s="472"/>
    </row>
    <row r="49" spans="1:13" ht="15.75">
      <c r="A49" s="68"/>
      <c r="B49" s="293" t="s">
        <v>162</v>
      </c>
      <c r="C49" s="294"/>
      <c r="D49" s="295">
        <v>9791</v>
      </c>
      <c r="E49" s="812">
        <f>'Budget-Restricted MYP'!F49</f>
        <v>0</v>
      </c>
      <c r="F49" s="1167">
        <f>E49</f>
        <v>0</v>
      </c>
      <c r="G49" s="1172">
        <f>E49</f>
        <v>0</v>
      </c>
      <c r="H49" s="1173">
        <f>E49</f>
        <v>0</v>
      </c>
      <c r="I49" s="1087"/>
      <c r="J49" s="1085"/>
      <c r="K49" s="1088"/>
      <c r="L49" s="1086"/>
      <c r="M49" s="1089"/>
    </row>
    <row r="50" spans="1:13" ht="15.75">
      <c r="A50" s="68"/>
      <c r="B50" s="315" t="s">
        <v>136</v>
      </c>
      <c r="C50" s="316"/>
      <c r="D50" s="317">
        <v>9792</v>
      </c>
      <c r="E50" s="500"/>
      <c r="F50" s="1168">
        <f>'1st Interim-Restricted MYP'!G50</f>
        <v>0</v>
      </c>
      <c r="G50" s="1174">
        <f>F50</f>
        <v>0</v>
      </c>
      <c r="H50" s="1175">
        <f>F50</f>
        <v>0</v>
      </c>
      <c r="I50" s="624"/>
      <c r="J50" s="800"/>
      <c r="K50" s="597"/>
      <c r="L50" s="798"/>
      <c r="M50" s="599"/>
    </row>
    <row r="51" spans="1:13" ht="15.75">
      <c r="A51" s="68"/>
      <c r="B51" s="315" t="s">
        <v>236</v>
      </c>
      <c r="C51" s="316"/>
      <c r="D51" s="965"/>
      <c r="E51" s="500"/>
      <c r="F51" s="1169">
        <f>SUM(F49:F50)</f>
        <v>0</v>
      </c>
      <c r="G51" s="1174">
        <f>G49+G50</f>
        <v>0</v>
      </c>
      <c r="H51" s="1176">
        <f>H49+H50</f>
        <v>0</v>
      </c>
      <c r="I51" s="624"/>
      <c r="J51" s="800"/>
      <c r="K51" s="597"/>
      <c r="L51" s="798"/>
      <c r="M51" s="599"/>
    </row>
    <row r="52" spans="1:13" ht="15.75">
      <c r="A52" s="68"/>
      <c r="B52" s="315" t="s">
        <v>302</v>
      </c>
      <c r="C52" s="316"/>
      <c r="D52" s="317">
        <v>9793</v>
      </c>
      <c r="E52" s="500"/>
      <c r="F52" s="1170">
        <f>'1st Interim-Restricted MYP'!G52</f>
        <v>0</v>
      </c>
      <c r="G52" s="803"/>
      <c r="H52" s="826"/>
      <c r="I52" s="624"/>
      <c r="J52" s="1008"/>
      <c r="K52" s="597"/>
      <c r="L52" s="798"/>
      <c r="M52" s="599"/>
    </row>
    <row r="53" spans="1:13" ht="15.75">
      <c r="A53" s="68"/>
      <c r="B53" s="315" t="s">
        <v>301</v>
      </c>
      <c r="C53" s="316"/>
      <c r="D53" s="317">
        <v>9795</v>
      </c>
      <c r="E53" s="501"/>
      <c r="F53" s="1170">
        <f>'1st Interim-Restricted MYP'!G53</f>
        <v>0</v>
      </c>
      <c r="G53" s="803"/>
      <c r="H53" s="826"/>
      <c r="I53" s="624"/>
      <c r="J53" s="801"/>
      <c r="K53" s="598"/>
      <c r="L53" s="799"/>
      <c r="M53" s="600"/>
    </row>
    <row r="54" spans="1:13" ht="16.5" thickBot="1">
      <c r="A54" s="68"/>
      <c r="B54" s="910" t="s">
        <v>284</v>
      </c>
      <c r="C54" s="504"/>
      <c r="D54" s="911"/>
      <c r="E54" s="474"/>
      <c r="F54" s="1171">
        <f>SUM(F51:F53)</f>
        <v>0</v>
      </c>
      <c r="G54" s="827">
        <f>G51+G52+G53</f>
        <v>0</v>
      </c>
      <c r="H54" s="814">
        <f>H51+H52+H53</f>
        <v>0</v>
      </c>
      <c r="I54" s="615"/>
      <c r="J54" s="1108" t="e">
        <f>H55</f>
        <v>#VALUE!</v>
      </c>
      <c r="K54" s="598"/>
      <c r="L54" s="1109" t="e">
        <f>J55</f>
        <v>#VALUE!</v>
      </c>
      <c r="M54" s="600"/>
    </row>
    <row r="55" spans="1:13" ht="17.25" thickTop="1" thickBot="1">
      <c r="A55" s="68"/>
      <c r="B55" s="912" t="s">
        <v>33</v>
      </c>
      <c r="C55" s="913"/>
      <c r="D55" s="914"/>
      <c r="E55" s="900">
        <f>'Budget-Restricted MYP'!F55</f>
        <v>78151.97</v>
      </c>
      <c r="F55" s="1161">
        <f>ROUND(F54+F46,0)</f>
        <v>-233812</v>
      </c>
      <c r="G55" s="1161">
        <f>ROUND(G54+G46,0)</f>
        <v>0</v>
      </c>
      <c r="H55" s="1161" t="e">
        <f>ROUND(H54+H46,0)</f>
        <v>#VALUE!</v>
      </c>
      <c r="I55" s="588" t="e">
        <f>IF(E55&lt;1," ",IF(H55&lt;1," ",(H55-E55)/E55))</f>
        <v>#VALUE!</v>
      </c>
      <c r="J55" s="1161" t="e">
        <f>ROUND(J54+J46,0)</f>
        <v>#VALUE!</v>
      </c>
      <c r="K55" s="588" t="e">
        <f>IF(H55&lt;1," ",IF(J55&lt;1," ",(J55-H55)/H55))</f>
        <v>#VALUE!</v>
      </c>
      <c r="L55" s="1161" t="e">
        <f>ROUND(L54+L46,0)</f>
        <v>#VALUE!</v>
      </c>
      <c r="M55" s="591" t="e">
        <f>IF(J55&lt;1," ",IF(L55&lt;1," ",(L55-J55)/J55))</f>
        <v>#VALUE!</v>
      </c>
    </row>
    <row r="56" spans="1:13" ht="16.5" thickTop="1">
      <c r="A56" s="68"/>
      <c r="B56" s="1"/>
      <c r="C56" s="1"/>
      <c r="D56" s="168"/>
      <c r="E56" s="169"/>
      <c r="F56" s="296"/>
      <c r="G56" s="52"/>
      <c r="H56" s="52"/>
      <c r="I56" s="169"/>
      <c r="J56" s="52"/>
      <c r="K56" s="169"/>
      <c r="L56" s="52"/>
      <c r="M56" s="475"/>
    </row>
    <row r="57" spans="1:13" ht="15.75">
      <c r="A57" s="324" t="s">
        <v>142</v>
      </c>
      <c r="B57" s="152"/>
      <c r="C57" s="480"/>
      <c r="D57" s="481" t="s">
        <v>2</v>
      </c>
      <c r="E57" s="482"/>
      <c r="F57" s="483"/>
      <c r="G57" s="484"/>
      <c r="H57" s="484"/>
      <c r="I57" s="482"/>
      <c r="J57" s="484"/>
      <c r="K57" s="482"/>
      <c r="L57" s="484"/>
      <c r="M57" s="485"/>
    </row>
    <row r="58" spans="1:13" ht="15.75">
      <c r="A58" s="68"/>
      <c r="B58" s="348" t="s">
        <v>7</v>
      </c>
      <c r="C58" s="354" t="s">
        <v>143</v>
      </c>
      <c r="D58" s="355"/>
      <c r="E58" s="356"/>
      <c r="F58" s="1765"/>
      <c r="G58" s="1765"/>
      <c r="H58" s="1765"/>
      <c r="I58" s="1765"/>
      <c r="J58" s="1765"/>
      <c r="K58" s="622"/>
      <c r="L58" s="622"/>
      <c r="M58" s="623"/>
    </row>
    <row r="59" spans="1:13" ht="15.75">
      <c r="A59" s="68"/>
      <c r="B59" s="502"/>
      <c r="C59" s="503" t="s">
        <v>34</v>
      </c>
      <c r="D59" s="479">
        <v>9711</v>
      </c>
      <c r="E59" s="794"/>
      <c r="F59" s="794"/>
      <c r="G59" s="794"/>
      <c r="H59" s="794"/>
      <c r="I59" s="486"/>
      <c r="J59" s="794"/>
      <c r="K59" s="648"/>
      <c r="L59" s="996"/>
      <c r="M59" s="650"/>
    </row>
    <row r="60" spans="1:13" ht="15.75">
      <c r="A60" s="68"/>
      <c r="B60" s="477"/>
      <c r="C60" s="503" t="s">
        <v>10</v>
      </c>
      <c r="D60" s="479">
        <v>9712</v>
      </c>
      <c r="E60" s="991"/>
      <c r="F60" s="992"/>
      <c r="G60" s="993"/>
      <c r="H60" s="993"/>
      <c r="I60" s="652"/>
      <c r="J60" s="994"/>
      <c r="K60" s="597"/>
      <c r="L60" s="997"/>
      <c r="M60" s="599"/>
    </row>
    <row r="61" spans="1:13" ht="15.75">
      <c r="A61" s="68"/>
      <c r="B61" s="477"/>
      <c r="C61" s="503" t="s">
        <v>11</v>
      </c>
      <c r="D61" s="479">
        <v>9713</v>
      </c>
      <c r="E61" s="831"/>
      <c r="F61" s="888"/>
      <c r="G61" s="829"/>
      <c r="H61" s="829"/>
      <c r="I61" s="624"/>
      <c r="J61" s="995"/>
      <c r="K61" s="597"/>
      <c r="L61" s="997"/>
      <c r="M61" s="599"/>
    </row>
    <row r="62" spans="1:13" ht="15.75">
      <c r="A62" s="68"/>
      <c r="B62" s="477"/>
      <c r="C62" s="503" t="s">
        <v>144</v>
      </c>
      <c r="D62" s="479">
        <v>9719</v>
      </c>
      <c r="E62" s="831"/>
      <c r="F62" s="888"/>
      <c r="G62" s="829"/>
      <c r="H62" s="829"/>
      <c r="I62" s="624"/>
      <c r="J62" s="995"/>
      <c r="K62" s="597"/>
      <c r="L62" s="997"/>
      <c r="M62" s="599"/>
    </row>
    <row r="63" spans="1:13" ht="15.75">
      <c r="A63" s="68"/>
      <c r="B63" s="348" t="s">
        <v>8</v>
      </c>
      <c r="C63" s="350" t="s">
        <v>145</v>
      </c>
      <c r="D63" s="289">
        <v>9740</v>
      </c>
      <c r="E63" s="764">
        <f>ROUND(IF(E55&lt;0,0,E55),0)</f>
        <v>78152</v>
      </c>
      <c r="F63" s="764">
        <f>ROUND(IF(F55&lt;0,0,F55),0)</f>
        <v>0</v>
      </c>
      <c r="G63" s="764">
        <f>ROUND(IF(G55&lt;0,0,G55),0)</f>
        <v>0</v>
      </c>
      <c r="H63" s="764" t="e">
        <f>ROUND(IF(H55&lt;0,0,H55),0)</f>
        <v>#VALUE!</v>
      </c>
      <c r="I63" s="50" t="e">
        <f>IF(E63&lt;1," ",IF(H63&lt;1," ",(H63-E63)/E63))</f>
        <v>#VALUE!</v>
      </c>
      <c r="J63" s="764" t="e">
        <f>ROUND(IF(J55&lt;0,0,J55),0)</f>
        <v>#VALUE!</v>
      </c>
      <c r="K63" s="634" t="e">
        <f>IF(H63&lt;1," ",IF(J63&lt;1," ",(J63-H63)/H63))</f>
        <v>#VALUE!</v>
      </c>
      <c r="L63" s="764" t="e">
        <f>ROUND(IF(L55&lt;0,0,L55),0)</f>
        <v>#VALUE!</v>
      </c>
      <c r="M63" s="633" t="e">
        <f>IF(J63&lt;1," ",IF(L63&lt;1," ",(L63-J63)/J63))</f>
        <v>#VALUE!</v>
      </c>
    </row>
    <row r="64" spans="1:13" ht="15.75">
      <c r="A64" s="68"/>
      <c r="B64" s="477" t="s">
        <v>9</v>
      </c>
      <c r="C64" s="966" t="s">
        <v>349</v>
      </c>
      <c r="D64" s="990"/>
      <c r="E64" s="831"/>
      <c r="F64" s="888"/>
      <c r="G64" s="829"/>
      <c r="H64" s="829"/>
      <c r="I64" s="624"/>
      <c r="J64" s="995"/>
      <c r="K64" s="597"/>
      <c r="L64" s="997"/>
      <c r="M64" s="599"/>
    </row>
    <row r="65" spans="1:13" ht="15.75">
      <c r="A65" s="68"/>
      <c r="B65" s="477"/>
      <c r="C65" s="503" t="s">
        <v>146</v>
      </c>
      <c r="D65" s="506">
        <v>9750</v>
      </c>
      <c r="E65" s="831"/>
      <c r="F65" s="888"/>
      <c r="G65" s="829"/>
      <c r="H65" s="829"/>
      <c r="I65" s="624"/>
      <c r="J65" s="995"/>
      <c r="K65" s="597"/>
      <c r="L65" s="997"/>
      <c r="M65" s="599"/>
    </row>
    <row r="66" spans="1:13" ht="15.75">
      <c r="A66" s="68"/>
      <c r="B66" s="477"/>
      <c r="C66" s="503" t="s">
        <v>147</v>
      </c>
      <c r="D66" s="506">
        <v>9760</v>
      </c>
      <c r="E66" s="831"/>
      <c r="F66" s="888"/>
      <c r="G66" s="829"/>
      <c r="H66" s="829"/>
      <c r="I66" s="624"/>
      <c r="J66" s="995"/>
      <c r="K66" s="597"/>
      <c r="L66" s="997"/>
      <c r="M66" s="599"/>
    </row>
    <row r="67" spans="1:13" ht="15.75">
      <c r="A67" s="68"/>
      <c r="B67" s="477" t="s">
        <v>38</v>
      </c>
      <c r="C67" s="478" t="s">
        <v>148</v>
      </c>
      <c r="D67" s="479">
        <v>9780</v>
      </c>
      <c r="E67" s="831"/>
      <c r="F67" s="888"/>
      <c r="G67" s="829"/>
      <c r="H67" s="829"/>
      <c r="I67" s="624"/>
      <c r="J67" s="995"/>
      <c r="K67" s="597"/>
      <c r="L67" s="997"/>
      <c r="M67" s="599"/>
    </row>
    <row r="68" spans="1:13" ht="15.75">
      <c r="A68" s="68"/>
      <c r="B68" s="477" t="s">
        <v>40</v>
      </c>
      <c r="C68" s="966" t="s">
        <v>352</v>
      </c>
      <c r="D68" s="967"/>
      <c r="E68" s="831"/>
      <c r="F68" s="888"/>
      <c r="G68" s="829"/>
      <c r="H68" s="829"/>
      <c r="I68" s="624"/>
      <c r="J68" s="995"/>
      <c r="K68" s="597"/>
      <c r="L68" s="997"/>
      <c r="M68" s="599"/>
    </row>
    <row r="69" spans="1:13" ht="15.75">
      <c r="A69" s="68"/>
      <c r="B69" s="477"/>
      <c r="C69" s="503" t="s">
        <v>350</v>
      </c>
      <c r="D69" s="506">
        <v>9789</v>
      </c>
      <c r="E69" s="831"/>
      <c r="F69" s="888"/>
      <c r="G69" s="888"/>
      <c r="H69" s="888"/>
      <c r="I69" s="624"/>
      <c r="J69" s="955"/>
      <c r="K69" s="597"/>
      <c r="L69" s="892"/>
      <c r="M69" s="599"/>
    </row>
    <row r="70" spans="1:13" ht="16.5" thickBot="1">
      <c r="A70" s="68"/>
      <c r="B70" s="1095"/>
      <c r="C70" s="1096" t="s">
        <v>351</v>
      </c>
      <c r="D70" s="1097">
        <v>9790</v>
      </c>
      <c r="E70" s="831"/>
      <c r="F70" s="831"/>
      <c r="G70" s="831"/>
      <c r="H70" s="831"/>
      <c r="I70" s="624"/>
      <c r="J70" s="831"/>
      <c r="K70" s="597"/>
      <c r="L70" s="831"/>
      <c r="M70" s="599"/>
    </row>
    <row r="71" spans="1:13" ht="17.25" thickTop="1" thickBot="1">
      <c r="A71" s="68"/>
      <c r="B71" s="1868"/>
      <c r="C71" s="1869"/>
      <c r="D71" s="1869"/>
      <c r="E71" s="908"/>
      <c r="F71" s="908"/>
      <c r="G71" s="908"/>
      <c r="H71" s="908"/>
      <c r="I71" s="908"/>
      <c r="J71" s="908"/>
      <c r="K71" s="908"/>
      <c r="L71" s="908"/>
      <c r="M71" s="1084"/>
    </row>
    <row r="72" spans="1:13" ht="16.5" thickTop="1">
      <c r="A72" s="68"/>
      <c r="B72" s="1378"/>
      <c r="C72" s="1378"/>
      <c r="D72" s="887"/>
      <c r="E72" s="1379"/>
      <c r="F72" s="1380"/>
      <c r="G72" s="1379"/>
      <c r="H72" s="1380"/>
      <c r="I72" s="1379"/>
      <c r="J72" s="1379"/>
      <c r="K72" s="1384"/>
      <c r="L72" s="492"/>
      <c r="M72" s="1262"/>
    </row>
    <row r="73" spans="1:13" ht="15.75">
      <c r="A73" s="68"/>
      <c r="B73" s="1378" t="s">
        <v>471</v>
      </c>
      <c r="C73" s="1378"/>
      <c r="D73" s="887"/>
      <c r="E73" s="1379"/>
      <c r="F73" s="1380"/>
      <c r="G73" s="1379"/>
      <c r="H73" s="1380"/>
      <c r="I73" s="1379"/>
      <c r="J73" s="1379"/>
      <c r="K73" s="1406"/>
      <c r="L73" s="458"/>
      <c r="M73" s="1262"/>
    </row>
    <row r="74" spans="1:13" ht="15.75">
      <c r="A74" s="68"/>
      <c r="B74" s="291">
        <v>1</v>
      </c>
      <c r="C74" s="1719" t="s">
        <v>472</v>
      </c>
      <c r="D74" s="1768"/>
      <c r="E74" s="824">
        <f>'Budget-Restricted MYP'!F74</f>
        <v>0</v>
      </c>
      <c r="F74" s="713">
        <f>'1st Interim-Restricted MYP'!G74</f>
        <v>0</v>
      </c>
      <c r="G74" s="31" t="str">
        <f>IF(E74&lt;1," ",IF(F74&lt;1," ",(F74-E74)/E74))</f>
        <v xml:space="preserve"> </v>
      </c>
      <c r="H74" s="758"/>
      <c r="I74" s="31" t="str">
        <f>IF(F74&lt;1," ",IF(H74&lt;1," ",(H74-F74)/F74))</f>
        <v xml:space="preserve"> </v>
      </c>
      <c r="J74" s="758"/>
      <c r="K74" s="31" t="str">
        <f>IF(H74&lt;1," ",IF(J74&lt;1," ",(J74-H74)/H74))</f>
        <v xml:space="preserve"> </v>
      </c>
      <c r="L74" s="758"/>
      <c r="M74" s="311" t="str">
        <f>IF(J74&lt;1," ",IF(L74&lt;1," ",(L74-J74)/J74))</f>
        <v xml:space="preserve"> </v>
      </c>
    </row>
    <row r="75" spans="1:13" ht="15.75">
      <c r="A75" s="68"/>
      <c r="B75" s="291">
        <v>2</v>
      </c>
      <c r="C75" s="1719"/>
      <c r="D75" s="1768"/>
      <c r="E75" s="824">
        <f>'Budget-Restricted MYP'!F75</f>
        <v>0</v>
      </c>
      <c r="F75" s="713">
        <f>'1st Interim-Restricted MYP'!G75</f>
        <v>0</v>
      </c>
      <c r="G75" s="31"/>
      <c r="H75" s="758"/>
      <c r="I75" s="31"/>
      <c r="J75" s="758"/>
      <c r="K75" s="31"/>
      <c r="L75" s="758"/>
      <c r="M75" s="311"/>
    </row>
    <row r="76" spans="1:13" ht="15.75">
      <c r="A76" s="68"/>
      <c r="B76" s="291">
        <v>3</v>
      </c>
      <c r="C76" s="1719"/>
      <c r="D76" s="1768"/>
      <c r="E76" s="824">
        <f>'Budget-Restricted MYP'!F76</f>
        <v>0</v>
      </c>
      <c r="F76" s="713">
        <f>'1st Interim-Restricted MYP'!G76</f>
        <v>0</v>
      </c>
      <c r="G76" s="31"/>
      <c r="H76" s="758"/>
      <c r="I76" s="31"/>
      <c r="J76" s="758"/>
      <c r="K76" s="31"/>
      <c r="L76" s="758"/>
      <c r="M76" s="311"/>
    </row>
    <row r="77" spans="1:13" ht="15.75">
      <c r="A77" s="68"/>
      <c r="B77" s="291">
        <v>4</v>
      </c>
      <c r="C77" s="1596"/>
      <c r="D77" s="1598"/>
      <c r="E77" s="824"/>
      <c r="F77" s="713"/>
      <c r="G77" s="31"/>
      <c r="H77" s="758"/>
      <c r="I77" s="31"/>
      <c r="J77" s="758"/>
      <c r="K77" s="31"/>
      <c r="L77" s="758"/>
      <c r="M77" s="311"/>
    </row>
    <row r="78" spans="1:13" ht="15.75">
      <c r="A78" s="68"/>
      <c r="B78" s="291">
        <v>5</v>
      </c>
      <c r="C78" s="1596"/>
      <c r="D78" s="1598"/>
      <c r="E78" s="824"/>
      <c r="F78" s="713"/>
      <c r="G78" s="31"/>
      <c r="H78" s="758"/>
      <c r="I78" s="31"/>
      <c r="J78" s="758"/>
      <c r="K78" s="31"/>
      <c r="L78" s="758"/>
      <c r="M78" s="311"/>
    </row>
    <row r="79" spans="1:13" ht="15.75">
      <c r="A79" s="68"/>
      <c r="B79" s="291">
        <v>6</v>
      </c>
      <c r="C79" s="1596"/>
      <c r="D79" s="1598"/>
      <c r="E79" s="824"/>
      <c r="F79" s="713"/>
      <c r="G79" s="31"/>
      <c r="H79" s="758"/>
      <c r="I79" s="31"/>
      <c r="J79" s="758"/>
      <c r="K79" s="31"/>
      <c r="L79" s="758"/>
      <c r="M79" s="311"/>
    </row>
    <row r="80" spans="1:13" ht="15.75">
      <c r="A80" s="68"/>
      <c r="B80" s="291">
        <v>7</v>
      </c>
      <c r="C80" s="1596"/>
      <c r="D80" s="1598"/>
      <c r="E80" s="824"/>
      <c r="F80" s="713"/>
      <c r="G80" s="31"/>
      <c r="H80" s="758"/>
      <c r="I80" s="31"/>
      <c r="J80" s="758"/>
      <c r="K80" s="31"/>
      <c r="L80" s="758"/>
      <c r="M80" s="311"/>
    </row>
    <row r="81" spans="1:13" ht="15.75">
      <c r="A81" s="68"/>
      <c r="B81" s="291">
        <v>8</v>
      </c>
      <c r="C81" s="1596"/>
      <c r="D81" s="1598"/>
      <c r="E81" s="824"/>
      <c r="F81" s="713"/>
      <c r="G81" s="31"/>
      <c r="H81" s="758"/>
      <c r="I81" s="31"/>
      <c r="J81" s="758"/>
      <c r="K81" s="31"/>
      <c r="L81" s="758"/>
      <c r="M81" s="311"/>
    </row>
    <row r="82" spans="1:13" ht="15.75">
      <c r="A82" s="68"/>
      <c r="B82" s="291">
        <v>9</v>
      </c>
      <c r="C82" s="1719"/>
      <c r="D82" s="1768"/>
      <c r="E82" s="824">
        <f>'Budget-Restricted MYP'!F77</f>
        <v>0</v>
      </c>
      <c r="F82" s="713">
        <f>'1st Interim-Restricted MYP'!G77</f>
        <v>0</v>
      </c>
      <c r="G82" s="31"/>
      <c r="H82" s="758"/>
      <c r="I82" s="31"/>
      <c r="J82" s="758"/>
      <c r="K82" s="31"/>
      <c r="L82" s="758"/>
      <c r="M82" s="311"/>
    </row>
    <row r="83" spans="1:13" ht="15.75">
      <c r="A83" s="68"/>
      <c r="B83" s="1627">
        <v>10</v>
      </c>
      <c r="C83" s="1719"/>
      <c r="D83" s="1768"/>
      <c r="E83" s="824">
        <f>'Budget-Restricted MYP'!F78</f>
        <v>0</v>
      </c>
      <c r="F83" s="713">
        <f>'1st Interim-Restricted MYP'!G83</f>
        <v>0</v>
      </c>
      <c r="G83" s="31"/>
      <c r="H83" s="758"/>
      <c r="I83" s="31"/>
      <c r="J83" s="758"/>
      <c r="K83" s="31"/>
      <c r="L83" s="758"/>
      <c r="M83" s="311"/>
    </row>
    <row r="84" spans="1:13" ht="15.75">
      <c r="A84" s="68"/>
      <c r="B84" s="1627">
        <v>11</v>
      </c>
      <c r="C84" s="1719"/>
      <c r="D84" s="1768"/>
      <c r="E84" s="824">
        <f>'Budget-Restricted MYP'!F84</f>
        <v>0</v>
      </c>
      <c r="F84" s="713">
        <f>'1st Interim-Restricted MYP'!G84</f>
        <v>0</v>
      </c>
      <c r="G84" s="31"/>
      <c r="H84" s="758"/>
      <c r="I84" s="31"/>
      <c r="J84" s="758"/>
      <c r="K84" s="31"/>
      <c r="L84" s="758"/>
      <c r="M84" s="311"/>
    </row>
    <row r="85" spans="1:13" ht="15.75">
      <c r="A85" s="68"/>
      <c r="B85" s="1627">
        <v>12</v>
      </c>
      <c r="C85" s="1719"/>
      <c r="D85" s="1768"/>
      <c r="E85" s="824">
        <f>'Budget-Restricted MYP'!F85</f>
        <v>0</v>
      </c>
      <c r="F85" s="713">
        <f>'1st Interim-Restricted MYP'!G85</f>
        <v>0</v>
      </c>
      <c r="G85" s="31"/>
      <c r="H85" s="758"/>
      <c r="I85" s="31"/>
      <c r="J85" s="758"/>
      <c r="K85" s="31"/>
      <c r="L85" s="758"/>
      <c r="M85" s="311"/>
    </row>
    <row r="86" spans="1:13" ht="15.75">
      <c r="A86" s="68"/>
      <c r="B86" s="1627">
        <v>13</v>
      </c>
      <c r="C86" s="1719"/>
      <c r="D86" s="1768"/>
      <c r="E86" s="824">
        <f>'Budget-Restricted MYP'!F86</f>
        <v>0</v>
      </c>
      <c r="F86" s="713">
        <f>'1st Interim-Restricted MYP'!G86</f>
        <v>0</v>
      </c>
      <c r="G86" s="31"/>
      <c r="H86" s="758"/>
      <c r="I86" s="31"/>
      <c r="J86" s="758"/>
      <c r="K86" s="31"/>
      <c r="L86" s="758"/>
      <c r="M86" s="311"/>
    </row>
    <row r="87" spans="1:13" ht="15.75">
      <c r="A87" s="68"/>
      <c r="B87" s="1627">
        <v>14</v>
      </c>
      <c r="C87" s="1719"/>
      <c r="D87" s="1768"/>
      <c r="E87" s="824">
        <f>'Budget-Restricted MYP'!F87</f>
        <v>0</v>
      </c>
      <c r="F87" s="713">
        <f>'1st Interim-Restricted MYP'!G87</f>
        <v>0</v>
      </c>
      <c r="G87" s="31"/>
      <c r="H87" s="758"/>
      <c r="I87" s="31"/>
      <c r="J87" s="758"/>
      <c r="K87" s="31"/>
      <c r="L87" s="758"/>
      <c r="M87" s="311"/>
    </row>
    <row r="88" spans="1:13" ht="15.75">
      <c r="A88" s="68"/>
      <c r="B88" s="1627">
        <v>15</v>
      </c>
      <c r="C88" s="1719"/>
      <c r="D88" s="1768"/>
      <c r="E88" s="824">
        <f>'Budget-Restricted MYP'!F88</f>
        <v>0</v>
      </c>
      <c r="F88" s="713">
        <f>'1st Interim-Restricted MYP'!G88</f>
        <v>0</v>
      </c>
      <c r="G88" s="31"/>
      <c r="H88" s="758"/>
      <c r="I88" s="31"/>
      <c r="J88" s="758"/>
      <c r="K88" s="31"/>
      <c r="L88" s="758"/>
      <c r="M88" s="311"/>
    </row>
    <row r="89" spans="1:13" ht="50.25" customHeight="1" thickBot="1">
      <c r="A89" s="68"/>
      <c r="B89" s="1870" t="s">
        <v>485</v>
      </c>
      <c r="C89" s="1870"/>
      <c r="D89" s="1870"/>
      <c r="E89" s="1315" t="str">
        <f>IF(SUM(E74:E88)=E63,SUM(E74:E88),"Total must equal amount in Cell E63 above")</f>
        <v>Total must equal amount in Cell E63 above</v>
      </c>
      <c r="F89" s="1315">
        <f>IF(SUM(F74:F88)=F63,SUM(F74:F88),"Total must equal amount in Cell E63 above")</f>
        <v>0</v>
      </c>
      <c r="G89" s="1407"/>
      <c r="H89" s="1315" t="e">
        <f>IF(SUM(H74:H88)=H63,SUM(H74:H88),"Total must equal amount in Cell E63 above")</f>
        <v>#VALUE!</v>
      </c>
      <c r="I89" s="1407"/>
      <c r="J89" s="1315" t="e">
        <f>IF(SUM(J74:J88)=J63,SUM(J74:J88),"Total must equal amount in Cell E63 above")</f>
        <v>#VALUE!</v>
      </c>
      <c r="K89" s="1290"/>
      <c r="L89" s="1315" t="e">
        <f>IF(SUM(L74:L88)=L63,SUM(L74:L88),"Total must equal amount in Cell E63 above")</f>
        <v>#VALUE!</v>
      </c>
      <c r="M89" s="1262"/>
    </row>
    <row r="90" spans="1:13" ht="16.5" thickTop="1">
      <c r="A90" s="332"/>
      <c r="B90" s="225"/>
      <c r="C90" s="225"/>
      <c r="D90" s="225"/>
      <c r="E90" s="225"/>
      <c r="F90" s="226"/>
      <c r="G90" s="226"/>
      <c r="H90" s="226"/>
      <c r="I90" s="226"/>
      <c r="J90" s="226"/>
      <c r="K90" s="226"/>
      <c r="M90" s="1262"/>
    </row>
    <row r="91" spans="1:13" ht="16.5" thickBot="1">
      <c r="A91" s="332" t="s">
        <v>367</v>
      </c>
      <c r="B91" s="225"/>
      <c r="C91" s="225"/>
      <c r="D91" s="225"/>
      <c r="E91" s="225"/>
      <c r="F91" s="226"/>
      <c r="G91" s="226"/>
      <c r="H91" s="226"/>
      <c r="I91" s="226"/>
      <c r="J91" s="226"/>
      <c r="K91" s="226"/>
      <c r="M91" s="1262"/>
    </row>
    <row r="92" spans="1:13" ht="16.5">
      <c r="A92" s="284"/>
      <c r="B92" s="166"/>
      <c r="C92" s="365" t="s">
        <v>323</v>
      </c>
      <c r="D92" s="365"/>
      <c r="E92" s="365"/>
      <c r="F92" s="365"/>
      <c r="G92" s="365"/>
      <c r="H92" s="365"/>
      <c r="I92" s="365"/>
      <c r="J92" s="365"/>
      <c r="K92" s="1272"/>
      <c r="L92" s="458"/>
      <c r="M92" s="1271"/>
    </row>
    <row r="93" spans="1:13" ht="15.75">
      <c r="A93" s="332"/>
      <c r="B93" s="291">
        <v>1</v>
      </c>
      <c r="C93" s="1719" t="s">
        <v>246</v>
      </c>
      <c r="D93" s="1768"/>
      <c r="E93" s="824">
        <f>'Budget-Restricted MYP'!F93</f>
        <v>0</v>
      </c>
      <c r="F93" s="713">
        <f>'1st Interim-Restricted MYP'!G93</f>
        <v>0</v>
      </c>
      <c r="G93" s="720"/>
      <c r="H93" s="720"/>
      <c r="I93" s="496"/>
      <c r="J93" s="726"/>
      <c r="K93" s="489" t="str">
        <f t="shared" ref="K93:K113" si="3">IF(H93&lt;1," ",IF(J93&lt;1," ",(J93-H93)/H93))</f>
        <v xml:space="preserve"> </v>
      </c>
      <c r="L93" s="710"/>
      <c r="M93" s="488" t="str">
        <f t="shared" ref="M93:M113" si="4">IF(J93&lt;1," ",IF(L93&lt;1," ",(L93-J93)/J93))</f>
        <v xml:space="preserve"> </v>
      </c>
    </row>
    <row r="94" spans="1:13" ht="15.75">
      <c r="A94" s="284"/>
      <c r="B94" s="291">
        <v>2</v>
      </c>
      <c r="C94" s="1717"/>
      <c r="D94" s="1767"/>
      <c r="E94" s="824">
        <f>'Budget-Restricted MYP'!F94</f>
        <v>534875</v>
      </c>
      <c r="F94" s="713">
        <f>'1st Interim-Restricted MYP'!G94</f>
        <v>534875</v>
      </c>
      <c r="G94" s="720"/>
      <c r="H94" s="720"/>
      <c r="I94" s="496"/>
      <c r="J94" s="726"/>
      <c r="K94" s="489" t="str">
        <f t="shared" si="3"/>
        <v xml:space="preserve"> </v>
      </c>
      <c r="L94" s="710"/>
      <c r="M94" s="488" t="str">
        <f t="shared" si="4"/>
        <v xml:space="preserve"> </v>
      </c>
    </row>
    <row r="95" spans="1:13" ht="15.75">
      <c r="A95" s="284"/>
      <c r="B95" s="291">
        <v>3</v>
      </c>
      <c r="C95" s="1717"/>
      <c r="D95" s="1767"/>
      <c r="E95" s="824">
        <f>'Budget-Restricted MYP'!F95</f>
        <v>0</v>
      </c>
      <c r="F95" s="713">
        <f>'1st Interim-Restricted MYP'!G95</f>
        <v>0</v>
      </c>
      <c r="G95" s="720"/>
      <c r="H95" s="720"/>
      <c r="I95" s="496"/>
      <c r="J95" s="726"/>
      <c r="K95" s="489" t="str">
        <f t="shared" si="3"/>
        <v xml:space="preserve"> </v>
      </c>
      <c r="L95" s="710"/>
      <c r="M95" s="488" t="str">
        <f t="shared" si="4"/>
        <v xml:space="preserve"> </v>
      </c>
    </row>
    <row r="96" spans="1:13" ht="15.75">
      <c r="A96" s="284"/>
      <c r="B96" s="291">
        <v>4</v>
      </c>
      <c r="C96" s="1717"/>
      <c r="D96" s="1767"/>
      <c r="E96" s="824">
        <f>'Budget-Restricted MYP'!F96</f>
        <v>0</v>
      </c>
      <c r="F96" s="713">
        <f>'1st Interim-Restricted MYP'!G96</f>
        <v>0</v>
      </c>
      <c r="G96" s="720"/>
      <c r="H96" s="720"/>
      <c r="I96" s="496"/>
      <c r="J96" s="726"/>
      <c r="K96" s="489" t="str">
        <f t="shared" si="3"/>
        <v xml:space="preserve"> </v>
      </c>
      <c r="L96" s="710"/>
      <c r="M96" s="488" t="str">
        <f t="shared" si="4"/>
        <v xml:space="preserve"> </v>
      </c>
    </row>
    <row r="97" spans="1:13" ht="15.75">
      <c r="A97" s="284"/>
      <c r="B97" s="291">
        <v>5</v>
      </c>
      <c r="C97" s="1717"/>
      <c r="D97" s="1767"/>
      <c r="E97" s="824">
        <f>'Budget-Restricted MYP'!F97</f>
        <v>0</v>
      </c>
      <c r="F97" s="713">
        <f>'1st Interim-Restricted MYP'!G97</f>
        <v>0</v>
      </c>
      <c r="G97" s="720"/>
      <c r="H97" s="720"/>
      <c r="I97" s="496"/>
      <c r="J97" s="726"/>
      <c r="K97" s="489" t="str">
        <f t="shared" si="3"/>
        <v xml:space="preserve"> </v>
      </c>
      <c r="L97" s="710"/>
      <c r="M97" s="488" t="str">
        <f t="shared" si="4"/>
        <v xml:space="preserve"> </v>
      </c>
    </row>
    <row r="98" spans="1:13" ht="15.75">
      <c r="A98" s="284"/>
      <c r="B98" s="292">
        <v>6</v>
      </c>
      <c r="C98" s="1720"/>
      <c r="D98" s="1780"/>
      <c r="E98" s="824">
        <f>'Budget-Restricted MYP'!F98</f>
        <v>0</v>
      </c>
      <c r="F98" s="713">
        <f>'1st Interim-Restricted MYP'!G98</f>
        <v>0</v>
      </c>
      <c r="G98" s="720"/>
      <c r="H98" s="720"/>
      <c r="I98" s="496"/>
      <c r="J98" s="726"/>
      <c r="K98" s="489" t="str">
        <f t="shared" si="3"/>
        <v xml:space="preserve"> </v>
      </c>
      <c r="L98" s="710"/>
      <c r="M98" s="488" t="str">
        <f t="shared" si="4"/>
        <v xml:space="preserve"> </v>
      </c>
    </row>
    <row r="99" spans="1:13" ht="15.75">
      <c r="A99" s="284"/>
      <c r="B99" s="292">
        <v>7</v>
      </c>
      <c r="C99" s="1720"/>
      <c r="D99" s="1780"/>
      <c r="E99" s="824">
        <f>'Budget-Restricted MYP'!F99</f>
        <v>0</v>
      </c>
      <c r="F99" s="713">
        <f>'1st Interim-Restricted MYP'!G99</f>
        <v>0</v>
      </c>
      <c r="G99" s="720"/>
      <c r="H99" s="720"/>
      <c r="I99" s="496"/>
      <c r="J99" s="726"/>
      <c r="K99" s="489" t="str">
        <f t="shared" si="3"/>
        <v xml:space="preserve"> </v>
      </c>
      <c r="L99" s="710"/>
      <c r="M99" s="488" t="str">
        <f t="shared" si="4"/>
        <v xml:space="preserve"> </v>
      </c>
    </row>
    <row r="100" spans="1:13" ht="15.75">
      <c r="A100" s="68"/>
      <c r="B100" s="292">
        <v>8</v>
      </c>
      <c r="C100" s="1720"/>
      <c r="D100" s="1780"/>
      <c r="E100" s="824">
        <f>'Budget-Restricted MYP'!F100</f>
        <v>0</v>
      </c>
      <c r="F100" s="713">
        <f>'1st Interim-Restricted MYP'!G100</f>
        <v>0</v>
      </c>
      <c r="G100" s="721"/>
      <c r="H100" s="721"/>
      <c r="I100" s="496"/>
      <c r="J100" s="728"/>
      <c r="K100" s="489" t="str">
        <f t="shared" si="3"/>
        <v xml:space="preserve"> </v>
      </c>
      <c r="L100" s="717"/>
      <c r="M100" s="488" t="str">
        <f t="shared" si="4"/>
        <v xml:space="preserve"> </v>
      </c>
    </row>
    <row r="101" spans="1:13" ht="15.75">
      <c r="A101" s="68"/>
      <c r="B101" s="291">
        <v>9</v>
      </c>
      <c r="C101" s="1717"/>
      <c r="D101" s="1767"/>
      <c r="E101" s="824">
        <f>'Budget-Restricted MYP'!F101</f>
        <v>0</v>
      </c>
      <c r="F101" s="713">
        <f>'1st Interim-Restricted MYP'!G101</f>
        <v>0</v>
      </c>
      <c r="G101" s="722"/>
      <c r="H101" s="722"/>
      <c r="I101" s="321"/>
      <c r="J101" s="834"/>
      <c r="K101" s="490" t="str">
        <f t="shared" si="3"/>
        <v xml:space="preserve"> </v>
      </c>
      <c r="L101" s="711"/>
      <c r="M101" s="491" t="str">
        <f t="shared" si="4"/>
        <v xml:space="preserve"> </v>
      </c>
    </row>
    <row r="102" spans="1:13" ht="15.75">
      <c r="A102" s="68"/>
      <c r="B102" s="1630">
        <v>10</v>
      </c>
      <c r="C102" s="1717"/>
      <c r="D102" s="1767"/>
      <c r="E102" s="824">
        <f>'Budget-Restricted MYP'!F102</f>
        <v>0</v>
      </c>
      <c r="F102" s="713">
        <f>'1st Interim-Restricted MYP'!G102</f>
        <v>0</v>
      </c>
      <c r="G102" s="722"/>
      <c r="H102" s="722"/>
      <c r="I102" s="321"/>
      <c r="J102" s="834"/>
      <c r="K102" s="490" t="str">
        <f t="shared" ref="K102:K112" si="5">IF(H102&lt;1," ",IF(J102&lt;1," ",(J102-H102)/H102))</f>
        <v xml:space="preserve"> </v>
      </c>
      <c r="L102" s="711"/>
      <c r="M102" s="491" t="str">
        <f t="shared" ref="M102:M112" si="6">IF(J102&lt;1," ",IF(L102&lt;1," ",(L102-J102)/J102))</f>
        <v xml:space="preserve"> </v>
      </c>
    </row>
    <row r="103" spans="1:13" ht="15.75">
      <c r="A103" s="68"/>
      <c r="B103" s="1630">
        <v>11</v>
      </c>
      <c r="C103" s="1717"/>
      <c r="D103" s="1767"/>
      <c r="E103" s="824">
        <f>'Budget-Restricted MYP'!F103</f>
        <v>0</v>
      </c>
      <c r="F103" s="713">
        <f>'1st Interim-Restricted MYP'!G103</f>
        <v>0</v>
      </c>
      <c r="G103" s="722"/>
      <c r="H103" s="722"/>
      <c r="I103" s="321"/>
      <c r="J103" s="834"/>
      <c r="K103" s="490" t="str">
        <f t="shared" si="5"/>
        <v xml:space="preserve"> </v>
      </c>
      <c r="L103" s="711"/>
      <c r="M103" s="491" t="str">
        <f t="shared" si="6"/>
        <v xml:space="preserve"> </v>
      </c>
    </row>
    <row r="104" spans="1:13" ht="15.75">
      <c r="A104" s="68"/>
      <c r="B104" s="1630">
        <v>12</v>
      </c>
      <c r="C104" s="1717"/>
      <c r="D104" s="1767"/>
      <c r="E104" s="824">
        <f>'Budget-Restricted MYP'!F104</f>
        <v>0</v>
      </c>
      <c r="F104" s="713">
        <f>'1st Interim-Restricted MYP'!G104</f>
        <v>0</v>
      </c>
      <c r="G104" s="722"/>
      <c r="H104" s="722"/>
      <c r="I104" s="321"/>
      <c r="J104" s="834"/>
      <c r="K104" s="490" t="str">
        <f t="shared" si="5"/>
        <v xml:space="preserve"> </v>
      </c>
      <c r="L104" s="711"/>
      <c r="M104" s="491" t="str">
        <f t="shared" si="6"/>
        <v xml:space="preserve"> </v>
      </c>
    </row>
    <row r="105" spans="1:13" ht="15.75">
      <c r="A105" s="68"/>
      <c r="B105" s="1627">
        <v>13</v>
      </c>
      <c r="C105" s="1717"/>
      <c r="D105" s="1767"/>
      <c r="E105" s="824">
        <f>'Budget-Restricted MYP'!F105</f>
        <v>0</v>
      </c>
      <c r="F105" s="713">
        <f>'1st Interim-Restricted MYP'!G105</f>
        <v>0</v>
      </c>
      <c r="G105" s="722"/>
      <c r="H105" s="722"/>
      <c r="I105" s="321"/>
      <c r="J105" s="834"/>
      <c r="K105" s="490" t="str">
        <f t="shared" si="5"/>
        <v xml:space="preserve"> </v>
      </c>
      <c r="L105" s="711"/>
      <c r="M105" s="491" t="str">
        <f t="shared" si="6"/>
        <v xml:space="preserve"> </v>
      </c>
    </row>
    <row r="106" spans="1:13" ht="15.75">
      <c r="A106" s="68"/>
      <c r="B106" s="1630">
        <v>14</v>
      </c>
      <c r="C106" s="1717"/>
      <c r="D106" s="1767"/>
      <c r="E106" s="824">
        <f>'Budget-Restricted MYP'!F106</f>
        <v>0</v>
      </c>
      <c r="F106" s="713">
        <f>'1st Interim-Restricted MYP'!G106</f>
        <v>0</v>
      </c>
      <c r="G106" s="722"/>
      <c r="H106" s="722"/>
      <c r="I106" s="321"/>
      <c r="J106" s="834"/>
      <c r="K106" s="490" t="str">
        <f t="shared" si="5"/>
        <v xml:space="preserve"> </v>
      </c>
      <c r="L106" s="711"/>
      <c r="M106" s="491" t="str">
        <f t="shared" si="6"/>
        <v xml:space="preserve"> </v>
      </c>
    </row>
    <row r="107" spans="1:13" ht="15.75">
      <c r="A107" s="68"/>
      <c r="B107" s="1630">
        <v>15</v>
      </c>
      <c r="C107" s="1717"/>
      <c r="D107" s="1767"/>
      <c r="E107" s="824">
        <f>'Budget-Restricted MYP'!F107</f>
        <v>0</v>
      </c>
      <c r="F107" s="713">
        <f>'1st Interim-Restricted MYP'!G107</f>
        <v>0</v>
      </c>
      <c r="G107" s="722"/>
      <c r="H107" s="722"/>
      <c r="I107" s="321"/>
      <c r="J107" s="834"/>
      <c r="K107" s="490" t="str">
        <f t="shared" si="5"/>
        <v xml:space="preserve"> </v>
      </c>
      <c r="L107" s="711"/>
      <c r="M107" s="491" t="str">
        <f t="shared" si="6"/>
        <v xml:space="preserve"> </v>
      </c>
    </row>
    <row r="108" spans="1:13" ht="15.75">
      <c r="A108" s="68"/>
      <c r="B108" s="1630">
        <v>16</v>
      </c>
      <c r="C108" s="1717"/>
      <c r="D108" s="1767"/>
      <c r="E108" s="824">
        <f>'Budget-Restricted MYP'!F108</f>
        <v>0</v>
      </c>
      <c r="F108" s="713">
        <f>'1st Interim-Restricted MYP'!G108</f>
        <v>0</v>
      </c>
      <c r="G108" s="722"/>
      <c r="H108" s="722"/>
      <c r="I108" s="321"/>
      <c r="J108" s="834"/>
      <c r="K108" s="490" t="str">
        <f t="shared" si="5"/>
        <v xml:space="preserve"> </v>
      </c>
      <c r="L108" s="711"/>
      <c r="M108" s="491" t="str">
        <f t="shared" si="6"/>
        <v xml:space="preserve"> </v>
      </c>
    </row>
    <row r="109" spans="1:13" ht="15.75">
      <c r="A109" s="68"/>
      <c r="B109" s="1627">
        <v>17</v>
      </c>
      <c r="C109" s="1717"/>
      <c r="D109" s="1767"/>
      <c r="E109" s="824">
        <f>'Budget-Restricted MYP'!F109</f>
        <v>0</v>
      </c>
      <c r="F109" s="713">
        <f>'1st Interim-Restricted MYP'!G109</f>
        <v>0</v>
      </c>
      <c r="G109" s="722"/>
      <c r="H109" s="722"/>
      <c r="I109" s="321"/>
      <c r="J109" s="834"/>
      <c r="K109" s="490" t="str">
        <f t="shared" si="5"/>
        <v xml:space="preserve"> </v>
      </c>
      <c r="L109" s="711"/>
      <c r="M109" s="491" t="str">
        <f t="shared" si="6"/>
        <v xml:space="preserve"> </v>
      </c>
    </row>
    <row r="110" spans="1:13" ht="15.75">
      <c r="A110" s="68"/>
      <c r="B110" s="1630">
        <v>18</v>
      </c>
      <c r="C110" s="1717"/>
      <c r="D110" s="1767"/>
      <c r="E110" s="824">
        <f>'Budget-Restricted MYP'!F110</f>
        <v>0</v>
      </c>
      <c r="F110" s="713">
        <f>'1st Interim-Restricted MYP'!G110</f>
        <v>0</v>
      </c>
      <c r="G110" s="722"/>
      <c r="H110" s="722"/>
      <c r="I110" s="321"/>
      <c r="J110" s="834"/>
      <c r="K110" s="490" t="str">
        <f t="shared" si="5"/>
        <v xml:space="preserve"> </v>
      </c>
      <c r="L110" s="711"/>
      <c r="M110" s="491" t="str">
        <f t="shared" si="6"/>
        <v xml:space="preserve"> </v>
      </c>
    </row>
    <row r="111" spans="1:13" ht="15.75">
      <c r="A111" s="68"/>
      <c r="B111" s="1630">
        <v>19</v>
      </c>
      <c r="C111" s="1717"/>
      <c r="D111" s="1767"/>
      <c r="E111" s="824">
        <f>'Budget-Restricted MYP'!F111</f>
        <v>0</v>
      </c>
      <c r="F111" s="713">
        <f>'1st Interim-Restricted MYP'!G111</f>
        <v>0</v>
      </c>
      <c r="G111" s="722"/>
      <c r="H111" s="722"/>
      <c r="I111" s="321"/>
      <c r="J111" s="834"/>
      <c r="K111" s="490" t="str">
        <f t="shared" si="5"/>
        <v xml:space="preserve"> </v>
      </c>
      <c r="L111" s="711"/>
      <c r="M111" s="491" t="str">
        <f t="shared" si="6"/>
        <v xml:space="preserve"> </v>
      </c>
    </row>
    <row r="112" spans="1:13" ht="16.5" thickBot="1">
      <c r="A112" s="68"/>
      <c r="B112" s="1630">
        <v>20</v>
      </c>
      <c r="C112" s="1781"/>
      <c r="D112" s="1854"/>
      <c r="E112" s="824">
        <f>'Budget-Restricted MYP'!F112</f>
        <v>0</v>
      </c>
      <c r="F112" s="713">
        <f>'1st Interim-Restricted MYP'!G112</f>
        <v>0</v>
      </c>
      <c r="G112" s="722"/>
      <c r="H112" s="722"/>
      <c r="I112" s="321"/>
      <c r="J112" s="834"/>
      <c r="K112" s="490" t="str">
        <f t="shared" si="5"/>
        <v xml:space="preserve"> </v>
      </c>
      <c r="L112" s="711"/>
      <c r="M112" s="491" t="str">
        <f t="shared" si="6"/>
        <v xml:space="preserve"> </v>
      </c>
    </row>
    <row r="113" spans="1:13" ht="17.25" thickTop="1" thickBot="1">
      <c r="A113" s="68"/>
      <c r="B113" s="939" t="s">
        <v>2</v>
      </c>
      <c r="C113" s="1707" t="s">
        <v>321</v>
      </c>
      <c r="D113" s="1708"/>
      <c r="E113" s="900">
        <f>SUM(E93:E112)</f>
        <v>534875</v>
      </c>
      <c r="F113" s="900">
        <f>SUM(F93:F112)</f>
        <v>534875</v>
      </c>
      <c r="G113" s="900">
        <f>SUM(G93:G112)</f>
        <v>0</v>
      </c>
      <c r="H113" s="810">
        <f>SUM(H93:H112)</f>
        <v>0</v>
      </c>
      <c r="I113" s="614"/>
      <c r="J113" s="810">
        <f>SUM(J93:J112)</f>
        <v>0</v>
      </c>
      <c r="K113" s="588" t="str">
        <f t="shared" si="3"/>
        <v xml:space="preserve"> </v>
      </c>
      <c r="L113" s="810">
        <f>SUM(L93:L112)</f>
        <v>0</v>
      </c>
      <c r="M113" s="591" t="str">
        <f t="shared" si="4"/>
        <v xml:space="preserve"> </v>
      </c>
    </row>
    <row r="114" spans="1:13" ht="16.5" thickTop="1">
      <c r="A114" s="68"/>
      <c r="B114" s="949"/>
      <c r="C114" s="968"/>
      <c r="D114" s="968"/>
      <c r="E114" s="169"/>
      <c r="F114" s="169"/>
      <c r="G114" s="52"/>
      <c r="H114" s="169"/>
      <c r="I114" s="52"/>
      <c r="J114" s="169"/>
      <c r="K114" s="52"/>
      <c r="L114" s="52"/>
      <c r="M114" s="882"/>
    </row>
    <row r="115" spans="1:13" ht="15.75">
      <c r="A115" s="68"/>
      <c r="B115" s="352" t="s">
        <v>210</v>
      </c>
      <c r="C115" s="167"/>
      <c r="D115" s="976"/>
      <c r="E115" s="1114">
        <f>'Budget-Restricted MYP'!F115</f>
        <v>0</v>
      </c>
      <c r="F115" s="1090">
        <f>'1st Interim-Restricted MYP'!G115</f>
        <v>0</v>
      </c>
      <c r="G115" s="582"/>
      <c r="H115" s="975">
        <f>'2nd Interim-Assumptions'!G17</f>
        <v>0</v>
      </c>
      <c r="I115" s="486"/>
      <c r="J115" s="975">
        <f>'2nd Interim-Assumptions'!H17</f>
        <v>0</v>
      </c>
      <c r="K115" s="486"/>
      <c r="L115" s="975">
        <f>'2nd Interim-Assumptions'!J17</f>
        <v>0</v>
      </c>
      <c r="M115" s="353"/>
    </row>
    <row r="116" spans="1:13" ht="15.75">
      <c r="A116" s="284"/>
      <c r="B116" s="352" t="s">
        <v>211</v>
      </c>
      <c r="C116" s="167"/>
      <c r="D116" s="976"/>
      <c r="E116" s="1114">
        <f>'Budget-Restricted MYP'!F116</f>
        <v>0</v>
      </c>
      <c r="F116" s="1091">
        <f>'1st Interim-Restricted MYP'!G116</f>
        <v>0</v>
      </c>
      <c r="G116" s="583"/>
      <c r="H116" s="956" t="e">
        <f>(1.04446*'2nd Interim-ADA'!O76)*H115</f>
        <v>#VALUE!</v>
      </c>
      <c r="I116" s="1215" t="str">
        <f>IF(F116&lt;1," ",IF(H116&lt;1," ",(H116-F116)/F116))</f>
        <v xml:space="preserve"> </v>
      </c>
      <c r="J116" s="956" t="e">
        <f>(1.04446*'2nd Interim-ADA'!R76)*J115</f>
        <v>#VALUE!</v>
      </c>
      <c r="K116" s="270" t="e">
        <f>IF(H116&lt;1," ",IF(J116&lt;1," ",(J116-H116)/H116))</f>
        <v>#VALUE!</v>
      </c>
      <c r="L116" s="956" t="e">
        <f>(1.04446*'2nd Interim-ADA'!U76)*L115</f>
        <v>#VALUE!</v>
      </c>
      <c r="M116" s="307" t="e">
        <f>IF(J116&lt;1," ",IF(L116&lt;1," ",(L116-J116)/J116))</f>
        <v>#VALUE!</v>
      </c>
    </row>
    <row r="117" spans="1:13" ht="6.75" customHeight="1">
      <c r="A117" s="68"/>
      <c r="B117" s="362"/>
      <c r="C117" s="969"/>
      <c r="D117" s="969"/>
      <c r="E117" s="970"/>
      <c r="F117" s="971"/>
      <c r="G117" s="52"/>
      <c r="H117" s="52"/>
      <c r="I117" s="971"/>
      <c r="J117" s="52"/>
      <c r="K117" s="971"/>
      <c r="L117" s="52"/>
      <c r="M117" s="882"/>
    </row>
    <row r="118" spans="1:13" ht="15.75">
      <c r="A118" s="284"/>
      <c r="B118" s="166"/>
      <c r="C118" s="166" t="s">
        <v>322</v>
      </c>
      <c r="D118" s="166"/>
      <c r="E118" s="166"/>
      <c r="F118" s="1713"/>
      <c r="G118" s="1713"/>
      <c r="H118" s="1713"/>
      <c r="I118" s="1713"/>
      <c r="J118" s="1713"/>
      <c r="K118" s="1713"/>
      <c r="L118" s="52"/>
      <c r="M118" s="607"/>
    </row>
    <row r="119" spans="1:13" ht="15.75">
      <c r="A119" s="284"/>
      <c r="B119" s="291">
        <v>1</v>
      </c>
      <c r="C119" s="1717"/>
      <c r="D119" s="1718"/>
      <c r="E119" s="1120">
        <f>'Budget-Restricted MYP'!F119</f>
        <v>0</v>
      </c>
      <c r="F119" s="1151">
        <f>'1st Interim-Restricted MYP'!G119</f>
        <v>0</v>
      </c>
      <c r="G119" s="1154"/>
      <c r="H119" s="720"/>
      <c r="I119" s="321"/>
      <c r="J119" s="726"/>
      <c r="K119" s="490" t="str">
        <f t="shared" ref="K119:K137" si="7">IF(H119&lt;1," ",IF(J119&lt;1," ",(J119-H119)/H119))</f>
        <v xml:space="preserve"> </v>
      </c>
      <c r="L119" s="715"/>
      <c r="M119" s="608" t="str">
        <f t="shared" ref="M119:M137" si="8">IF(J119&lt;1," ",IF(L119&lt;1," ",(L119-J119)/J119))</f>
        <v xml:space="preserve"> </v>
      </c>
    </row>
    <row r="120" spans="1:13" ht="15.75">
      <c r="A120" s="284"/>
      <c r="B120" s="291">
        <v>2</v>
      </c>
      <c r="C120" s="1717"/>
      <c r="D120" s="1718"/>
      <c r="E120" s="1120">
        <f>'Budget-Restricted MYP'!F120</f>
        <v>0</v>
      </c>
      <c r="F120" s="1151">
        <f>'1st Interim-Restricted MYP'!G120</f>
        <v>0</v>
      </c>
      <c r="G120" s="1141"/>
      <c r="H120" s="721"/>
      <c r="I120" s="321"/>
      <c r="J120" s="728"/>
      <c r="K120" s="490" t="str">
        <f t="shared" si="7"/>
        <v xml:space="preserve"> </v>
      </c>
      <c r="L120" s="717"/>
      <c r="M120" s="491" t="str">
        <f t="shared" si="8"/>
        <v xml:space="preserve"> </v>
      </c>
    </row>
    <row r="121" spans="1:13" ht="15.75">
      <c r="A121" s="284"/>
      <c r="B121" s="291">
        <v>3</v>
      </c>
      <c r="C121" s="1717"/>
      <c r="D121" s="1718"/>
      <c r="E121" s="1120">
        <f>'Budget-Restricted MYP'!F121</f>
        <v>0</v>
      </c>
      <c r="F121" s="1151">
        <f>'1st Interim-Restricted MYP'!G121</f>
        <v>0</v>
      </c>
      <c r="G121" s="1141"/>
      <c r="H121" s="721"/>
      <c r="I121" s="321"/>
      <c r="J121" s="728"/>
      <c r="K121" s="490" t="str">
        <f t="shared" si="7"/>
        <v xml:space="preserve"> </v>
      </c>
      <c r="L121" s="717"/>
      <c r="M121" s="491" t="str">
        <f t="shared" si="8"/>
        <v xml:space="preserve"> </v>
      </c>
    </row>
    <row r="122" spans="1:13" ht="15.75">
      <c r="A122" s="284"/>
      <c r="B122" s="291">
        <v>4</v>
      </c>
      <c r="C122" s="1717"/>
      <c r="D122" s="1718"/>
      <c r="E122" s="1120">
        <f>'Budget-Restricted MYP'!F122</f>
        <v>0</v>
      </c>
      <c r="F122" s="1151">
        <f>'1st Interim-Restricted MYP'!G122</f>
        <v>0</v>
      </c>
      <c r="G122" s="1154"/>
      <c r="H122" s="720"/>
      <c r="I122" s="321"/>
      <c r="J122" s="726"/>
      <c r="K122" s="490" t="str">
        <f t="shared" si="7"/>
        <v xml:space="preserve"> </v>
      </c>
      <c r="L122" s="710"/>
      <c r="M122" s="491" t="str">
        <f t="shared" si="8"/>
        <v xml:space="preserve"> </v>
      </c>
    </row>
    <row r="123" spans="1:13" ht="15.75">
      <c r="A123" s="68"/>
      <c r="B123" s="291">
        <v>5</v>
      </c>
      <c r="C123" s="1717"/>
      <c r="D123" s="1718"/>
      <c r="E123" s="1120">
        <f>'Budget-Restricted MYP'!F123</f>
        <v>0</v>
      </c>
      <c r="F123" s="1151">
        <f>'1st Interim-Restricted MYP'!G123</f>
        <v>0</v>
      </c>
      <c r="G123" s="1155"/>
      <c r="H123" s="738"/>
      <c r="I123" s="321"/>
      <c r="J123" s="835"/>
      <c r="K123" s="490" t="str">
        <f t="shared" si="7"/>
        <v xml:space="preserve"> </v>
      </c>
      <c r="L123" s="840"/>
      <c r="M123" s="491" t="str">
        <f t="shared" si="8"/>
        <v xml:space="preserve"> </v>
      </c>
    </row>
    <row r="124" spans="1:13" ht="15.75">
      <c r="A124" s="285"/>
      <c r="B124" s="292">
        <v>6</v>
      </c>
      <c r="C124" s="1720"/>
      <c r="D124" s="1757"/>
      <c r="E124" s="1120">
        <f>'Budget-Restricted MYP'!F124</f>
        <v>0</v>
      </c>
      <c r="F124" s="1151">
        <f>'1st Interim-Restricted MYP'!G124</f>
        <v>0</v>
      </c>
      <c r="G124" s="1140"/>
      <c r="H124" s="739"/>
      <c r="I124" s="496"/>
      <c r="J124" s="836"/>
      <c r="K124" s="489" t="str">
        <f t="shared" si="7"/>
        <v xml:space="preserve"> </v>
      </c>
      <c r="L124" s="841"/>
      <c r="M124" s="488" t="str">
        <f t="shared" si="8"/>
        <v xml:space="preserve"> </v>
      </c>
    </row>
    <row r="125" spans="1:13" ht="15.75">
      <c r="A125" s="285"/>
      <c r="B125" s="292">
        <v>7</v>
      </c>
      <c r="C125" s="1720"/>
      <c r="D125" s="1757"/>
      <c r="E125" s="1120">
        <f>'Budget-Restricted MYP'!F125</f>
        <v>0</v>
      </c>
      <c r="F125" s="1151">
        <f>'1st Interim-Restricted MYP'!G125</f>
        <v>0</v>
      </c>
      <c r="G125" s="1141"/>
      <c r="H125" s="721"/>
      <c r="I125" s="496"/>
      <c r="J125" s="728"/>
      <c r="K125" s="489" t="str">
        <f t="shared" si="7"/>
        <v xml:space="preserve"> </v>
      </c>
      <c r="L125" s="717"/>
      <c r="M125" s="488" t="str">
        <f t="shared" si="8"/>
        <v xml:space="preserve"> </v>
      </c>
    </row>
    <row r="126" spans="1:13" ht="15.75">
      <c r="A126" s="285"/>
      <c r="B126" s="292">
        <v>8</v>
      </c>
      <c r="C126" s="1720"/>
      <c r="D126" s="1757"/>
      <c r="E126" s="1120">
        <f>'Budget-Restricted MYP'!F126</f>
        <v>0</v>
      </c>
      <c r="F126" s="1151">
        <f>'1st Interim-Restricted MYP'!G126</f>
        <v>0</v>
      </c>
      <c r="G126" s="1141"/>
      <c r="H126" s="721"/>
      <c r="I126" s="496"/>
      <c r="J126" s="728"/>
      <c r="K126" s="489" t="str">
        <f t="shared" si="7"/>
        <v xml:space="preserve"> </v>
      </c>
      <c r="L126" s="717"/>
      <c r="M126" s="488" t="str">
        <f t="shared" si="8"/>
        <v xml:space="preserve"> </v>
      </c>
    </row>
    <row r="127" spans="1:13" ht="15.75">
      <c r="A127" s="285"/>
      <c r="B127" s="292">
        <v>9</v>
      </c>
      <c r="C127" s="1717"/>
      <c r="D127" s="1718"/>
      <c r="E127" s="1120">
        <f>'Budget-Restricted MYP'!F127</f>
        <v>0</v>
      </c>
      <c r="F127" s="1151">
        <f>'1st Interim-Restricted MYP'!G127</f>
        <v>0</v>
      </c>
      <c r="G127" s="1141"/>
      <c r="H127" s="721"/>
      <c r="I127" s="496"/>
      <c r="J127" s="728"/>
      <c r="K127" s="489" t="str">
        <f t="shared" si="7"/>
        <v xml:space="preserve"> </v>
      </c>
      <c r="L127" s="717"/>
      <c r="M127" s="488" t="str">
        <f t="shared" si="8"/>
        <v xml:space="preserve"> </v>
      </c>
    </row>
    <row r="128" spans="1:13" ht="15.75">
      <c r="A128" s="285"/>
      <c r="B128" s="147">
        <v>10</v>
      </c>
      <c r="C128" s="1720"/>
      <c r="D128" s="1757"/>
      <c r="E128" s="1120">
        <f>'Budget-Restricted MYP'!F128</f>
        <v>0</v>
      </c>
      <c r="F128" s="1151">
        <f>'1st Interim-Restricted MYP'!G128</f>
        <v>0</v>
      </c>
      <c r="G128" s="1141"/>
      <c r="H128" s="721"/>
      <c r="I128" s="496"/>
      <c r="J128" s="728"/>
      <c r="K128" s="489" t="str">
        <f t="shared" si="7"/>
        <v xml:space="preserve"> </v>
      </c>
      <c r="L128" s="717"/>
      <c r="M128" s="488" t="str">
        <f t="shared" si="8"/>
        <v xml:space="preserve"> </v>
      </c>
    </row>
    <row r="129" spans="1:13" ht="15.75">
      <c r="A129" s="68"/>
      <c r="B129" s="147">
        <v>11</v>
      </c>
      <c r="C129" s="1720"/>
      <c r="D129" s="1757"/>
      <c r="E129" s="1120">
        <f>'Budget-Restricted MYP'!F129</f>
        <v>0</v>
      </c>
      <c r="F129" s="1151">
        <f>'1st Interim-Restricted MYP'!G129</f>
        <v>0</v>
      </c>
      <c r="G129" s="1142"/>
      <c r="H129" s="731"/>
      <c r="I129" s="496"/>
      <c r="J129" s="731"/>
      <c r="K129" s="489" t="str">
        <f t="shared" si="7"/>
        <v xml:space="preserve"> </v>
      </c>
      <c r="L129" s="842"/>
      <c r="M129" s="488" t="str">
        <f t="shared" si="8"/>
        <v xml:space="preserve"> </v>
      </c>
    </row>
    <row r="130" spans="1:13" ht="15.75">
      <c r="A130" s="68"/>
      <c r="B130" s="147">
        <v>12</v>
      </c>
      <c r="C130" s="1720"/>
      <c r="D130" s="1757"/>
      <c r="E130" s="1120">
        <f>'Budget-Restricted MYP'!F130</f>
        <v>0</v>
      </c>
      <c r="F130" s="1151">
        <f>'1st Interim-Restricted MYP'!G130</f>
        <v>0</v>
      </c>
      <c r="G130" s="1143"/>
      <c r="H130" s="732"/>
      <c r="I130" s="496"/>
      <c r="J130" s="732"/>
      <c r="K130" s="489" t="str">
        <f t="shared" si="7"/>
        <v xml:space="preserve"> </v>
      </c>
      <c r="L130" s="843"/>
      <c r="M130" s="488" t="str">
        <f t="shared" si="8"/>
        <v xml:space="preserve"> </v>
      </c>
    </row>
    <row r="131" spans="1:13" ht="15.75">
      <c r="A131" s="68"/>
      <c r="B131" s="147">
        <v>13</v>
      </c>
      <c r="C131" s="1720"/>
      <c r="D131" s="1757"/>
      <c r="E131" s="1120">
        <f>'Budget-Restricted MYP'!F131</f>
        <v>0</v>
      </c>
      <c r="F131" s="1151">
        <f>'1st Interim-Restricted MYP'!G131</f>
        <v>0</v>
      </c>
      <c r="G131" s="1144"/>
      <c r="H131" s="740"/>
      <c r="I131" s="496"/>
      <c r="J131" s="837"/>
      <c r="K131" s="489" t="str">
        <f t="shared" si="7"/>
        <v xml:space="preserve"> </v>
      </c>
      <c r="L131" s="746"/>
      <c r="M131" s="488" t="str">
        <f t="shared" si="8"/>
        <v xml:space="preserve"> </v>
      </c>
    </row>
    <row r="132" spans="1:13" ht="15.75">
      <c r="A132" s="68"/>
      <c r="B132" s="147">
        <v>14</v>
      </c>
      <c r="C132" s="1720"/>
      <c r="D132" s="1757"/>
      <c r="E132" s="1120">
        <f>'Budget-Restricted MYP'!F132</f>
        <v>0</v>
      </c>
      <c r="F132" s="1151">
        <f>'1st Interim-Restricted MYP'!G132</f>
        <v>0</v>
      </c>
      <c r="G132" s="750"/>
      <c r="H132" s="741"/>
      <c r="I132" s="496"/>
      <c r="J132" s="754"/>
      <c r="K132" s="489" t="str">
        <f t="shared" si="7"/>
        <v xml:space="preserve"> </v>
      </c>
      <c r="L132" s="747"/>
      <c r="M132" s="488" t="str">
        <f t="shared" si="8"/>
        <v xml:space="preserve"> </v>
      </c>
    </row>
    <row r="133" spans="1:13" ht="15.75">
      <c r="A133" s="68"/>
      <c r="B133" s="147">
        <v>15</v>
      </c>
      <c r="C133" s="1720"/>
      <c r="D133" s="1757"/>
      <c r="E133" s="1120">
        <f>'Budget-Restricted MYP'!F133</f>
        <v>0</v>
      </c>
      <c r="F133" s="1151">
        <f>'1st Interim-Restricted MYP'!G133</f>
        <v>0</v>
      </c>
      <c r="G133" s="1144"/>
      <c r="H133" s="740"/>
      <c r="I133" s="496"/>
      <c r="J133" s="837"/>
      <c r="K133" s="489" t="str">
        <f t="shared" si="7"/>
        <v xml:space="preserve"> </v>
      </c>
      <c r="L133" s="746"/>
      <c r="M133" s="488" t="str">
        <f t="shared" si="8"/>
        <v xml:space="preserve"> </v>
      </c>
    </row>
    <row r="134" spans="1:13" ht="15.75">
      <c r="A134" s="68"/>
      <c r="B134" s="147">
        <v>16</v>
      </c>
      <c r="C134" s="1720"/>
      <c r="D134" s="1757"/>
      <c r="E134" s="1120">
        <f>'Budget-Restricted MYP'!F134</f>
        <v>0</v>
      </c>
      <c r="F134" s="1151">
        <f>'1st Interim-Restricted MYP'!G134</f>
        <v>0</v>
      </c>
      <c r="G134" s="1145"/>
      <c r="H134" s="742"/>
      <c r="I134" s="496"/>
      <c r="J134" s="838"/>
      <c r="K134" s="489" t="str">
        <f t="shared" si="7"/>
        <v xml:space="preserve"> </v>
      </c>
      <c r="L134" s="748"/>
      <c r="M134" s="488" t="str">
        <f t="shared" si="8"/>
        <v xml:space="preserve"> </v>
      </c>
    </row>
    <row r="135" spans="1:13" ht="15.75">
      <c r="A135" s="68"/>
      <c r="B135" s="147">
        <v>17</v>
      </c>
      <c r="C135" s="1720"/>
      <c r="D135" s="1757"/>
      <c r="E135" s="1120">
        <f>'Budget-Restricted MYP'!F135</f>
        <v>0</v>
      </c>
      <c r="F135" s="1151">
        <f>'1st Interim-Restricted MYP'!G135</f>
        <v>0</v>
      </c>
      <c r="G135" s="1146"/>
      <c r="H135" s="743"/>
      <c r="I135" s="496"/>
      <c r="J135" s="839"/>
      <c r="K135" s="489" t="str">
        <f t="shared" si="7"/>
        <v xml:space="preserve"> </v>
      </c>
      <c r="L135" s="749"/>
      <c r="M135" s="488" t="str">
        <f t="shared" si="8"/>
        <v xml:space="preserve"> </v>
      </c>
    </row>
    <row r="136" spans="1:13" ht="16.5" thickBot="1">
      <c r="A136" s="68"/>
      <c r="B136" s="899">
        <v>18</v>
      </c>
      <c r="C136" s="1758"/>
      <c r="D136" s="1759"/>
      <c r="E136" s="1120">
        <f>'Budget-Restricted MYP'!F136</f>
        <v>0</v>
      </c>
      <c r="F136" s="1151">
        <f>'1st Interim-Restricted MYP'!G136</f>
        <v>0</v>
      </c>
      <c r="G136" s="1147"/>
      <c r="H136" s="737"/>
      <c r="I136" s="632"/>
      <c r="J136" s="737"/>
      <c r="K136" s="605" t="str">
        <f t="shared" si="7"/>
        <v xml:space="preserve"> </v>
      </c>
      <c r="L136" s="844"/>
      <c r="M136" s="606" t="str">
        <f t="shared" si="8"/>
        <v xml:space="preserve"> </v>
      </c>
    </row>
    <row r="137" spans="1:13" ht="17.25" thickTop="1" thickBot="1">
      <c r="A137" s="68"/>
      <c r="B137" s="903"/>
      <c r="C137" s="1707" t="s">
        <v>320</v>
      </c>
      <c r="D137" s="1708"/>
      <c r="E137" s="1133">
        <f>SUM(E119:E136)</f>
        <v>0</v>
      </c>
      <c r="F137" s="1133">
        <f>SUM(F119:F136)</f>
        <v>0</v>
      </c>
      <c r="G137" s="1133">
        <f>SUM(G119:G136)</f>
        <v>0</v>
      </c>
      <c r="H137" s="810">
        <f>SUM(H119:H136)</f>
        <v>0</v>
      </c>
      <c r="I137" s="614"/>
      <c r="J137" s="810">
        <f>SUM(J119:J136)</f>
        <v>0</v>
      </c>
      <c r="K137" s="588" t="str">
        <f t="shared" si="7"/>
        <v xml:space="preserve"> </v>
      </c>
      <c r="L137" s="810">
        <f>SUM(L119:L136)</f>
        <v>0</v>
      </c>
      <c r="M137" s="591" t="str">
        <f t="shared" si="8"/>
        <v xml:space="preserve"> </v>
      </c>
    </row>
    <row r="138" spans="1:13" ht="9" customHeight="1" thickTop="1">
      <c r="A138" s="68"/>
      <c r="B138" s="153"/>
      <c r="C138" s="1841"/>
      <c r="D138" s="1841"/>
      <c r="E138" s="658"/>
      <c r="F138" s="869"/>
      <c r="G138" s="459"/>
      <c r="H138" s="459"/>
      <c r="I138" s="869"/>
      <c r="J138" s="459"/>
      <c r="K138" s="869"/>
      <c r="L138" s="459"/>
      <c r="M138" s="883"/>
    </row>
    <row r="139" spans="1:13" ht="15.75">
      <c r="A139" s="284"/>
      <c r="B139" s="166"/>
      <c r="C139" s="166" t="s">
        <v>334</v>
      </c>
      <c r="D139" s="166"/>
      <c r="E139" s="166"/>
      <c r="F139" s="1713"/>
      <c r="G139" s="1713"/>
      <c r="H139" s="1713"/>
      <c r="I139" s="1713"/>
      <c r="J139" s="1713"/>
      <c r="K139" s="1713"/>
      <c r="L139" s="52"/>
      <c r="M139" s="607"/>
    </row>
    <row r="140" spans="1:13" ht="15.75">
      <c r="A140" s="68"/>
      <c r="B140" s="291">
        <v>1</v>
      </c>
      <c r="C140" s="1717"/>
      <c r="D140" s="1718"/>
      <c r="E140" s="1127">
        <f>'Budget-Restricted MYP'!F140</f>
        <v>0</v>
      </c>
      <c r="F140" s="1123">
        <f>'1st Interim-Restricted MYP'!G140</f>
        <v>0</v>
      </c>
      <c r="G140" s="1148"/>
      <c r="H140" s="734"/>
      <c r="I140" s="496"/>
      <c r="J140" s="754"/>
      <c r="K140" s="31" t="str">
        <f t="shared" ref="K140:K146" si="9">IF(H140&lt;1," ",IF(J140&lt;1," ",(J140-H140)/H140))</f>
        <v xml:space="preserve"> </v>
      </c>
      <c r="L140" s="845"/>
      <c r="M140" s="644" t="str">
        <f t="shared" ref="M140:M146" si="10">IF(J140&lt;1," ",IF(L140&lt;1," ",(L140-J140)/J140))</f>
        <v xml:space="preserve"> </v>
      </c>
    </row>
    <row r="141" spans="1:13" ht="15.75">
      <c r="A141" s="68"/>
      <c r="B141" s="291">
        <v>2</v>
      </c>
      <c r="C141" s="1717"/>
      <c r="D141" s="1718"/>
      <c r="E141" s="1127">
        <f>'Budget-Restricted MYP'!F141</f>
        <v>0</v>
      </c>
      <c r="F141" s="1123">
        <f>'1st Interim-Restricted MYP'!G141</f>
        <v>0</v>
      </c>
      <c r="G141" s="1149"/>
      <c r="H141" s="752"/>
      <c r="I141" s="631"/>
      <c r="J141" s="752"/>
      <c r="K141" s="80" t="str">
        <f t="shared" si="9"/>
        <v xml:space="preserve"> </v>
      </c>
      <c r="L141" s="846"/>
      <c r="M141" s="645" t="str">
        <f t="shared" si="10"/>
        <v xml:space="preserve"> </v>
      </c>
    </row>
    <row r="142" spans="1:13" ht="15.75">
      <c r="A142" s="68"/>
      <c r="B142" s="291">
        <v>3</v>
      </c>
      <c r="C142" s="1717"/>
      <c r="D142" s="1718"/>
      <c r="E142" s="1127">
        <f>'Budget-Restricted MYP'!F142</f>
        <v>0</v>
      </c>
      <c r="F142" s="1123">
        <f>'1st Interim-Restricted MYP'!G142</f>
        <v>0</v>
      </c>
      <c r="G142" s="1150"/>
      <c r="H142" s="737"/>
      <c r="I142" s="632"/>
      <c r="J142" s="755"/>
      <c r="K142" s="334" t="str">
        <f t="shared" si="9"/>
        <v xml:space="preserve"> </v>
      </c>
      <c r="L142" s="847"/>
      <c r="M142" s="646" t="str">
        <f t="shared" si="10"/>
        <v xml:space="preserve"> </v>
      </c>
    </row>
    <row r="143" spans="1:13" ht="15.75">
      <c r="A143" s="68"/>
      <c r="B143" s="291">
        <v>4</v>
      </c>
      <c r="C143" s="1717"/>
      <c r="D143" s="1718"/>
      <c r="E143" s="1127">
        <f>'Budget-Restricted MYP'!F143</f>
        <v>0</v>
      </c>
      <c r="F143" s="1123">
        <f>'1st Interim-Restricted MYP'!G143</f>
        <v>0</v>
      </c>
      <c r="G143" s="750"/>
      <c r="H143" s="734"/>
      <c r="I143" s="496"/>
      <c r="J143" s="754"/>
      <c r="K143" s="31" t="str">
        <f t="shared" si="9"/>
        <v xml:space="preserve"> </v>
      </c>
      <c r="L143" s="848"/>
      <c r="M143" s="647" t="str">
        <f t="shared" si="10"/>
        <v xml:space="preserve"> </v>
      </c>
    </row>
    <row r="144" spans="1:13" ht="15.75">
      <c r="A144" s="68"/>
      <c r="B144" s="291">
        <v>5</v>
      </c>
      <c r="C144" s="1717"/>
      <c r="D144" s="1718"/>
      <c r="E144" s="1127">
        <f>'Budget-Restricted MYP'!F144</f>
        <v>0</v>
      </c>
      <c r="F144" s="1123">
        <f>'1st Interim-Restricted MYP'!G144</f>
        <v>0</v>
      </c>
      <c r="G144" s="750"/>
      <c r="H144" s="734"/>
      <c r="I144" s="496"/>
      <c r="J144" s="754"/>
      <c r="K144" s="31" t="str">
        <f t="shared" si="9"/>
        <v xml:space="preserve"> </v>
      </c>
      <c r="L144" s="848"/>
      <c r="M144" s="647" t="str">
        <f t="shared" si="10"/>
        <v xml:space="preserve"> </v>
      </c>
    </row>
    <row r="145" spans="1:14" ht="16.5" thickBot="1">
      <c r="A145" s="68"/>
      <c r="B145" s="938">
        <v>6</v>
      </c>
      <c r="C145" s="1758"/>
      <c r="D145" s="1759"/>
      <c r="E145" s="1127">
        <f>'Budget-Restricted MYP'!F145</f>
        <v>0</v>
      </c>
      <c r="F145" s="1123">
        <f>'1st Interim-Restricted MYP'!G145</f>
        <v>0</v>
      </c>
      <c r="G145" s="1147"/>
      <c r="H145" s="737"/>
      <c r="I145" s="321"/>
      <c r="J145" s="755"/>
      <c r="K145" s="96" t="str">
        <f t="shared" si="9"/>
        <v xml:space="preserve"> </v>
      </c>
      <c r="L145" s="847"/>
      <c r="M145" s="646" t="str">
        <f t="shared" si="10"/>
        <v xml:space="preserve"> </v>
      </c>
    </row>
    <row r="146" spans="1:14" ht="17.25" thickTop="1" thickBot="1">
      <c r="A146" s="68"/>
      <c r="B146" s="929"/>
      <c r="C146" s="1707" t="s">
        <v>319</v>
      </c>
      <c r="D146" s="1708"/>
      <c r="E146" s="1133">
        <f>SUM(E140:E145)</f>
        <v>0</v>
      </c>
      <c r="F146" s="1133">
        <f>SUM(F140:F145)</f>
        <v>0</v>
      </c>
      <c r="G146" s="1133">
        <f>SUM(G140:G145)</f>
        <v>0</v>
      </c>
      <c r="H146" s="810">
        <f>SUM(H140:H145)</f>
        <v>0</v>
      </c>
      <c r="I146" s="614"/>
      <c r="J146" s="810">
        <f>SUM(J140:J145)</f>
        <v>0</v>
      </c>
      <c r="K146" s="588" t="str">
        <f t="shared" si="9"/>
        <v xml:space="preserve"> </v>
      </c>
      <c r="L146" s="810">
        <f>SUM(L140:L145)</f>
        <v>0</v>
      </c>
      <c r="M146" s="591" t="str">
        <f t="shared" si="10"/>
        <v xml:space="preserve"> </v>
      </c>
    </row>
    <row r="147" spans="1:14" ht="10.5" customHeight="1" thickTop="1">
      <c r="A147" s="287"/>
      <c r="B147" s="1"/>
      <c r="C147" s="1"/>
      <c r="D147" s="1321"/>
      <c r="F147" s="1322"/>
      <c r="G147" s="159"/>
      <c r="H147" s="1322"/>
      <c r="I147" s="159"/>
      <c r="J147" s="1322"/>
      <c r="K147" s="1386"/>
      <c r="L147" s="1340"/>
      <c r="M147" s="472"/>
      <c r="N147"/>
    </row>
    <row r="148" spans="1:14" ht="15.75">
      <c r="A148" s="332" t="s">
        <v>446</v>
      </c>
      <c r="B148" s="1"/>
      <c r="C148" s="1"/>
      <c r="D148" s="1321"/>
      <c r="F148" s="1322"/>
      <c r="G148" s="159"/>
      <c r="H148" s="1322"/>
      <c r="I148" s="159"/>
      <c r="J148" s="1322"/>
      <c r="K148" s="682"/>
      <c r="L148" s="152"/>
      <c r="M148" s="472"/>
      <c r="N148"/>
    </row>
    <row r="149" spans="1:14" ht="15.75">
      <c r="A149" s="287"/>
      <c r="B149" s="1772" t="s">
        <v>439</v>
      </c>
      <c r="C149" s="1772"/>
      <c r="D149" s="1772"/>
      <c r="E149" s="1396">
        <f>'Budget-Restricted MYP'!F149</f>
        <v>0.159</v>
      </c>
      <c r="F149" s="1396">
        <f>'1st Interim-Restricted MYP'!G149</f>
        <v>0.13700000000000001</v>
      </c>
      <c r="G149" s="1333"/>
      <c r="H149" s="1333"/>
      <c r="I149" s="1388" t="str">
        <f>IF(E149=0,"",IF(H149=0,"",(H149-E149)/E149))</f>
        <v/>
      </c>
      <c r="J149" s="1333"/>
      <c r="K149" s="1388" t="str">
        <f>IF(H149=0,"",IF(J149=0,"",(J149-H149)/H149))</f>
        <v/>
      </c>
      <c r="L149" s="1408"/>
      <c r="M149" s="1325" t="str">
        <f>IF(J149=0,"",IF(L149=0,"",(L149-J149)/J149))</f>
        <v/>
      </c>
    </row>
    <row r="150" spans="1:14" ht="15.75">
      <c r="A150" s="287"/>
      <c r="B150" s="1772" t="s">
        <v>465</v>
      </c>
      <c r="C150" s="1772"/>
      <c r="D150" s="1772"/>
      <c r="E150" s="1848"/>
      <c r="F150" s="1849"/>
      <c r="G150" s="1849"/>
      <c r="H150" s="1849"/>
      <c r="I150" s="1849"/>
      <c r="J150" s="1849"/>
      <c r="K150" s="1849"/>
      <c r="L150" s="1849"/>
      <c r="M150" s="1850"/>
    </row>
    <row r="151" spans="1:14" ht="15.75">
      <c r="A151" s="287"/>
      <c r="B151" s="1774" t="s">
        <v>441</v>
      </c>
      <c r="C151" s="1682"/>
      <c r="D151" s="1775"/>
      <c r="E151" s="1327">
        <f>E24</f>
        <v>645340</v>
      </c>
      <c r="F151" s="1327">
        <f>F24</f>
        <v>418200.00000000006</v>
      </c>
      <c r="G151" s="1327">
        <f>G24</f>
        <v>0</v>
      </c>
      <c r="H151" s="1327">
        <f>H24</f>
        <v>0</v>
      </c>
      <c r="I151" s="1388" t="str">
        <f>IF(E151=0,"",IF(H151=0,"",(H151-E151)/E151))</f>
        <v/>
      </c>
      <c r="J151" s="1327">
        <f>J24</f>
        <v>0</v>
      </c>
      <c r="K151" s="1388" t="str">
        <f>IF(H151=0,"",IF(J151=0,"",(J151-H151)/H151))</f>
        <v/>
      </c>
      <c r="L151" s="1409">
        <f>L24</f>
        <v>0</v>
      </c>
      <c r="M151" s="1326" t="str">
        <f>IF(J151=0,"",IF(L151=0,"",(L151-J151)/J151))</f>
        <v/>
      </c>
    </row>
    <row r="152" spans="1:14" ht="15.75">
      <c r="A152" s="287"/>
      <c r="B152" s="1772" t="s">
        <v>442</v>
      </c>
      <c r="C152" s="1772"/>
      <c r="D152" s="1772"/>
      <c r="E152" s="1327">
        <f>'Budget-Restricted MYP'!F152</f>
        <v>0</v>
      </c>
      <c r="F152" s="1552">
        <f>'1st Interim-Restricted MYP'!G152</f>
        <v>0</v>
      </c>
      <c r="G152" s="848"/>
      <c r="H152" s="848"/>
      <c r="I152" s="1388" t="str">
        <f>IF(E152=0,"",IF(H152=0,"",(H152-E152)/E152))</f>
        <v/>
      </c>
      <c r="J152" s="1244"/>
      <c r="K152" s="1388" t="str">
        <f>IF(H152=0,"",IF(J152=0,"",(J152-H152)/H152))</f>
        <v/>
      </c>
      <c r="L152" s="1243"/>
      <c r="M152" s="325" t="str">
        <f>IF(J152=0,"",IF(L152=0,"",(L152-J152)/J152))</f>
        <v/>
      </c>
    </row>
    <row r="153" spans="1:14" ht="15.75">
      <c r="A153" s="287"/>
      <c r="B153" s="1772" t="s">
        <v>470</v>
      </c>
      <c r="C153" s="1772"/>
      <c r="D153" s="1772"/>
      <c r="E153" s="1397">
        <f>'Budget-Restricted MYP'!F153</f>
        <v>0</v>
      </c>
      <c r="F153" s="1552">
        <f>'1st Interim-Restricted MYP'!G153</f>
        <v>0</v>
      </c>
      <c r="G153" s="848">
        <v>0</v>
      </c>
      <c r="H153" s="848"/>
      <c r="I153" s="1393" t="str">
        <f>IF(E153=0,"",IF(H153=0,"",(H153-E153)/E153))</f>
        <v/>
      </c>
      <c r="J153" s="754"/>
      <c r="K153" s="1393" t="str">
        <f>IF(H153=0,"",IF(J153=0,"",(J153-H153)/H153))</f>
        <v/>
      </c>
      <c r="L153" s="734"/>
      <c r="M153" s="1330" t="str">
        <f>IF(J153=0,"",IF(L153=0,"",(L153-J153)/J153))</f>
        <v/>
      </c>
    </row>
    <row r="154" spans="1:14" ht="16.5" thickBot="1">
      <c r="A154" s="287"/>
      <c r="B154" s="147"/>
      <c r="C154" s="1682" t="s">
        <v>443</v>
      </c>
      <c r="D154" s="1775"/>
      <c r="E154" s="1331">
        <f>SUM(E151:E153)</f>
        <v>645340</v>
      </c>
      <c r="F154" s="1331">
        <f>SUM(F151:F153)</f>
        <v>418200.00000000006</v>
      </c>
      <c r="G154" s="1331">
        <f>SUM(G151:G153)</f>
        <v>0</v>
      </c>
      <c r="H154" s="1331">
        <f>SUM(H151:H153)</f>
        <v>0</v>
      </c>
      <c r="I154" s="1394" t="str">
        <f>IF(E154=0,"",IF(H154=0,"",(H154-E154)/E154))</f>
        <v/>
      </c>
      <c r="J154" s="1331">
        <f>SUM(J151:J153)</f>
        <v>0</v>
      </c>
      <c r="K154" s="1394" t="str">
        <f>IF(H154=0,"",IF(J154=0,"",(J154-H154)/H154))</f>
        <v/>
      </c>
      <c r="L154" s="1410">
        <f>SUM(L151:L153)</f>
        <v>0</v>
      </c>
      <c r="M154" s="1317" t="str">
        <f>IF(J154=0,"",IF(L154=0,"",(L154-J154)/J154))</f>
        <v/>
      </c>
    </row>
    <row r="155" spans="1:14" ht="17.25" thickTop="1" thickBot="1">
      <c r="A155" s="288"/>
      <c r="B155" s="1773" t="s">
        <v>444</v>
      </c>
      <c r="C155" s="1773"/>
      <c r="D155" s="1773"/>
      <c r="E155" s="1553">
        <f>'Budget-Restricted MYP'!F155</f>
        <v>0</v>
      </c>
      <c r="F155" s="1554">
        <f>'1st Interim-Restricted MYP'!G155</f>
        <v>1186887.1646524551</v>
      </c>
      <c r="G155" s="1245"/>
      <c r="H155" s="1245"/>
      <c r="I155" s="1395" t="str">
        <f>IF(E155=0,"",IF(H155=0,"",(H155-E155)/E155))</f>
        <v/>
      </c>
      <c r="J155" s="1246"/>
      <c r="K155" s="1395" t="str">
        <f>IF(H155=0,"",IF(J155=0,"",(J155-H155)/H155))</f>
        <v/>
      </c>
      <c r="L155" s="1245"/>
      <c r="M155" s="1332" t="str">
        <f>IF(J155=0,"",IF(L155=0,"",(L155-J155)/J155))</f>
        <v/>
      </c>
    </row>
    <row r="156" spans="1:14" ht="15.75">
      <c r="A156" s="2"/>
      <c r="B156" s="2"/>
      <c r="C156" s="2"/>
      <c r="D156" s="2"/>
      <c r="E156" s="2"/>
      <c r="F156" s="2"/>
      <c r="G156" s="32"/>
      <c r="H156" s="32"/>
      <c r="I156" s="2"/>
      <c r="J156" s="32"/>
      <c r="K156" s="2"/>
      <c r="L156" s="32"/>
      <c r="M156" s="2"/>
    </row>
    <row r="157" spans="1:14" ht="15.75">
      <c r="A157" s="2"/>
      <c r="B157" s="2"/>
      <c r="C157" s="2"/>
      <c r="D157" s="2"/>
      <c r="E157" s="2"/>
      <c r="F157" s="2"/>
      <c r="G157" s="32"/>
      <c r="H157" s="32"/>
      <c r="I157" s="2"/>
      <c r="J157" s="32"/>
      <c r="K157" s="2"/>
      <c r="L157" s="32"/>
      <c r="M157" s="2"/>
    </row>
    <row r="158" spans="1:14" ht="15.75">
      <c r="A158" s="2"/>
      <c r="B158" s="2"/>
      <c r="C158" s="2"/>
      <c r="D158" s="2"/>
      <c r="E158" s="2"/>
      <c r="F158" s="2"/>
      <c r="G158" s="32"/>
      <c r="H158" s="32"/>
      <c r="I158" s="2"/>
      <c r="J158" s="32"/>
      <c r="K158" s="2"/>
      <c r="L158" s="32"/>
      <c r="M158" s="2"/>
    </row>
    <row r="159" spans="1:14" ht="15.75">
      <c r="A159" s="2"/>
      <c r="B159" s="2"/>
      <c r="C159" s="2"/>
      <c r="D159" s="2"/>
      <c r="E159" s="2"/>
      <c r="F159" s="2"/>
      <c r="G159" s="32"/>
      <c r="H159" s="32"/>
      <c r="I159" s="2"/>
      <c r="J159" s="32"/>
      <c r="K159" s="2"/>
      <c r="L159" s="32"/>
      <c r="M159" s="2"/>
    </row>
    <row r="160" spans="1:14" ht="15.75">
      <c r="A160" s="2"/>
      <c r="B160" s="2"/>
      <c r="C160" s="2"/>
      <c r="D160" s="2"/>
      <c r="E160" s="2"/>
      <c r="F160" s="2"/>
      <c r="G160" s="32"/>
      <c r="H160" s="32"/>
      <c r="I160" s="2"/>
      <c r="J160" s="32"/>
      <c r="K160" s="2"/>
      <c r="L160" s="32"/>
      <c r="M160" s="2"/>
    </row>
    <row r="161" spans="1:13" ht="15.75">
      <c r="A161" s="2"/>
      <c r="B161" s="2"/>
      <c r="C161" s="2"/>
      <c r="D161" s="2"/>
      <c r="E161" s="2"/>
      <c r="F161" s="2"/>
      <c r="G161" s="32"/>
      <c r="H161" s="32"/>
      <c r="I161" s="2"/>
      <c r="J161" s="32"/>
      <c r="K161" s="2"/>
      <c r="L161" s="32"/>
      <c r="M161" s="2"/>
    </row>
    <row r="162" spans="1:13" ht="15.75">
      <c r="A162" s="2"/>
      <c r="B162" s="2"/>
      <c r="C162" s="2"/>
      <c r="D162" s="2"/>
      <c r="E162" s="2"/>
      <c r="F162" s="2"/>
      <c r="G162" s="32"/>
      <c r="H162" s="32"/>
      <c r="I162" s="2"/>
      <c r="J162" s="32"/>
      <c r="K162" s="2"/>
      <c r="L162" s="32"/>
      <c r="M162" s="2"/>
    </row>
    <row r="163" spans="1:13" ht="15.75">
      <c r="A163" s="2"/>
      <c r="B163" s="2"/>
      <c r="C163" s="2"/>
      <c r="D163" s="2"/>
      <c r="E163" s="2"/>
      <c r="F163" s="2"/>
      <c r="G163" s="32"/>
      <c r="H163" s="32"/>
      <c r="I163" s="2"/>
      <c r="J163" s="32"/>
      <c r="K163" s="2"/>
      <c r="L163" s="32"/>
      <c r="M163" s="2"/>
    </row>
    <row r="164" spans="1:13" ht="15.75">
      <c r="A164" s="2"/>
      <c r="B164" s="2"/>
      <c r="C164" s="2"/>
      <c r="D164" s="2"/>
      <c r="E164" s="2"/>
      <c r="F164" s="2"/>
      <c r="G164" s="32"/>
      <c r="H164" s="32"/>
      <c r="I164" s="2"/>
      <c r="J164" s="32"/>
      <c r="K164" s="2"/>
      <c r="L164" s="32"/>
      <c r="M164" s="2"/>
    </row>
    <row r="165" spans="1:13" ht="15.75">
      <c r="A165" s="2"/>
      <c r="B165" s="2"/>
      <c r="C165" s="2"/>
      <c r="D165" s="2"/>
      <c r="E165" s="2"/>
      <c r="F165" s="2"/>
      <c r="G165" s="32"/>
      <c r="H165" s="32"/>
      <c r="I165" s="2"/>
      <c r="J165" s="32"/>
      <c r="K165" s="2"/>
      <c r="L165" s="32"/>
      <c r="M165" s="2"/>
    </row>
    <row r="166" spans="1:13" ht="15.75">
      <c r="A166" s="2"/>
      <c r="B166" s="2"/>
      <c r="C166" s="2"/>
      <c r="D166" s="2"/>
      <c r="E166" s="2"/>
      <c r="F166" s="2"/>
      <c r="G166" s="32"/>
      <c r="H166" s="32"/>
      <c r="I166" s="2"/>
      <c r="J166" s="32"/>
      <c r="K166" s="2"/>
      <c r="L166" s="32"/>
      <c r="M166" s="2"/>
    </row>
    <row r="167" spans="1:13" ht="15.75">
      <c r="A167" s="2"/>
      <c r="B167" s="2"/>
      <c r="C167" s="2"/>
      <c r="D167" s="2"/>
      <c r="E167" s="2"/>
      <c r="F167" s="2"/>
      <c r="G167" s="32"/>
      <c r="H167" s="32"/>
      <c r="I167" s="2"/>
      <c r="J167" s="32"/>
      <c r="K167" s="2"/>
      <c r="L167" s="32"/>
      <c r="M167" s="2"/>
    </row>
    <row r="168" spans="1:13" ht="15.75">
      <c r="A168" s="2"/>
      <c r="B168" s="2"/>
      <c r="C168" s="2"/>
      <c r="D168" s="2"/>
      <c r="E168" s="2"/>
      <c r="F168" s="2"/>
      <c r="G168" s="32"/>
      <c r="H168" s="32"/>
      <c r="I168" s="2"/>
      <c r="J168" s="32"/>
      <c r="K168" s="2"/>
      <c r="L168" s="32"/>
      <c r="M168" s="2"/>
    </row>
    <row r="169" spans="1:13" ht="15.75">
      <c r="A169" s="2"/>
      <c r="B169" s="2"/>
      <c r="C169" s="2"/>
      <c r="D169" s="2"/>
      <c r="E169" s="2"/>
      <c r="F169" s="2"/>
      <c r="G169" s="32"/>
      <c r="H169" s="32"/>
      <c r="I169" s="2"/>
      <c r="J169" s="32"/>
      <c r="K169" s="2"/>
      <c r="L169" s="32"/>
      <c r="M169" s="2"/>
    </row>
    <row r="170" spans="1:13" ht="15.75">
      <c r="A170" s="2"/>
      <c r="B170" s="2"/>
      <c r="C170" s="2"/>
      <c r="D170" s="2"/>
      <c r="E170" s="2"/>
      <c r="F170" s="2"/>
      <c r="G170" s="32"/>
      <c r="H170" s="32"/>
      <c r="I170" s="2"/>
      <c r="J170" s="32"/>
      <c r="K170" s="2"/>
      <c r="L170" s="32"/>
      <c r="M170" s="2"/>
    </row>
    <row r="171" spans="1:13" ht="15.75">
      <c r="A171" s="2"/>
      <c r="B171" s="2"/>
      <c r="C171" s="2"/>
      <c r="D171" s="2"/>
      <c r="E171" s="2"/>
      <c r="F171" s="2"/>
      <c r="G171" s="32"/>
      <c r="H171" s="32"/>
      <c r="I171" s="2"/>
      <c r="J171" s="32"/>
      <c r="K171" s="2"/>
      <c r="L171" s="32"/>
      <c r="M171" s="2"/>
    </row>
    <row r="172" spans="1:13" ht="15.75">
      <c r="A172" s="2"/>
      <c r="B172" s="2"/>
      <c r="C172" s="2"/>
      <c r="D172" s="2"/>
      <c r="E172" s="2"/>
      <c r="F172" s="2"/>
      <c r="G172" s="32"/>
      <c r="H172" s="32"/>
      <c r="I172" s="2"/>
      <c r="J172" s="32"/>
      <c r="K172" s="2"/>
      <c r="L172" s="32"/>
      <c r="M172" s="2"/>
    </row>
    <row r="173" spans="1:13" ht="15.75">
      <c r="A173" s="2"/>
      <c r="B173" s="2"/>
      <c r="C173" s="2"/>
      <c r="D173" s="2"/>
      <c r="E173" s="2"/>
      <c r="F173" s="2"/>
      <c r="G173" s="32"/>
      <c r="H173" s="32"/>
      <c r="I173" s="2"/>
      <c r="J173" s="32"/>
      <c r="K173" s="2"/>
      <c r="L173" s="32"/>
      <c r="M173" s="2"/>
    </row>
    <row r="174" spans="1:13" ht="15.75">
      <c r="A174" s="2"/>
      <c r="B174" s="2"/>
      <c r="C174" s="2"/>
      <c r="D174" s="2"/>
      <c r="E174" s="2"/>
      <c r="F174" s="2"/>
      <c r="G174" s="32"/>
      <c r="H174" s="32"/>
      <c r="I174" s="2"/>
      <c r="J174" s="32"/>
      <c r="K174" s="2"/>
      <c r="L174" s="32"/>
      <c r="M174" s="2"/>
    </row>
    <row r="175" spans="1:13" ht="15.75">
      <c r="A175" s="2"/>
      <c r="B175" s="2"/>
      <c r="C175" s="2"/>
      <c r="D175" s="2"/>
      <c r="E175" s="2"/>
      <c r="F175" s="2"/>
      <c r="G175" s="32"/>
      <c r="H175" s="32"/>
      <c r="I175" s="2"/>
      <c r="J175" s="32"/>
      <c r="K175" s="2"/>
      <c r="L175" s="32"/>
      <c r="M175" s="2"/>
    </row>
    <row r="176" spans="1:13" ht="15.75">
      <c r="A176" s="2"/>
      <c r="B176" s="2"/>
      <c r="C176" s="2"/>
      <c r="D176" s="2"/>
      <c r="E176" s="2"/>
      <c r="F176" s="2"/>
      <c r="G176" s="32"/>
      <c r="H176" s="32"/>
      <c r="I176" s="2"/>
      <c r="J176" s="32"/>
      <c r="K176" s="2"/>
      <c r="L176" s="32"/>
      <c r="M176" s="2"/>
    </row>
    <row r="177" spans="1:13" ht="15.75">
      <c r="A177" s="2"/>
      <c r="B177" s="2"/>
      <c r="C177" s="2"/>
      <c r="D177" s="2"/>
      <c r="E177" s="2"/>
      <c r="F177" s="2"/>
      <c r="G177" s="32"/>
      <c r="H177" s="32"/>
      <c r="I177" s="2"/>
      <c r="J177" s="32"/>
      <c r="K177" s="2"/>
      <c r="L177" s="32"/>
      <c r="M177" s="2"/>
    </row>
    <row r="178" spans="1:13" ht="15.75">
      <c r="A178" s="2"/>
      <c r="B178" s="2"/>
      <c r="C178" s="2"/>
      <c r="D178" s="2"/>
      <c r="E178" s="2"/>
      <c r="F178" s="2"/>
      <c r="G178" s="32"/>
      <c r="H178" s="32"/>
      <c r="I178" s="2"/>
      <c r="J178" s="32"/>
      <c r="K178" s="2"/>
      <c r="L178" s="32"/>
      <c r="M178" s="2"/>
    </row>
    <row r="179" spans="1:13" ht="15.75">
      <c r="A179" s="2"/>
      <c r="B179" s="2"/>
      <c r="C179" s="2"/>
      <c r="D179" s="2"/>
      <c r="E179" s="2"/>
      <c r="F179" s="2"/>
      <c r="G179" s="32"/>
      <c r="H179" s="32"/>
      <c r="I179" s="2"/>
      <c r="J179" s="32"/>
      <c r="K179" s="2"/>
      <c r="L179" s="32"/>
      <c r="M179" s="2"/>
    </row>
    <row r="180" spans="1:13" ht="15.75">
      <c r="A180" s="2"/>
      <c r="B180" s="2"/>
      <c r="C180" s="2"/>
      <c r="D180" s="2"/>
      <c r="E180" s="2"/>
      <c r="F180" s="2"/>
      <c r="G180" s="32"/>
      <c r="H180" s="32"/>
      <c r="I180" s="2"/>
      <c r="J180" s="32"/>
      <c r="K180" s="2"/>
      <c r="L180" s="32"/>
      <c r="M180" s="2"/>
    </row>
    <row r="181" spans="1:13" ht="15.75">
      <c r="A181" s="2"/>
      <c r="B181" s="2"/>
      <c r="C181" s="2"/>
      <c r="D181" s="2"/>
      <c r="E181" s="2"/>
      <c r="F181" s="2"/>
      <c r="G181" s="32"/>
      <c r="H181" s="32"/>
      <c r="I181" s="2"/>
      <c r="J181" s="32"/>
      <c r="K181" s="2"/>
      <c r="L181" s="32"/>
      <c r="M181" s="2"/>
    </row>
    <row r="182" spans="1:13" ht="15.75">
      <c r="A182" s="2"/>
      <c r="B182" s="2"/>
      <c r="C182" s="2"/>
      <c r="D182" s="2"/>
      <c r="E182" s="2"/>
      <c r="F182" s="2"/>
      <c r="G182" s="32"/>
      <c r="H182" s="32"/>
      <c r="I182" s="2"/>
      <c r="J182" s="32"/>
      <c r="K182" s="2"/>
      <c r="L182" s="32"/>
      <c r="M182" s="2"/>
    </row>
    <row r="183" spans="1:13" ht="15.75">
      <c r="A183" s="2"/>
      <c r="B183" s="2"/>
      <c r="C183" s="2"/>
      <c r="D183" s="2"/>
      <c r="E183" s="2"/>
      <c r="F183" s="2"/>
      <c r="G183" s="32"/>
      <c r="H183" s="32"/>
      <c r="I183" s="2"/>
      <c r="J183" s="32"/>
      <c r="K183" s="2"/>
      <c r="L183" s="32"/>
      <c r="M183" s="2"/>
    </row>
    <row r="184" spans="1:13" ht="15.75">
      <c r="A184" s="2"/>
      <c r="B184" s="2"/>
      <c r="C184" s="2"/>
      <c r="D184" s="2"/>
      <c r="E184" s="2"/>
      <c r="F184" s="2"/>
      <c r="G184" s="32"/>
      <c r="H184" s="32"/>
      <c r="I184" s="2"/>
      <c r="J184" s="32"/>
      <c r="K184" s="2"/>
      <c r="L184" s="32"/>
      <c r="M184" s="2"/>
    </row>
    <row r="185" spans="1:13" ht="15.75">
      <c r="A185" s="2"/>
      <c r="B185" s="2"/>
      <c r="C185" s="2"/>
      <c r="D185" s="2"/>
      <c r="E185" s="2"/>
      <c r="F185" s="2"/>
      <c r="G185" s="32"/>
      <c r="H185" s="32"/>
      <c r="I185" s="2"/>
      <c r="J185" s="32"/>
      <c r="K185" s="2"/>
      <c r="L185" s="32"/>
      <c r="M185" s="2"/>
    </row>
    <row r="186" spans="1:13" ht="15.75">
      <c r="A186" s="2"/>
      <c r="B186" s="2"/>
      <c r="C186" s="2"/>
      <c r="D186" s="2"/>
      <c r="E186" s="2"/>
      <c r="F186" s="2"/>
      <c r="G186" s="32"/>
      <c r="H186" s="32"/>
      <c r="I186" s="2"/>
      <c r="J186" s="32"/>
      <c r="K186" s="2"/>
      <c r="L186" s="32"/>
      <c r="M186" s="2"/>
    </row>
    <row r="187" spans="1:13" ht="15.75">
      <c r="A187" s="2"/>
      <c r="B187" s="2"/>
      <c r="C187" s="2"/>
      <c r="D187" s="2"/>
      <c r="E187" s="2"/>
      <c r="F187" s="2"/>
      <c r="G187" s="32"/>
      <c r="H187" s="32"/>
      <c r="I187" s="2"/>
      <c r="J187" s="32"/>
      <c r="K187" s="2"/>
      <c r="L187" s="32"/>
      <c r="M187" s="2"/>
    </row>
    <row r="188" spans="1:13" ht="15.75">
      <c r="A188" s="2"/>
      <c r="B188" s="2"/>
      <c r="C188" s="2"/>
      <c r="D188" s="2"/>
      <c r="E188" s="2"/>
      <c r="F188" s="2"/>
      <c r="G188" s="32"/>
      <c r="H188" s="32"/>
      <c r="I188" s="2"/>
      <c r="J188" s="32"/>
      <c r="K188" s="2"/>
      <c r="L188" s="32"/>
      <c r="M188" s="2"/>
    </row>
    <row r="189" spans="1:13" ht="15.75">
      <c r="A189" s="2"/>
      <c r="B189" s="2"/>
      <c r="C189" s="2"/>
      <c r="D189" s="2"/>
      <c r="E189" s="2"/>
      <c r="F189" s="2"/>
      <c r="G189" s="32"/>
      <c r="H189" s="32"/>
      <c r="I189" s="2"/>
      <c r="J189" s="32"/>
      <c r="K189" s="2"/>
      <c r="L189" s="32"/>
      <c r="M189" s="2"/>
    </row>
    <row r="190" spans="1:13" ht="15.75">
      <c r="A190" s="2"/>
      <c r="B190" s="2"/>
      <c r="C190" s="2"/>
      <c r="D190" s="2"/>
      <c r="E190" s="2"/>
      <c r="F190" s="2"/>
      <c r="G190" s="32"/>
      <c r="H190" s="32"/>
      <c r="I190" s="2"/>
      <c r="J190" s="32"/>
      <c r="K190" s="2"/>
      <c r="L190" s="32"/>
      <c r="M190" s="2"/>
    </row>
    <row r="191" spans="1:13" ht="15.75">
      <c r="A191" s="2"/>
      <c r="B191" s="2"/>
      <c r="C191" s="2"/>
      <c r="D191" s="2"/>
      <c r="E191" s="2"/>
      <c r="F191" s="2"/>
      <c r="G191" s="32"/>
      <c r="H191" s="32"/>
      <c r="I191" s="2"/>
      <c r="J191" s="32"/>
      <c r="K191" s="2"/>
      <c r="L191" s="32"/>
      <c r="M191" s="2"/>
    </row>
    <row r="192" spans="1:13" ht="15.75">
      <c r="A192" s="2"/>
      <c r="B192" s="2"/>
      <c r="C192" s="2"/>
      <c r="D192" s="2"/>
      <c r="E192" s="2"/>
      <c r="F192" s="2"/>
      <c r="G192" s="32"/>
      <c r="H192" s="32"/>
      <c r="I192" s="2"/>
      <c r="J192" s="32"/>
      <c r="K192" s="2"/>
      <c r="L192" s="32"/>
      <c r="M192" s="2"/>
    </row>
    <row r="193" spans="1:13" ht="15.75">
      <c r="A193" s="2"/>
      <c r="B193" s="2"/>
      <c r="C193" s="2"/>
      <c r="D193" s="2"/>
      <c r="E193" s="2"/>
      <c r="F193" s="2"/>
      <c r="G193" s="32"/>
      <c r="H193" s="32"/>
      <c r="I193" s="2"/>
      <c r="J193" s="32"/>
      <c r="K193" s="2"/>
      <c r="L193" s="32"/>
      <c r="M193" s="2"/>
    </row>
    <row r="194" spans="1:13" ht="15.75">
      <c r="A194" s="2"/>
      <c r="B194" s="2"/>
      <c r="C194" s="2"/>
      <c r="D194" s="2"/>
      <c r="E194" s="2"/>
      <c r="F194" s="2"/>
      <c r="G194" s="32"/>
      <c r="H194" s="32"/>
      <c r="I194" s="2"/>
      <c r="J194" s="32"/>
      <c r="K194" s="2"/>
      <c r="L194" s="32"/>
      <c r="M194" s="2"/>
    </row>
    <row r="195" spans="1:13" ht="15.75">
      <c r="A195" s="2"/>
      <c r="B195" s="2"/>
      <c r="C195" s="2"/>
      <c r="D195" s="2"/>
      <c r="E195" s="2"/>
      <c r="F195" s="2"/>
      <c r="G195" s="32"/>
      <c r="H195" s="32"/>
      <c r="I195" s="2"/>
      <c r="J195" s="32"/>
      <c r="K195" s="2"/>
      <c r="L195" s="32"/>
      <c r="M195" s="2"/>
    </row>
    <row r="196" spans="1:13" ht="15.75">
      <c r="A196" s="2"/>
      <c r="B196" s="2"/>
      <c r="C196" s="2"/>
      <c r="D196" s="2"/>
      <c r="E196" s="2"/>
      <c r="F196" s="2"/>
      <c r="G196" s="32"/>
      <c r="H196" s="32"/>
      <c r="I196" s="2"/>
      <c r="J196" s="32"/>
      <c r="K196" s="2"/>
      <c r="L196" s="32"/>
      <c r="M196" s="2"/>
    </row>
    <row r="197" spans="1:13" ht="15.75">
      <c r="A197" s="2"/>
      <c r="B197" s="2"/>
      <c r="C197" s="2"/>
      <c r="D197" s="2"/>
      <c r="E197" s="2"/>
      <c r="F197" s="2"/>
      <c r="G197" s="32"/>
      <c r="H197" s="32"/>
      <c r="I197" s="2"/>
      <c r="J197" s="32"/>
      <c r="K197" s="2"/>
      <c r="L197" s="32"/>
      <c r="M197" s="2"/>
    </row>
    <row r="198" spans="1:13" ht="15.75">
      <c r="A198" s="2"/>
      <c r="B198" s="2"/>
      <c r="C198" s="2"/>
      <c r="D198" s="2"/>
      <c r="E198" s="2"/>
      <c r="F198" s="2"/>
      <c r="G198" s="32"/>
      <c r="H198" s="32"/>
      <c r="I198" s="2"/>
      <c r="J198" s="32"/>
      <c r="K198" s="2"/>
      <c r="L198" s="32"/>
      <c r="M198" s="2"/>
    </row>
    <row r="199" spans="1:13" ht="15.75">
      <c r="A199" s="2"/>
      <c r="B199" s="2"/>
      <c r="C199" s="2"/>
      <c r="D199" s="2"/>
      <c r="E199" s="2"/>
      <c r="F199" s="2"/>
      <c r="G199" s="32"/>
      <c r="H199" s="32"/>
      <c r="I199" s="2"/>
      <c r="J199" s="32"/>
      <c r="K199" s="2"/>
      <c r="L199" s="32"/>
      <c r="M199" s="2"/>
    </row>
    <row r="200" spans="1:13" ht="15.75">
      <c r="A200" s="2"/>
      <c r="B200" s="2"/>
      <c r="C200" s="2"/>
      <c r="D200" s="2"/>
      <c r="E200" s="2"/>
      <c r="F200" s="2"/>
      <c r="G200" s="32"/>
      <c r="H200" s="32"/>
      <c r="I200" s="2"/>
      <c r="J200" s="32"/>
      <c r="K200" s="2"/>
      <c r="L200" s="32"/>
      <c r="M200" s="2"/>
    </row>
    <row r="201" spans="1:13" ht="15.75">
      <c r="A201" s="2"/>
      <c r="B201" s="2"/>
      <c r="C201" s="2"/>
      <c r="D201" s="2"/>
      <c r="E201" s="2"/>
      <c r="F201" s="2"/>
      <c r="G201" s="32"/>
      <c r="H201" s="32"/>
      <c r="I201" s="2"/>
      <c r="J201" s="32"/>
      <c r="K201" s="2"/>
      <c r="L201" s="32"/>
      <c r="M201" s="2"/>
    </row>
    <row r="202" spans="1:13" ht="15.75">
      <c r="A202" s="2"/>
      <c r="B202" s="2"/>
      <c r="C202" s="2"/>
      <c r="D202" s="2"/>
      <c r="E202" s="2"/>
      <c r="F202" s="2"/>
      <c r="G202" s="32"/>
      <c r="H202" s="32"/>
      <c r="I202" s="2"/>
      <c r="J202" s="32"/>
      <c r="K202" s="2"/>
      <c r="L202" s="32"/>
      <c r="M202" s="2"/>
    </row>
    <row r="203" spans="1:13" ht="15.75">
      <c r="A203" s="2"/>
      <c r="B203" s="2"/>
      <c r="C203" s="2"/>
      <c r="D203" s="2"/>
      <c r="E203" s="2"/>
      <c r="F203" s="2"/>
      <c r="G203" s="32"/>
      <c r="H203" s="32"/>
      <c r="I203" s="2"/>
      <c r="J203" s="32"/>
      <c r="K203" s="2"/>
      <c r="L203" s="32"/>
      <c r="M203" s="2"/>
    </row>
    <row r="204" spans="1:13" ht="15.75">
      <c r="A204" s="2"/>
      <c r="B204" s="2"/>
      <c r="C204" s="2"/>
      <c r="D204" s="2"/>
      <c r="E204" s="2"/>
      <c r="F204" s="2"/>
      <c r="G204" s="32"/>
      <c r="H204" s="32"/>
      <c r="I204" s="2"/>
      <c r="J204" s="32"/>
      <c r="K204" s="2"/>
      <c r="L204" s="32"/>
      <c r="M204" s="2"/>
    </row>
    <row r="205" spans="1:13" ht="15.75">
      <c r="A205" s="2"/>
      <c r="B205" s="2"/>
      <c r="C205" s="2"/>
      <c r="D205" s="2"/>
      <c r="E205" s="2"/>
      <c r="F205" s="2"/>
      <c r="G205" s="32"/>
      <c r="H205" s="32"/>
      <c r="I205" s="2"/>
      <c r="J205" s="32"/>
      <c r="K205" s="2"/>
      <c r="L205" s="32"/>
      <c r="M205" s="2"/>
    </row>
    <row r="206" spans="1:13" ht="15.75">
      <c r="A206" s="2"/>
      <c r="B206" s="2"/>
      <c r="C206" s="2"/>
      <c r="D206" s="2"/>
      <c r="E206" s="2"/>
      <c r="F206" s="2"/>
      <c r="G206" s="32"/>
      <c r="H206" s="32"/>
      <c r="I206" s="2"/>
      <c r="J206" s="32"/>
      <c r="K206" s="2"/>
      <c r="L206" s="32"/>
      <c r="M206" s="2"/>
    </row>
    <row r="207" spans="1:13" ht="15.75">
      <c r="A207" s="2"/>
      <c r="B207" s="2"/>
      <c r="C207" s="2"/>
      <c r="D207" s="2"/>
      <c r="E207" s="2"/>
      <c r="F207" s="2"/>
      <c r="G207" s="32"/>
      <c r="H207" s="32"/>
      <c r="I207" s="2"/>
      <c r="J207" s="32"/>
      <c r="K207" s="2"/>
      <c r="L207" s="32"/>
      <c r="M207" s="2"/>
    </row>
    <row r="208" spans="1:13" ht="15.75">
      <c r="A208" s="2"/>
      <c r="B208" s="2"/>
      <c r="C208" s="2"/>
      <c r="D208" s="2"/>
      <c r="E208" s="2"/>
      <c r="F208" s="2"/>
      <c r="G208" s="32"/>
      <c r="H208" s="32"/>
      <c r="I208" s="2"/>
      <c r="J208" s="32"/>
      <c r="K208" s="2"/>
      <c r="L208" s="32"/>
      <c r="M208" s="2"/>
    </row>
    <row r="209" spans="1:13" ht="15.75">
      <c r="A209" s="2"/>
      <c r="B209" s="2"/>
      <c r="C209" s="2"/>
      <c r="D209" s="2"/>
      <c r="E209" s="2"/>
      <c r="F209" s="2"/>
      <c r="G209" s="32"/>
      <c r="H209" s="32"/>
      <c r="I209" s="2"/>
      <c r="J209" s="32"/>
      <c r="K209" s="2"/>
      <c r="L209" s="32"/>
      <c r="M209" s="2"/>
    </row>
    <row r="210" spans="1:13" ht="15.75">
      <c r="A210" s="2"/>
      <c r="B210" s="2"/>
      <c r="C210" s="2"/>
      <c r="D210" s="2"/>
      <c r="E210" s="2"/>
      <c r="F210" s="2"/>
      <c r="G210" s="32"/>
      <c r="H210" s="32"/>
      <c r="I210" s="2"/>
      <c r="J210" s="32"/>
      <c r="K210" s="2"/>
      <c r="L210" s="32"/>
      <c r="M210" s="2"/>
    </row>
    <row r="211" spans="1:13" ht="15.75">
      <c r="A211" s="2"/>
      <c r="B211" s="2"/>
      <c r="C211" s="2"/>
      <c r="D211" s="2"/>
      <c r="E211" s="2"/>
      <c r="F211" s="2"/>
      <c r="G211" s="32"/>
      <c r="H211" s="32"/>
      <c r="I211" s="2"/>
      <c r="J211" s="32"/>
      <c r="K211" s="2"/>
      <c r="L211" s="32"/>
      <c r="M211" s="2"/>
    </row>
    <row r="212" spans="1:13" ht="15.75">
      <c r="A212" s="2"/>
      <c r="B212" s="2"/>
      <c r="C212" s="2"/>
      <c r="D212" s="2"/>
      <c r="E212" s="2"/>
      <c r="F212" s="2"/>
      <c r="G212" s="32"/>
      <c r="H212" s="32"/>
      <c r="I212" s="2"/>
      <c r="J212" s="32"/>
      <c r="K212" s="2"/>
      <c r="L212" s="32"/>
      <c r="M212" s="2"/>
    </row>
    <row r="213" spans="1:13" ht="15.75">
      <c r="A213" s="2"/>
      <c r="B213" s="2"/>
      <c r="C213" s="2"/>
      <c r="D213" s="2"/>
      <c r="E213" s="2"/>
      <c r="F213" s="2"/>
      <c r="G213" s="32"/>
      <c r="H213" s="32"/>
      <c r="I213" s="2"/>
      <c r="J213" s="32"/>
      <c r="K213" s="2"/>
      <c r="L213" s="32"/>
      <c r="M213" s="2"/>
    </row>
    <row r="214" spans="1:13" ht="15.75">
      <c r="A214" s="2"/>
      <c r="B214" s="2"/>
      <c r="C214" s="2"/>
      <c r="D214" s="2"/>
      <c r="E214" s="2"/>
      <c r="F214" s="2"/>
      <c r="G214" s="32"/>
      <c r="H214" s="32"/>
      <c r="I214" s="2"/>
      <c r="J214" s="32"/>
      <c r="K214" s="2"/>
      <c r="L214" s="32"/>
      <c r="M214" s="2"/>
    </row>
    <row r="215" spans="1:13" ht="15.75">
      <c r="A215" s="2"/>
      <c r="B215" s="2"/>
      <c r="C215" s="2"/>
      <c r="D215" s="2"/>
      <c r="E215" s="2"/>
      <c r="F215" s="2"/>
      <c r="G215" s="32"/>
      <c r="H215" s="32"/>
      <c r="I215" s="2"/>
      <c r="J215" s="32"/>
      <c r="K215" s="2"/>
      <c r="L215" s="32"/>
      <c r="M215" s="2"/>
    </row>
    <row r="216" spans="1:13" ht="15.75">
      <c r="A216" s="2"/>
      <c r="B216" s="2"/>
      <c r="C216" s="2"/>
      <c r="D216" s="2"/>
      <c r="E216" s="2"/>
      <c r="F216" s="2"/>
      <c r="G216" s="32"/>
      <c r="H216" s="32"/>
      <c r="I216" s="2"/>
      <c r="J216" s="32"/>
      <c r="K216" s="2"/>
      <c r="L216" s="32"/>
      <c r="M216" s="2"/>
    </row>
    <row r="217" spans="1:13" ht="15.75">
      <c r="A217" s="2"/>
      <c r="B217" s="2"/>
      <c r="C217" s="2"/>
      <c r="D217" s="2"/>
      <c r="E217" s="2"/>
      <c r="F217" s="2"/>
      <c r="G217" s="32"/>
      <c r="H217" s="32"/>
      <c r="I217" s="2"/>
      <c r="J217" s="32"/>
      <c r="K217" s="2"/>
      <c r="L217" s="32"/>
      <c r="M217" s="2"/>
    </row>
    <row r="218" spans="1:13" ht="15.75">
      <c r="A218" s="2"/>
      <c r="B218" s="2"/>
      <c r="C218" s="2"/>
      <c r="D218" s="2"/>
      <c r="E218" s="2"/>
      <c r="F218" s="2"/>
      <c r="G218" s="32"/>
      <c r="H218" s="32"/>
      <c r="I218" s="2"/>
      <c r="J218" s="32"/>
      <c r="K218" s="2"/>
      <c r="L218" s="32"/>
      <c r="M218" s="2"/>
    </row>
    <row r="219" spans="1:13" ht="15.75">
      <c r="A219" s="2"/>
      <c r="B219" s="2"/>
      <c r="C219" s="2"/>
      <c r="D219" s="2"/>
      <c r="E219" s="2"/>
      <c r="F219" s="2"/>
      <c r="G219" s="32"/>
      <c r="H219" s="32"/>
      <c r="I219" s="2"/>
      <c r="J219" s="32"/>
      <c r="K219" s="2"/>
      <c r="L219" s="32"/>
      <c r="M219" s="2"/>
    </row>
    <row r="220" spans="1:13" ht="15.75">
      <c r="A220" s="2"/>
      <c r="B220" s="2"/>
      <c r="C220" s="2"/>
      <c r="D220" s="2"/>
      <c r="E220" s="2"/>
      <c r="F220" s="2"/>
      <c r="G220" s="32"/>
      <c r="H220" s="32"/>
      <c r="I220" s="2"/>
      <c r="J220" s="32"/>
      <c r="K220" s="2"/>
      <c r="L220" s="32"/>
      <c r="M220" s="2"/>
    </row>
    <row r="221" spans="1:13" ht="15.75">
      <c r="A221" s="2"/>
      <c r="B221" s="2"/>
      <c r="C221" s="2"/>
      <c r="D221" s="2"/>
      <c r="E221" s="2"/>
      <c r="F221" s="2"/>
      <c r="G221" s="32"/>
      <c r="H221" s="32"/>
      <c r="I221" s="2"/>
      <c r="J221" s="32"/>
      <c r="K221" s="2"/>
      <c r="L221" s="32"/>
      <c r="M221" s="2"/>
    </row>
    <row r="222" spans="1:13" ht="15.75">
      <c r="A222" s="2"/>
      <c r="B222" s="2"/>
      <c r="C222" s="2"/>
      <c r="D222" s="2"/>
      <c r="E222" s="2"/>
      <c r="F222" s="2"/>
      <c r="G222" s="32"/>
      <c r="H222" s="32"/>
      <c r="I222" s="2"/>
      <c r="J222" s="32"/>
      <c r="K222" s="2"/>
      <c r="L222" s="32"/>
      <c r="M222" s="2"/>
    </row>
    <row r="223" spans="1:13" ht="15.75">
      <c r="A223" s="2"/>
      <c r="B223" s="2"/>
      <c r="C223" s="2"/>
      <c r="D223" s="2"/>
      <c r="E223" s="2"/>
      <c r="F223" s="2"/>
      <c r="G223" s="32"/>
      <c r="H223" s="32"/>
      <c r="I223" s="2"/>
      <c r="J223" s="32"/>
      <c r="K223" s="2"/>
      <c r="L223" s="32"/>
      <c r="M223" s="2"/>
    </row>
    <row r="224" spans="1:13" ht="15.75">
      <c r="A224" s="2"/>
      <c r="B224" s="2"/>
      <c r="C224" s="2"/>
      <c r="D224" s="2"/>
      <c r="E224" s="2"/>
      <c r="F224" s="2"/>
      <c r="G224" s="32"/>
      <c r="H224" s="32"/>
      <c r="I224" s="2"/>
      <c r="J224" s="32"/>
      <c r="K224" s="2"/>
      <c r="L224" s="32"/>
      <c r="M224" s="2"/>
    </row>
    <row r="225" spans="1:13" ht="15.75">
      <c r="A225" s="2"/>
      <c r="B225" s="2"/>
      <c r="C225" s="2"/>
      <c r="D225" s="2"/>
      <c r="E225" s="2"/>
      <c r="F225" s="2"/>
      <c r="G225" s="32"/>
      <c r="H225" s="32"/>
      <c r="I225" s="2"/>
      <c r="J225" s="32"/>
      <c r="K225" s="2"/>
      <c r="L225" s="32"/>
      <c r="M225" s="2"/>
    </row>
    <row r="226" spans="1:13" ht="15.75">
      <c r="A226" s="2"/>
      <c r="B226" s="2"/>
      <c r="C226" s="2"/>
      <c r="D226" s="2"/>
      <c r="E226" s="2"/>
      <c r="F226" s="2"/>
      <c r="G226" s="32"/>
      <c r="H226" s="32"/>
      <c r="I226" s="2"/>
      <c r="J226" s="32"/>
      <c r="K226" s="2"/>
      <c r="L226" s="32"/>
      <c r="M226" s="2"/>
    </row>
    <row r="227" spans="1:13" ht="15.75">
      <c r="A227" s="2"/>
      <c r="B227" s="2"/>
      <c r="C227" s="2"/>
      <c r="D227" s="2"/>
      <c r="E227" s="2"/>
      <c r="F227" s="2"/>
      <c r="G227" s="32"/>
      <c r="H227" s="32"/>
      <c r="I227" s="2"/>
      <c r="J227" s="32"/>
      <c r="K227" s="2"/>
      <c r="L227" s="32"/>
      <c r="M227" s="2"/>
    </row>
    <row r="228" spans="1:13" ht="15.75">
      <c r="A228" s="2"/>
      <c r="B228" s="2"/>
      <c r="C228" s="2"/>
      <c r="D228" s="2"/>
      <c r="E228" s="2"/>
      <c r="F228" s="2"/>
      <c r="G228" s="32"/>
      <c r="H228" s="32"/>
      <c r="I228" s="2"/>
      <c r="J228" s="32"/>
      <c r="K228" s="2"/>
      <c r="L228" s="32"/>
      <c r="M228" s="2"/>
    </row>
    <row r="229" spans="1:13" ht="15.75">
      <c r="A229" s="2"/>
      <c r="B229" s="2"/>
      <c r="C229" s="2"/>
      <c r="D229" s="2"/>
      <c r="E229" s="2"/>
      <c r="F229" s="2"/>
      <c r="G229" s="32"/>
      <c r="H229" s="32"/>
      <c r="I229" s="2"/>
      <c r="J229" s="32"/>
      <c r="K229" s="2"/>
      <c r="L229" s="32"/>
      <c r="M229" s="2"/>
    </row>
    <row r="230" spans="1:13" ht="15.75">
      <c r="A230" s="2"/>
      <c r="B230" s="2"/>
      <c r="C230" s="2"/>
      <c r="D230" s="2"/>
      <c r="E230" s="2"/>
      <c r="F230" s="2"/>
      <c r="G230" s="32"/>
      <c r="H230" s="32"/>
      <c r="I230" s="2"/>
      <c r="J230" s="32"/>
      <c r="K230" s="2"/>
      <c r="L230" s="32"/>
      <c r="M230" s="2"/>
    </row>
    <row r="231" spans="1:13" ht="15.75">
      <c r="A231" s="2"/>
      <c r="B231" s="2"/>
      <c r="C231" s="2"/>
      <c r="D231" s="2"/>
      <c r="E231" s="2"/>
      <c r="F231" s="2"/>
      <c r="G231" s="32"/>
      <c r="H231" s="32"/>
      <c r="I231" s="2"/>
      <c r="J231" s="32"/>
      <c r="K231" s="2"/>
      <c r="L231" s="32"/>
      <c r="M231" s="2"/>
    </row>
    <row r="232" spans="1:13" ht="15.75">
      <c r="A232" s="2"/>
      <c r="B232" s="2"/>
      <c r="C232" s="2"/>
      <c r="D232" s="2"/>
      <c r="E232" s="2"/>
      <c r="F232" s="2"/>
      <c r="G232" s="32"/>
      <c r="H232" s="32"/>
      <c r="I232" s="2"/>
      <c r="J232" s="32"/>
      <c r="K232" s="2"/>
      <c r="L232" s="32"/>
      <c r="M232" s="2"/>
    </row>
    <row r="233" spans="1:13" ht="15.75">
      <c r="A233" s="2"/>
      <c r="B233" s="2"/>
      <c r="C233" s="2"/>
      <c r="D233" s="2"/>
      <c r="E233" s="2"/>
      <c r="F233" s="2"/>
      <c r="G233" s="32"/>
      <c r="H233" s="32"/>
      <c r="I233" s="2"/>
      <c r="J233" s="32"/>
      <c r="K233" s="2"/>
      <c r="L233" s="32"/>
      <c r="M233" s="2"/>
    </row>
    <row r="234" spans="1:13" ht="15.75">
      <c r="A234" s="2"/>
      <c r="B234" s="2"/>
      <c r="C234" s="2"/>
      <c r="D234" s="2"/>
      <c r="E234" s="2"/>
      <c r="F234" s="2"/>
      <c r="G234" s="32"/>
      <c r="H234" s="32"/>
      <c r="I234" s="2"/>
      <c r="J234" s="32"/>
      <c r="K234" s="2"/>
      <c r="L234" s="32"/>
      <c r="M234" s="2"/>
    </row>
    <row r="235" spans="1:13" ht="15.75">
      <c r="A235" s="2"/>
      <c r="B235" s="2"/>
      <c r="C235" s="2"/>
      <c r="D235" s="2"/>
      <c r="E235" s="2"/>
      <c r="F235" s="2"/>
      <c r="G235" s="32"/>
      <c r="H235" s="32"/>
      <c r="I235" s="2"/>
      <c r="J235" s="32"/>
      <c r="K235" s="2"/>
      <c r="L235" s="32"/>
      <c r="M235" s="2"/>
    </row>
    <row r="236" spans="1:13" ht="15.75">
      <c r="A236" s="2"/>
      <c r="B236" s="2"/>
      <c r="C236" s="2"/>
      <c r="D236" s="2"/>
      <c r="E236" s="2"/>
      <c r="F236" s="2"/>
      <c r="G236" s="32"/>
      <c r="H236" s="32"/>
      <c r="I236" s="2"/>
      <c r="J236" s="32"/>
      <c r="K236" s="2"/>
      <c r="L236" s="32"/>
      <c r="M236" s="2"/>
    </row>
    <row r="237" spans="1:13" ht="15.75">
      <c r="A237" s="2"/>
      <c r="B237" s="2"/>
      <c r="C237" s="2"/>
      <c r="D237" s="2"/>
      <c r="E237" s="2"/>
      <c r="F237" s="2"/>
      <c r="G237" s="32"/>
      <c r="H237" s="32"/>
      <c r="I237" s="2"/>
      <c r="J237" s="32"/>
      <c r="K237" s="2"/>
      <c r="L237" s="32"/>
      <c r="M237" s="2"/>
    </row>
    <row r="238" spans="1:13" ht="15.75">
      <c r="A238" s="2"/>
      <c r="B238" s="2"/>
      <c r="C238" s="2"/>
      <c r="D238" s="2"/>
      <c r="E238" s="2"/>
      <c r="F238" s="2"/>
      <c r="G238" s="32"/>
      <c r="H238" s="32"/>
      <c r="I238" s="2"/>
      <c r="J238" s="32"/>
      <c r="K238" s="2"/>
      <c r="L238" s="32"/>
      <c r="M238" s="2"/>
    </row>
    <row r="239" spans="1:13" ht="15.75">
      <c r="A239" s="2"/>
      <c r="B239" s="2"/>
      <c r="C239" s="2"/>
      <c r="D239" s="2"/>
      <c r="E239" s="2"/>
      <c r="F239" s="2"/>
      <c r="G239" s="32"/>
      <c r="H239" s="32"/>
      <c r="I239" s="2"/>
      <c r="J239" s="32"/>
      <c r="K239" s="2"/>
      <c r="L239" s="32"/>
      <c r="M239" s="2"/>
    </row>
    <row r="240" spans="1:13" ht="15.75">
      <c r="A240" s="2"/>
      <c r="B240" s="2"/>
      <c r="C240" s="2"/>
      <c r="D240" s="2"/>
      <c r="E240" s="2"/>
      <c r="F240" s="2"/>
      <c r="G240" s="32"/>
      <c r="H240" s="32"/>
      <c r="I240" s="2"/>
      <c r="J240" s="32"/>
      <c r="K240" s="2"/>
      <c r="L240" s="32"/>
      <c r="M240" s="2"/>
    </row>
    <row r="241" spans="1:8" ht="15.75">
      <c r="A241" s="2"/>
      <c r="B241" s="2"/>
      <c r="C241" s="2"/>
      <c r="D241" s="2"/>
      <c r="E241" s="2"/>
      <c r="F241" s="2"/>
      <c r="G241" s="32"/>
      <c r="H241" s="32"/>
    </row>
    <row r="242" spans="1:8" ht="15.75">
      <c r="A242" s="2"/>
      <c r="B242" s="2"/>
      <c r="C242" s="2"/>
      <c r="D242" s="2"/>
      <c r="E242" s="2"/>
      <c r="F242" s="2"/>
      <c r="G242" s="32"/>
      <c r="H242" s="32"/>
    </row>
    <row r="243" spans="1:8" ht="15.75">
      <c r="A243" s="2"/>
      <c r="B243" s="2"/>
      <c r="C243" s="2"/>
      <c r="D243" s="2"/>
      <c r="E243" s="2"/>
      <c r="F243" s="2"/>
      <c r="G243" s="32"/>
      <c r="H243" s="32"/>
    </row>
    <row r="244" spans="1:8" ht="15.75">
      <c r="A244" s="2"/>
      <c r="B244" s="2"/>
      <c r="C244" s="2"/>
      <c r="D244" s="2"/>
      <c r="E244" s="2"/>
      <c r="F244" s="2"/>
      <c r="G244" s="32"/>
      <c r="H244" s="32"/>
    </row>
    <row r="245" spans="1:8" ht="15.75">
      <c r="A245" s="2"/>
      <c r="B245" s="2"/>
      <c r="C245" s="2"/>
      <c r="D245" s="2"/>
      <c r="E245" s="2"/>
      <c r="F245" s="2"/>
      <c r="G245" s="32"/>
      <c r="H245" s="32"/>
    </row>
    <row r="246" spans="1:8" ht="15.75">
      <c r="A246" s="2"/>
      <c r="B246" s="2"/>
      <c r="C246" s="2"/>
      <c r="D246" s="2"/>
      <c r="E246" s="2"/>
      <c r="F246" s="2"/>
      <c r="G246" s="32"/>
      <c r="H246" s="32"/>
    </row>
    <row r="247" spans="1:8" ht="15.75">
      <c r="A247" s="2"/>
      <c r="B247" s="2"/>
      <c r="C247" s="2"/>
      <c r="D247" s="2"/>
      <c r="E247" s="2"/>
      <c r="F247" s="2"/>
      <c r="G247" s="32"/>
      <c r="H247" s="32"/>
    </row>
    <row r="248" spans="1:8" ht="15.75">
      <c r="A248" s="2"/>
      <c r="B248" s="2"/>
      <c r="C248" s="2"/>
      <c r="D248" s="2"/>
      <c r="E248" s="2"/>
      <c r="F248" s="2"/>
      <c r="G248" s="32"/>
      <c r="H248" s="32"/>
    </row>
    <row r="249" spans="1:8" ht="15.75">
      <c r="A249" s="2"/>
      <c r="B249" s="2"/>
      <c r="C249" s="2"/>
      <c r="D249" s="2"/>
      <c r="E249" s="2"/>
      <c r="F249" s="2"/>
      <c r="G249" s="32"/>
      <c r="H249" s="32"/>
    </row>
    <row r="250" spans="1:8" ht="15.75">
      <c r="A250" s="2"/>
      <c r="B250" s="2"/>
      <c r="C250" s="2"/>
      <c r="D250" s="2"/>
      <c r="E250" s="2"/>
      <c r="F250" s="2"/>
      <c r="G250" s="32"/>
      <c r="H250" s="32"/>
    </row>
    <row r="251" spans="1:8" ht="15.75">
      <c r="A251" s="2"/>
      <c r="B251" s="2"/>
      <c r="C251" s="2"/>
      <c r="D251" s="2"/>
      <c r="E251" s="2"/>
      <c r="F251" s="2"/>
      <c r="G251" s="32"/>
      <c r="H251" s="32"/>
    </row>
    <row r="252" spans="1:8" ht="15.75">
      <c r="A252" s="2"/>
      <c r="B252" s="2"/>
      <c r="C252" s="2"/>
      <c r="D252" s="2"/>
      <c r="E252" s="2"/>
      <c r="F252" s="2"/>
      <c r="G252" s="32"/>
      <c r="H252" s="32"/>
    </row>
    <row r="253" spans="1:8" ht="15.75">
      <c r="A253" s="2"/>
      <c r="B253" s="2"/>
      <c r="C253" s="2"/>
      <c r="D253" s="2"/>
      <c r="E253" s="2"/>
      <c r="F253" s="2"/>
      <c r="G253" s="32"/>
      <c r="H253" s="32"/>
    </row>
    <row r="254" spans="1:8" ht="15.75">
      <c r="A254" s="2"/>
      <c r="B254" s="2"/>
      <c r="C254" s="2"/>
      <c r="D254" s="2"/>
      <c r="E254" s="2"/>
      <c r="F254" s="2"/>
      <c r="G254" s="32"/>
      <c r="H254" s="32"/>
    </row>
    <row r="255" spans="1:8" ht="15.75">
      <c r="A255" s="2"/>
      <c r="B255" s="2"/>
      <c r="C255" s="2"/>
      <c r="D255" s="2"/>
      <c r="E255" s="2"/>
      <c r="F255" s="2"/>
      <c r="G255" s="32"/>
      <c r="H255" s="32"/>
    </row>
    <row r="256" spans="1:8" ht="15.75">
      <c r="A256" s="2"/>
      <c r="B256" s="2"/>
      <c r="C256" s="2"/>
      <c r="D256" s="2"/>
      <c r="E256" s="2"/>
      <c r="F256" s="2"/>
      <c r="G256" s="32"/>
      <c r="H256" s="32"/>
    </row>
    <row r="257" spans="1:8" ht="15.75">
      <c r="A257" s="2"/>
      <c r="B257" s="2"/>
      <c r="C257" s="2"/>
      <c r="D257" s="2"/>
      <c r="E257" s="2"/>
      <c r="F257" s="2"/>
      <c r="G257" s="32"/>
      <c r="H257" s="32"/>
    </row>
    <row r="258" spans="1:8" ht="15.75">
      <c r="A258" s="2"/>
      <c r="B258" s="2"/>
      <c r="C258" s="2"/>
      <c r="D258" s="2"/>
      <c r="E258" s="2"/>
      <c r="F258" s="2"/>
      <c r="G258" s="32"/>
      <c r="H258" s="32"/>
    </row>
    <row r="259" spans="1:8" ht="15.75">
      <c r="A259" s="2"/>
      <c r="B259" s="2"/>
      <c r="C259" s="2"/>
      <c r="D259" s="2"/>
      <c r="E259" s="2"/>
      <c r="F259" s="2"/>
      <c r="G259" s="32"/>
      <c r="H259" s="32"/>
    </row>
    <row r="260" spans="1:8" ht="15.75">
      <c r="A260" s="2"/>
      <c r="B260" s="2"/>
      <c r="C260" s="2"/>
      <c r="D260" s="2"/>
      <c r="E260" s="2"/>
      <c r="F260" s="2"/>
      <c r="G260" s="32"/>
      <c r="H260" s="32"/>
    </row>
    <row r="261" spans="1:8" ht="15.75">
      <c r="A261" s="2"/>
      <c r="B261" s="2"/>
      <c r="C261" s="2"/>
      <c r="D261" s="2"/>
      <c r="E261" s="2"/>
      <c r="F261" s="2"/>
      <c r="G261" s="32"/>
      <c r="H261" s="32"/>
    </row>
    <row r="262" spans="1:8" ht="15.75">
      <c r="A262" s="2"/>
      <c r="B262" s="2"/>
      <c r="C262" s="2"/>
      <c r="D262" s="2"/>
      <c r="E262" s="2"/>
      <c r="F262" s="2"/>
      <c r="G262" s="32"/>
      <c r="H262" s="32"/>
    </row>
    <row r="263" spans="1:8" ht="15.75">
      <c r="A263" s="2"/>
      <c r="B263" s="2"/>
      <c r="C263" s="2"/>
      <c r="D263" s="2"/>
      <c r="E263" s="2"/>
      <c r="F263" s="2"/>
      <c r="G263" s="32"/>
      <c r="H263" s="32"/>
    </row>
    <row r="264" spans="1:8" ht="15.75">
      <c r="A264" s="2"/>
      <c r="B264" s="2"/>
      <c r="C264" s="2"/>
      <c r="D264" s="2"/>
      <c r="E264" s="2"/>
      <c r="F264" s="2"/>
      <c r="G264" s="32"/>
      <c r="H264" s="32"/>
    </row>
    <row r="265" spans="1:8" ht="15.75">
      <c r="A265" s="2"/>
      <c r="B265" s="2"/>
      <c r="C265" s="2"/>
      <c r="D265" s="2"/>
      <c r="E265" s="2"/>
      <c r="F265" s="2"/>
      <c r="G265" s="32"/>
      <c r="H265" s="32"/>
    </row>
    <row r="266" spans="1:8" ht="15.75">
      <c r="A266" s="2"/>
      <c r="B266" s="2"/>
      <c r="C266" s="2"/>
      <c r="D266" s="2"/>
      <c r="E266" s="2"/>
      <c r="F266" s="2"/>
      <c r="G266" s="32"/>
      <c r="H266" s="32"/>
    </row>
    <row r="267" spans="1:8" ht="15.75">
      <c r="A267" s="2"/>
      <c r="B267" s="2"/>
      <c r="C267" s="2"/>
      <c r="D267" s="2"/>
      <c r="E267" s="2"/>
      <c r="F267" s="2"/>
      <c r="G267" s="32"/>
      <c r="H267" s="32"/>
    </row>
    <row r="268" spans="1:8" ht="15.75">
      <c r="A268" s="2"/>
      <c r="B268" s="2"/>
      <c r="C268" s="2"/>
      <c r="D268" s="2"/>
      <c r="E268" s="2"/>
      <c r="F268" s="2"/>
      <c r="G268" s="32"/>
      <c r="H268" s="32"/>
    </row>
  </sheetData>
  <sheetProtection password="D94D" sheet="1"/>
  <mergeCells count="85">
    <mergeCell ref="C154:D154"/>
    <mergeCell ref="B155:D155"/>
    <mergeCell ref="B149:D149"/>
    <mergeCell ref="B150:D150"/>
    <mergeCell ref="B151:D151"/>
    <mergeCell ref="B152:D152"/>
    <mergeCell ref="B153:D153"/>
    <mergeCell ref="C144:D144"/>
    <mergeCell ref="C145:D145"/>
    <mergeCell ref="C146:D146"/>
    <mergeCell ref="C134:D134"/>
    <mergeCell ref="C135:D135"/>
    <mergeCell ref="C136:D136"/>
    <mergeCell ref="C141:D141"/>
    <mergeCell ref="C142:D142"/>
    <mergeCell ref="C143:D143"/>
    <mergeCell ref="C140:D140"/>
    <mergeCell ref="C119:D119"/>
    <mergeCell ref="C120:D120"/>
    <mergeCell ref="C123:D123"/>
    <mergeCell ref="C124:D124"/>
    <mergeCell ref="C125:D125"/>
    <mergeCell ref="C121:D121"/>
    <mergeCell ref="C122:D122"/>
    <mergeCell ref="A1:C1"/>
    <mergeCell ref="A2:C2"/>
    <mergeCell ref="A3:C3"/>
    <mergeCell ref="A8:C8"/>
    <mergeCell ref="C137:D137"/>
    <mergeCell ref="C74:D74"/>
    <mergeCell ref="B89:D89"/>
    <mergeCell ref="C99:D99"/>
    <mergeCell ref="C100:D100"/>
    <mergeCell ref="C95:D95"/>
    <mergeCell ref="C96:D96"/>
    <mergeCell ref="C97:D97"/>
    <mergeCell ref="C98:D98"/>
    <mergeCell ref="C93:D93"/>
    <mergeCell ref="C94:D94"/>
    <mergeCell ref="C113:D113"/>
    <mergeCell ref="C101:D101"/>
    <mergeCell ref="F139:K139"/>
    <mergeCell ref="F47:J47"/>
    <mergeCell ref="F48:J48"/>
    <mergeCell ref="F58:J58"/>
    <mergeCell ref="B71:D71"/>
    <mergeCell ref="C129:D129"/>
    <mergeCell ref="C130:D130"/>
    <mergeCell ref="C128:D128"/>
    <mergeCell ref="C131:D131"/>
    <mergeCell ref="C132:D132"/>
    <mergeCell ref="C133:D133"/>
    <mergeCell ref="C138:D138"/>
    <mergeCell ref="C126:D126"/>
    <mergeCell ref="C127:D127"/>
    <mergeCell ref="F118:K118"/>
    <mergeCell ref="F38:J38"/>
    <mergeCell ref="F40:J40"/>
    <mergeCell ref="F41:J41"/>
    <mergeCell ref="A28:C28"/>
    <mergeCell ref="F11:J11"/>
    <mergeCell ref="F12:J12"/>
    <mergeCell ref="F27:J27"/>
    <mergeCell ref="F28:J28"/>
    <mergeCell ref="C107:D107"/>
    <mergeCell ref="C108:D108"/>
    <mergeCell ref="C109:D109"/>
    <mergeCell ref="C110:D110"/>
    <mergeCell ref="C112:D112"/>
    <mergeCell ref="E150:M150"/>
    <mergeCell ref="C86:D86"/>
    <mergeCell ref="C87:D87"/>
    <mergeCell ref="C88:D88"/>
    <mergeCell ref="C75:D75"/>
    <mergeCell ref="C76:D76"/>
    <mergeCell ref="C82:D82"/>
    <mergeCell ref="C83:D83"/>
    <mergeCell ref="C84:D84"/>
    <mergeCell ref="C85:D85"/>
    <mergeCell ref="C111:D111"/>
    <mergeCell ref="C102:D102"/>
    <mergeCell ref="C103:D103"/>
    <mergeCell ref="C104:D104"/>
    <mergeCell ref="C105:D105"/>
    <mergeCell ref="C106:D106"/>
  </mergeCells>
  <conditionalFormatting sqref="A1:A3">
    <cfRule type="containsText" dxfId="40" priority="3" stopIfTrue="1" operator="containsText" text="Enter">
      <formula>NOT(ISERROR(SEARCH("Enter",A1)))</formula>
    </cfRule>
  </conditionalFormatting>
  <conditionalFormatting sqref="D2:D3">
    <cfRule type="containsText" dxfId="39" priority="4" stopIfTrue="1" operator="containsText" text="Enter">
      <formula>NOT(ISERROR(SEARCH("Enter",D2)))</formula>
    </cfRule>
  </conditionalFormatting>
  <conditionalFormatting sqref="L89 J89 H89 E89:F89">
    <cfRule type="containsText" dxfId="38" priority="1" stopIfTrue="1" operator="containsText" text="Total must equal amount in Cell E63 Above">
      <formula>NOT(ISERROR(SEARCH("Total must equal amount in Cell E63 Above",E89)))</formula>
    </cfRule>
  </conditionalFormatting>
  <printOptions horizontalCentered="1"/>
  <pageMargins left="0.25" right="0.25" top="0.75" bottom="0.75" header="0.3" footer="0.3"/>
  <pageSetup scale="52" orientation="landscape" horizontalDpi="200" verticalDpi="200" r:id="rId1"/>
  <headerFooter alignWithMargins="0">
    <oddHeader>&amp;RPage &amp;P of &amp;N</oddHeader>
    <oddFooter>Page &amp;P of &amp;N</oddFooter>
  </headerFooter>
  <rowBreaks count="3" manualBreakCount="3">
    <brk id="46" max="16383" man="1"/>
    <brk id="72" max="16383" man="1"/>
    <brk id="114"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tabColor theme="5"/>
    <pageSetUpPr fitToPage="1"/>
  </sheetPr>
  <dimension ref="A1:AM86"/>
  <sheetViews>
    <sheetView showGridLines="0" zoomScale="85" zoomScaleNormal="85" zoomScaleSheetLayoutView="75" workbookViewId="0">
      <pane xSplit="4" ySplit="10" topLeftCell="E71" activePane="bottomRight" state="frozen"/>
      <selection activeCell="J13" sqref="J13"/>
      <selection pane="topRight" activeCell="J13" sqref="J13"/>
      <selection pane="bottomLeft" activeCell="J13" sqref="J13"/>
      <selection pane="bottomRight" activeCell="F74" sqref="F74"/>
    </sheetView>
  </sheetViews>
  <sheetFormatPr defaultColWidth="10.28515625" defaultRowHeight="15.75"/>
  <cols>
    <col min="1" max="2" width="5.28515625" style="2" customWidth="1"/>
    <col min="3" max="3" width="81" style="2" customWidth="1"/>
    <col min="4" max="4" width="10.28515625" style="2"/>
    <col min="5" max="8" width="14.5703125" style="2" customWidth="1"/>
    <col min="9" max="9" width="10.5703125" style="2" customWidth="1"/>
    <col min="10" max="10" width="14.5703125" style="2" customWidth="1"/>
    <col min="11" max="11" width="10.5703125" style="2" customWidth="1"/>
    <col min="12" max="12" width="14.5703125" style="2" customWidth="1"/>
    <col min="13" max="13" width="10.5703125" style="2" customWidth="1"/>
    <col min="14" max="14" width="3.28515625" style="2" customWidth="1"/>
    <col min="15" max="16384" width="10.28515625" style="2"/>
  </cols>
  <sheetData>
    <row r="1" spans="1:39">
      <c r="A1" s="1645" t="str">
        <f>IF('INTERIM-CERTIFICATION'!$M$1="","CHARTER NAME: Enter Charter Name on INTERIM-CERTIFICATION Worksheet",(CONCATENATE("CHARTER NAME: ",'INTERIM-CERTIFICATION'!$M$1)))</f>
        <v>CHARTER NAME: Elite Academic Academy - Virtual Prep Lucerne</v>
      </c>
      <c r="B1" s="1645"/>
      <c r="C1" s="1645"/>
      <c r="D1" s="12"/>
      <c r="E1" s="12"/>
      <c r="F1" s="12"/>
      <c r="G1" s="12"/>
      <c r="H1" s="12"/>
      <c r="I1" s="158"/>
      <c r="J1" s="12"/>
      <c r="K1" s="157"/>
      <c r="L1" s="1"/>
      <c r="M1" s="159"/>
      <c r="N1" s="47"/>
      <c r="O1" s="1206"/>
      <c r="P1" s="1206"/>
      <c r="Q1" s="1206"/>
      <c r="R1" s="1206"/>
      <c r="S1" s="1206"/>
      <c r="T1" s="1206"/>
    </row>
    <row r="2" spans="1:39">
      <c r="A2" s="1645" t="str">
        <f>IF('INTERIM-CERTIFICATION'!$M$2="","CDS #: Enter Charter CDS # on INTERIM-CERTIFICATION Worksheet",(_xlfn.CONCAT("CDS #: ",'INTERIM-CERTIFICATION'!$M$2)))</f>
        <v>CDS #: 36-75051-0138107</v>
      </c>
      <c r="B2" s="1645"/>
      <c r="C2" s="1645"/>
      <c r="D2" s="1414"/>
      <c r="E2" s="1414"/>
      <c r="F2" s="1414"/>
      <c r="G2" s="12"/>
      <c r="H2" s="82"/>
      <c r="I2" s="158"/>
      <c r="J2" s="82"/>
      <c r="K2" s="158"/>
      <c r="L2" s="1"/>
      <c r="M2" s="159"/>
      <c r="N2" s="47"/>
      <c r="O2" s="1206"/>
      <c r="P2" s="1206"/>
      <c r="Q2" s="1206"/>
      <c r="R2" s="1206"/>
      <c r="S2" s="1206"/>
      <c r="T2" s="1206"/>
    </row>
    <row r="3" spans="1:39">
      <c r="A3" s="1645" t="str">
        <f>IF('INTERIM-CERTIFICATION'!$M$5="","CHARTER #: Enter Charter # on INTERIM-CERTIFICATION Worksheet",(_xlfn.CONCAT("CHARTER #: ",'INTERIM-CERTIFICATION'!$M$5)))</f>
        <v>CHARTER #: 1975</v>
      </c>
      <c r="B3" s="1645"/>
      <c r="C3" s="1645"/>
      <c r="D3" s="1415"/>
      <c r="E3" s="1415"/>
      <c r="F3" s="1415"/>
      <c r="G3" s="12"/>
      <c r="H3" s="12"/>
      <c r="I3" s="157"/>
      <c r="J3" s="12"/>
      <c r="K3" s="157"/>
      <c r="L3" s="1"/>
      <c r="M3" s="159"/>
      <c r="N3" s="47"/>
      <c r="O3" s="1206"/>
      <c r="P3" s="1206"/>
      <c r="Q3" s="1206"/>
      <c r="R3" s="1206"/>
      <c r="S3" s="1206"/>
      <c r="T3" s="1206"/>
    </row>
    <row r="4" spans="1:39">
      <c r="B4" s="53"/>
      <c r="C4" s="53"/>
      <c r="D4" s="160" t="str">
        <f>'2nd Interim-ADA'!J4</f>
        <v>Fiscal Year 2022-23 Second Interim Report</v>
      </c>
      <c r="E4" s="160"/>
      <c r="F4" s="160"/>
      <c r="G4" s="53"/>
      <c r="H4" s="53"/>
      <c r="I4" s="53"/>
      <c r="J4" s="53"/>
      <c r="K4" s="53"/>
      <c r="L4" s="53"/>
      <c r="M4" s="53"/>
      <c r="N4" s="1498"/>
      <c r="O4" s="1206"/>
      <c r="P4" s="1206"/>
      <c r="Q4" s="1206"/>
      <c r="R4" s="1206"/>
      <c r="S4" s="1206"/>
      <c r="T4" s="1206"/>
    </row>
    <row r="5" spans="1:39">
      <c r="A5" s="12"/>
      <c r="B5" s="12"/>
      <c r="C5" s="53"/>
      <c r="D5" s="160" t="s">
        <v>212</v>
      </c>
      <c r="E5" s="160"/>
      <c r="F5" s="160"/>
      <c r="G5" s="53"/>
      <c r="H5" s="53"/>
      <c r="I5" s="161"/>
      <c r="J5" s="53"/>
      <c r="K5" s="161"/>
      <c r="L5" s="1"/>
      <c r="M5" s="162"/>
      <c r="N5" s="1499"/>
      <c r="O5" s="1206"/>
      <c r="P5" s="1206"/>
      <c r="Q5" s="1206"/>
      <c r="R5" s="1206"/>
      <c r="S5" s="1206"/>
      <c r="T5" s="1206"/>
    </row>
    <row r="6" spans="1:39" ht="16.5" thickBot="1">
      <c r="A6" s="12"/>
      <c r="B6" s="12"/>
      <c r="C6" s="12"/>
      <c r="D6" s="12"/>
      <c r="E6" s="12"/>
      <c r="F6" s="12"/>
      <c r="G6" s="12"/>
      <c r="H6" s="12"/>
      <c r="I6" s="157"/>
      <c r="J6" s="12"/>
      <c r="K6" s="157"/>
      <c r="L6" s="1"/>
      <c r="M6" s="159"/>
      <c r="N6" s="47"/>
      <c r="O6" s="1206"/>
      <c r="P6" s="1206"/>
      <c r="Q6" s="1206"/>
      <c r="R6" s="1206"/>
      <c r="S6" s="1206"/>
      <c r="T6" s="1206"/>
    </row>
    <row r="7" spans="1:39" ht="16.5" thickTop="1">
      <c r="A7" s="1416"/>
      <c r="B7" s="13"/>
      <c r="C7" s="13"/>
      <c r="D7" s="1417"/>
      <c r="E7" s="1418"/>
      <c r="F7" s="1418" t="s">
        <v>63</v>
      </c>
      <c r="G7" s="1418" t="s">
        <v>164</v>
      </c>
      <c r="H7" s="1418" t="str">
        <f>$G$7</f>
        <v>Second Interim</v>
      </c>
      <c r="I7" s="1419"/>
      <c r="J7" s="1418" t="str">
        <f>$G$7</f>
        <v>Second Interim</v>
      </c>
      <c r="K7" s="1419"/>
      <c r="L7" s="1418" t="str">
        <f>$G$7</f>
        <v>Second Interim</v>
      </c>
      <c r="M7" s="1419"/>
      <c r="N7" s="1500"/>
      <c r="O7" s="1206"/>
      <c r="P7" s="1207"/>
      <c r="Q7" s="3"/>
      <c r="R7" s="3"/>
      <c r="S7" s="3"/>
      <c r="T7" s="3"/>
      <c r="U7" s="1"/>
      <c r="V7" s="1"/>
      <c r="W7" s="1"/>
      <c r="X7" s="1"/>
      <c r="Y7" s="1"/>
      <c r="Z7" s="1"/>
      <c r="AA7" s="1"/>
      <c r="AB7" s="1"/>
      <c r="AC7" s="1"/>
      <c r="AD7" s="1"/>
      <c r="AE7" s="1"/>
      <c r="AF7" s="1"/>
      <c r="AG7" s="1"/>
      <c r="AH7" s="1"/>
      <c r="AI7" s="1"/>
      <c r="AJ7" s="1"/>
      <c r="AK7" s="1"/>
      <c r="AL7" s="1"/>
      <c r="AM7" s="1"/>
    </row>
    <row r="8" spans="1:39">
      <c r="A8" s="1871" t="s">
        <v>21</v>
      </c>
      <c r="B8" s="1704"/>
      <c r="C8" s="1704"/>
      <c r="D8" s="54"/>
      <c r="E8" s="14" t="s">
        <v>17</v>
      </c>
      <c r="F8" s="14" t="s">
        <v>62</v>
      </c>
      <c r="G8" s="214" t="s">
        <v>61</v>
      </c>
      <c r="H8" s="14" t="s">
        <v>19</v>
      </c>
      <c r="I8" s="163" t="s">
        <v>18</v>
      </c>
      <c r="J8" s="14" t="s">
        <v>19</v>
      </c>
      <c r="K8" s="163" t="s">
        <v>18</v>
      </c>
      <c r="L8" s="14" t="s">
        <v>19</v>
      </c>
      <c r="M8" s="163" t="s">
        <v>18</v>
      </c>
      <c r="N8" s="1500"/>
      <c r="O8" s="1206"/>
      <c r="P8" s="1207"/>
      <c r="Q8" s="3"/>
      <c r="R8" s="3"/>
      <c r="S8" s="3"/>
      <c r="T8" s="3"/>
      <c r="U8" s="1"/>
      <c r="V8" s="1"/>
      <c r="W8" s="1"/>
      <c r="X8" s="1"/>
      <c r="Y8" s="1"/>
      <c r="Z8" s="1"/>
      <c r="AA8" s="1"/>
      <c r="AB8" s="1"/>
      <c r="AC8" s="1"/>
      <c r="AD8" s="1"/>
      <c r="AE8" s="1"/>
      <c r="AF8" s="1"/>
      <c r="AG8" s="1"/>
      <c r="AH8" s="1"/>
      <c r="AI8" s="1"/>
      <c r="AJ8" s="1"/>
      <c r="AK8" s="1"/>
      <c r="AL8" s="1"/>
      <c r="AM8" s="1"/>
    </row>
    <row r="9" spans="1:39">
      <c r="A9" s="1420"/>
      <c r="B9" s="1"/>
      <c r="C9" s="1"/>
      <c r="D9" s="54"/>
      <c r="E9" s="14" t="s">
        <v>16</v>
      </c>
      <c r="F9" s="14" t="s">
        <v>16</v>
      </c>
      <c r="G9" s="14" t="str">
        <f>'2nd Interim-Unrestricted MYP'!G9</f>
        <v>thru January 31,</v>
      </c>
      <c r="H9" s="14" t="s">
        <v>16</v>
      </c>
      <c r="I9" s="163" t="s">
        <v>22</v>
      </c>
      <c r="J9" s="14" t="s">
        <v>16</v>
      </c>
      <c r="K9" s="163" t="s">
        <v>22</v>
      </c>
      <c r="L9" s="14" t="s">
        <v>16</v>
      </c>
      <c r="M9" s="163" t="s">
        <v>22</v>
      </c>
      <c r="N9" s="1500"/>
      <c r="O9" s="1206"/>
      <c r="P9" s="1207"/>
      <c r="Q9" s="3"/>
      <c r="R9" s="3"/>
      <c r="S9" s="3"/>
      <c r="T9" s="3"/>
      <c r="U9" s="1"/>
      <c r="V9" s="1"/>
      <c r="W9" s="1"/>
      <c r="X9" s="1"/>
      <c r="Y9" s="1"/>
      <c r="Z9" s="1"/>
      <c r="AA9" s="1"/>
      <c r="AB9" s="1"/>
      <c r="AC9" s="1"/>
      <c r="AD9" s="1"/>
      <c r="AE9" s="1"/>
      <c r="AF9" s="1"/>
      <c r="AG9" s="1"/>
      <c r="AH9" s="1"/>
      <c r="AI9" s="1"/>
      <c r="AJ9" s="1"/>
      <c r="AK9" s="1"/>
      <c r="AL9" s="1"/>
      <c r="AM9" s="1"/>
    </row>
    <row r="10" spans="1:39" ht="16.5" thickBot="1">
      <c r="A10" s="1593" t="str">
        <f>Instructions!H1</f>
        <v>Form Orignated 5/16/2022</v>
      </c>
      <c r="B10" s="164"/>
      <c r="C10" s="164"/>
      <c r="D10" s="55"/>
      <c r="E10" s="208" t="str">
        <f>'Budget-Unrestricted MYP'!F10</f>
        <v>2022-23</v>
      </c>
      <c r="F10" s="15" t="str">
        <f>E10</f>
        <v>2022-23</v>
      </c>
      <c r="G10" s="207">
        <f>'2nd Interim-Unrestricted MYP'!G10</f>
        <v>2023</v>
      </c>
      <c r="H10" s="15" t="str">
        <f>F10</f>
        <v>2022-23</v>
      </c>
      <c r="I10" s="165"/>
      <c r="J10" s="15" t="str">
        <f>'Budget-Unrestricted MYP'!H10</f>
        <v>2023-24</v>
      </c>
      <c r="K10" s="165"/>
      <c r="L10" s="15" t="str">
        <f>'Budget-Unrestricted MYP'!J10</f>
        <v>2024-25</v>
      </c>
      <c r="M10" s="165"/>
      <c r="N10" s="1500"/>
      <c r="O10" s="1206"/>
      <c r="P10" s="1207"/>
      <c r="Q10" s="3"/>
      <c r="R10" s="3"/>
      <c r="S10" s="3"/>
      <c r="T10" s="3"/>
      <c r="U10" s="1"/>
      <c r="V10" s="1"/>
      <c r="W10" s="1"/>
      <c r="X10" s="1"/>
      <c r="Y10" s="1"/>
      <c r="Z10" s="1"/>
      <c r="AA10" s="1"/>
      <c r="AB10" s="1"/>
      <c r="AC10" s="1"/>
      <c r="AD10" s="1"/>
      <c r="AE10" s="1"/>
      <c r="AF10" s="1"/>
      <c r="AG10" s="1"/>
      <c r="AH10" s="1"/>
      <c r="AI10" s="1"/>
      <c r="AJ10" s="1"/>
      <c r="AK10" s="1"/>
      <c r="AL10" s="1"/>
      <c r="AM10" s="1"/>
    </row>
    <row r="11" spans="1:39" ht="16.5" thickTop="1">
      <c r="A11" s="306" t="s">
        <v>1</v>
      </c>
      <c r="B11" s="1"/>
      <c r="C11" s="1"/>
      <c r="D11" s="337"/>
      <c r="E11" s="13"/>
      <c r="F11" s="13"/>
      <c r="G11" s="13"/>
      <c r="H11" s="1421"/>
      <c r="I11" s="1422"/>
      <c r="J11" s="1421"/>
      <c r="K11" s="1422"/>
      <c r="L11" s="1421"/>
      <c r="M11" s="1423"/>
      <c r="N11" s="1501"/>
      <c r="O11" s="1206"/>
      <c r="P11" s="1206"/>
      <c r="Q11" s="1206"/>
      <c r="R11" s="1206"/>
      <c r="S11" s="1206"/>
      <c r="T11" s="1206"/>
    </row>
    <row r="12" spans="1:39">
      <c r="A12" s="306"/>
      <c r="B12" s="147" t="s">
        <v>306</v>
      </c>
      <c r="C12" s="141"/>
      <c r="D12" s="141"/>
      <c r="E12" s="366"/>
      <c r="F12" s="366"/>
      <c r="G12" s="366"/>
      <c r="H12" s="1424"/>
      <c r="I12" s="1425"/>
      <c r="J12" s="1424"/>
      <c r="K12" s="1425"/>
      <c r="L12" s="1424"/>
      <c r="M12" s="1426"/>
      <c r="N12" s="1501"/>
      <c r="O12" s="1206"/>
      <c r="P12" s="1206"/>
      <c r="Q12" s="1206"/>
      <c r="R12" s="1206"/>
      <c r="S12" s="1206"/>
      <c r="T12" s="1206"/>
    </row>
    <row r="13" spans="1:39">
      <c r="A13" s="306"/>
      <c r="B13" s="147"/>
      <c r="C13" s="280" t="s">
        <v>155</v>
      </c>
      <c r="D13" s="346">
        <v>8011</v>
      </c>
      <c r="E13" s="1427">
        <f>'2nd Interim-Unrestricted MYP'!E13+'2nd Interim-Restricted MYP'!E13</f>
        <v>8090636.0600000005</v>
      </c>
      <c r="F13" s="1427">
        <f>'2nd Interim-Unrestricted MYP'!F13+'2nd Interim-Restricted MYP'!F13</f>
        <v>5166835</v>
      </c>
      <c r="G13" s="1427">
        <f>'2nd Interim-Unrestricted MYP'!G13+'2nd Interim-Restricted MYP'!G13</f>
        <v>0</v>
      </c>
      <c r="H13" s="1428">
        <f>'2nd Interim-Unrestricted MYP'!H13+'2nd Interim-Restricted MYP'!H13</f>
        <v>0</v>
      </c>
      <c r="I13" s="1429" t="str">
        <f>IF(E13&lt;1," ",IF(H13&lt;1," ",(H13-E13)/E13))</f>
        <v xml:space="preserve"> </v>
      </c>
      <c r="J13" s="1176">
        <f>'2nd Interim-Unrestricted MYP'!J13+'2nd Interim-Restricted MYP'!J13</f>
        <v>0</v>
      </c>
      <c r="K13" s="1429" t="str">
        <f>IF(H13&lt;1," ",IF(J13&lt;1," ",(J13-H13)/H13))</f>
        <v xml:space="preserve"> </v>
      </c>
      <c r="L13" s="1176">
        <f>'2nd Interim-Unrestricted MYP'!L13+'2nd Interim-Restricted MYP'!L13</f>
        <v>0</v>
      </c>
      <c r="M13" s="1430" t="str">
        <f>IF(J13&lt;1," ",IF(L13&lt;1," ",(L13-J13)/J13))</f>
        <v xml:space="preserve"> </v>
      </c>
      <c r="N13" s="1501"/>
      <c r="O13" s="1206"/>
      <c r="P13" s="1206"/>
      <c r="Q13" s="1206"/>
      <c r="R13" s="1206"/>
      <c r="S13" s="1206"/>
      <c r="T13" s="1206"/>
    </row>
    <row r="14" spans="1:39">
      <c r="A14" s="306"/>
      <c r="B14" s="147"/>
      <c r="C14" s="280" t="s">
        <v>156</v>
      </c>
      <c r="D14" s="346">
        <v>8012</v>
      </c>
      <c r="E14" s="1427">
        <f>'2nd Interim-Unrestricted MYP'!E14+'2nd Interim-Restricted MYP'!E14</f>
        <v>157400</v>
      </c>
      <c r="F14" s="1427">
        <f>'2nd Interim-Unrestricted MYP'!F14+'2nd Interim-Restricted MYP'!F14</f>
        <v>102000</v>
      </c>
      <c r="G14" s="1427">
        <f>'2nd Interim-Unrestricted MYP'!G14+'2nd Interim-Restricted MYP'!G14</f>
        <v>0</v>
      </c>
      <c r="H14" s="1428">
        <f>'2nd Interim-Unrestricted MYP'!H14+'2nd Interim-Restricted MYP'!H14</f>
        <v>0</v>
      </c>
      <c r="I14" s="1429" t="str">
        <f>IF(E14&lt;1," ",IF(H14&lt;1," ",(H14-E14)/E14))</f>
        <v xml:space="preserve"> </v>
      </c>
      <c r="J14" s="1176">
        <f>'2nd Interim-Unrestricted MYP'!J14+'2nd Interim-Restricted MYP'!J14</f>
        <v>0</v>
      </c>
      <c r="K14" s="1429" t="str">
        <f>IF(H14&lt;1," ",IF(J14&lt;1," ",(J14-H14)/H14))</f>
        <v xml:space="preserve"> </v>
      </c>
      <c r="L14" s="1184">
        <f>'2nd Interim-Unrestricted MYP'!L14+'2nd Interim-Restricted MYP'!L14</f>
        <v>0</v>
      </c>
      <c r="M14" s="1430" t="str">
        <f>IF(J14&lt;1," ",IF(L14&lt;1," ",(L14-J14)/J14))</f>
        <v xml:space="preserve"> </v>
      </c>
      <c r="N14" s="1501"/>
      <c r="O14" s="1206"/>
      <c r="P14" s="1206"/>
      <c r="Q14" s="1206"/>
      <c r="R14" s="1206"/>
      <c r="S14" s="1206"/>
      <c r="T14" s="1206"/>
    </row>
    <row r="15" spans="1:39">
      <c r="A15" s="68"/>
      <c r="B15" s="147"/>
      <c r="C15" s="280" t="s">
        <v>304</v>
      </c>
      <c r="D15" s="346">
        <v>8019</v>
      </c>
      <c r="E15" s="1427">
        <f>'2nd Interim-Unrestricted MYP'!E15+'2nd Interim-Restricted MYP'!E15</f>
        <v>0</v>
      </c>
      <c r="F15" s="1427">
        <f>'2nd Interim-Unrestricted MYP'!F15+'2nd Interim-Restricted MYP'!F15</f>
        <v>0</v>
      </c>
      <c r="G15" s="1427">
        <f>'2nd Interim-Unrestricted MYP'!G15+'2nd Interim-Restricted MYP'!G15</f>
        <v>0</v>
      </c>
      <c r="H15" s="1428">
        <f>'2nd Interim-Unrestricted MYP'!H15+'2nd Interim-Restricted MYP'!H15</f>
        <v>0</v>
      </c>
      <c r="I15" s="1429" t="str">
        <f>IF(E15&lt;1," ",IF(H15&lt;1," ",(H15-E15)/E15))</f>
        <v xml:space="preserve"> </v>
      </c>
      <c r="J15" s="1176">
        <f>'2nd Interim-Unrestricted MYP'!J15+'2nd Interim-Restricted MYP'!J15</f>
        <v>0</v>
      </c>
      <c r="K15" s="1429" t="str">
        <f>IF(H15&lt;1," ",IF(J15&lt;1," ",(J15-H15)/H15))</f>
        <v xml:space="preserve"> </v>
      </c>
      <c r="L15" s="1184">
        <f>'2nd Interim-Unrestricted MYP'!L15+'2nd Interim-Restricted MYP'!L15</f>
        <v>0</v>
      </c>
      <c r="M15" s="1430" t="str">
        <f>IF(J15&lt;1," ",IF(L15&lt;1," ",(L15-J15)/J15))</f>
        <v xml:space="preserve"> </v>
      </c>
      <c r="N15" s="1501"/>
      <c r="O15" s="1206"/>
      <c r="P15" s="1206"/>
      <c r="Q15" s="1206"/>
      <c r="R15" s="1206"/>
      <c r="S15" s="1206"/>
      <c r="T15" s="1206"/>
    </row>
    <row r="16" spans="1:39">
      <c r="A16" s="68"/>
      <c r="B16" s="147"/>
      <c r="C16" s="280" t="s">
        <v>305</v>
      </c>
      <c r="D16" s="346">
        <v>8096</v>
      </c>
      <c r="E16" s="1427">
        <f>'2nd Interim-Unrestricted MYP'!E16+'2nd Interim-Restricted MYP'!E16</f>
        <v>204132</v>
      </c>
      <c r="F16" s="1427">
        <f>'2nd Interim-Unrestricted MYP'!F16+'2nd Interim-Restricted MYP'!F16</f>
        <v>132283.79999999999</v>
      </c>
      <c r="G16" s="1427">
        <f>'2nd Interim-Unrestricted MYP'!G16+'2nd Interim-Restricted MYP'!G16</f>
        <v>0</v>
      </c>
      <c r="H16" s="1428">
        <f>'2nd Interim-Unrestricted MYP'!H16+'2nd Interim-Restricted MYP'!H16</f>
        <v>0</v>
      </c>
      <c r="I16" s="1429" t="str">
        <f>IF(E16&lt;1," ",IF(H16&lt;1," ",(H16-E16)/E16))</f>
        <v xml:space="preserve"> </v>
      </c>
      <c r="J16" s="1184">
        <f>'2nd Interim-Unrestricted MYP'!J16+'2nd Interim-Restricted MYP'!J16</f>
        <v>0</v>
      </c>
      <c r="K16" s="1329" t="str">
        <f>IF(H16&lt;1," ",IF(J16&lt;1," ",(J16-H16)/H16))</f>
        <v xml:space="preserve"> </v>
      </c>
      <c r="L16" s="1184">
        <f>'2nd Interim-Unrestricted MYP'!L16+'2nd Interim-Restricted MYP'!L16</f>
        <v>0</v>
      </c>
      <c r="M16" s="1330" t="str">
        <f>IF(J16&lt;1," ",IF(L16&lt;1," ",(L16-J16)/J16))</f>
        <v xml:space="preserve"> </v>
      </c>
      <c r="N16" s="1502"/>
      <c r="O16" s="1206"/>
      <c r="P16" s="1206"/>
      <c r="Q16" s="1206"/>
      <c r="R16" s="1206"/>
      <c r="S16" s="1206"/>
      <c r="T16" s="1206"/>
    </row>
    <row r="17" spans="1:20">
      <c r="A17" s="68"/>
      <c r="B17" s="147" t="s">
        <v>307</v>
      </c>
      <c r="C17" s="280"/>
      <c r="D17" s="346" t="s">
        <v>99</v>
      </c>
      <c r="E17" s="1427">
        <f>'2nd Interim-Unrestricted MYP'!E17+'2nd Interim-Restricted MYP'!E17</f>
        <v>534875</v>
      </c>
      <c r="F17" s="1427">
        <f>'2nd Interim-Unrestricted MYP'!F17+'2nd Interim-Restricted MYP'!F17</f>
        <v>534875</v>
      </c>
      <c r="G17" s="1427">
        <f>'2nd Interim-Unrestricted MYP'!G17+'2nd Interim-Restricted MYP'!G17</f>
        <v>0</v>
      </c>
      <c r="H17" s="1428">
        <f>'2nd Interim-Unrestricted MYP'!H17+'2nd Interim-Restricted MYP'!H17</f>
        <v>0</v>
      </c>
      <c r="I17" s="1429" t="str">
        <f>IF(E17&lt;1," ",IF(H17&lt;1," ",(H17-E17)/E17))</f>
        <v xml:space="preserve"> </v>
      </c>
      <c r="J17" s="1427">
        <f>'2nd Interim-Unrestricted MYP'!J17+'2nd Interim-Restricted MYP'!J17</f>
        <v>0</v>
      </c>
      <c r="K17" s="1329" t="str">
        <f>IF(H17&lt;1," ",IF(J17&lt;1," ",(J17-H17)/H17))</f>
        <v xml:space="preserve"> </v>
      </c>
      <c r="L17" s="1427">
        <f>'2nd Interim-Unrestricted MYP'!L17+'2nd Interim-Restricted MYP'!L17</f>
        <v>0</v>
      </c>
      <c r="M17" s="1330" t="str">
        <f>IF(J17&lt;1," ",IF(L17&lt;1," ",(L17-J17)/J17))</f>
        <v xml:space="preserve"> </v>
      </c>
      <c r="N17" s="1502"/>
      <c r="O17" s="1206"/>
      <c r="P17" s="1206"/>
      <c r="Q17" s="1206"/>
      <c r="R17" s="1206"/>
      <c r="S17" s="1206"/>
      <c r="T17" s="1206"/>
    </row>
    <row r="18" spans="1:20">
      <c r="A18" s="68"/>
      <c r="B18" s="147" t="s">
        <v>308</v>
      </c>
      <c r="C18" s="141"/>
      <c r="D18" s="141"/>
      <c r="E18" s="1193"/>
      <c r="F18" s="1193"/>
      <c r="G18" s="1193"/>
      <c r="H18" s="1431"/>
      <c r="I18" s="1432"/>
      <c r="J18" s="1193"/>
      <c r="K18" s="1432"/>
      <c r="L18" s="1193"/>
      <c r="M18" s="1433"/>
      <c r="N18" s="1502"/>
      <c r="O18" s="1206"/>
      <c r="P18" s="1206"/>
      <c r="Q18" s="1206"/>
      <c r="R18" s="1206"/>
      <c r="S18" s="1206"/>
      <c r="T18" s="1206"/>
    </row>
    <row r="19" spans="1:20">
      <c r="A19" s="68"/>
      <c r="B19" s="147"/>
      <c r="C19" s="280" t="s">
        <v>309</v>
      </c>
      <c r="D19" s="346">
        <v>8560</v>
      </c>
      <c r="E19" s="1427">
        <f>'2nd Interim-Unrestricted MYP'!E19+'2nd Interim-Restricted MYP'!E19</f>
        <v>133984.37325999999</v>
      </c>
      <c r="F19" s="1427">
        <f>'2nd Interim-Unrestricted MYP'!F19+'2nd Interim-Restricted MYP'!F19</f>
        <v>86825.959800000011</v>
      </c>
      <c r="G19" s="1427">
        <f>'2nd Interim-Unrestricted MYP'!G19+'2nd Interim-Restricted MYP'!G19</f>
        <v>0</v>
      </c>
      <c r="H19" s="1428" t="e">
        <f>'2nd Interim-Unrestricted MYP'!H19+'2nd Interim-Restricted MYP'!H19</f>
        <v>#VALUE!</v>
      </c>
      <c r="I19" s="1429" t="e">
        <f>IF(E19&lt;1," ",IF(H19&lt;1," ",(H19-E19)/E19))</f>
        <v>#VALUE!</v>
      </c>
      <c r="J19" s="1434" t="e">
        <f>'2nd Interim-Unrestricted MYP'!J19+'2nd Interim-Restricted MYP'!J19</f>
        <v>#VALUE!</v>
      </c>
      <c r="K19" s="1329" t="e">
        <f>IF(H19&lt;1," ",IF(J19&lt;1," ",(J19-H19)/H19))</f>
        <v>#VALUE!</v>
      </c>
      <c r="L19" s="1184" t="e">
        <f>'2nd Interim-Unrestricted MYP'!L19+'2nd Interim-Restricted MYP'!L19</f>
        <v>#VALUE!</v>
      </c>
      <c r="M19" s="1330" t="e">
        <f>IF(J19&lt;1," ",IF(L19&lt;1," ",(L19-J19)/J19))</f>
        <v>#VALUE!</v>
      </c>
      <c r="N19" s="1502"/>
      <c r="O19" s="1206"/>
      <c r="P19" s="1206"/>
      <c r="Q19" s="1206"/>
      <c r="R19" s="1206"/>
      <c r="S19" s="1206"/>
      <c r="T19" s="1206"/>
    </row>
    <row r="20" spans="1:20">
      <c r="A20" s="68"/>
      <c r="B20" s="147"/>
      <c r="C20" s="280" t="s">
        <v>310</v>
      </c>
      <c r="D20" s="346">
        <v>8560</v>
      </c>
      <c r="E20" s="1435">
        <f>'2nd Interim-Unrestricted MYP'!E20+'2nd Interim-Restricted MYP'!E20</f>
        <v>0</v>
      </c>
      <c r="F20" s="1435">
        <f>'2nd Interim-Unrestricted MYP'!F20+'2nd Interim-Restricted MYP'!F20</f>
        <v>0</v>
      </c>
      <c r="G20" s="1435">
        <f>'2nd Interim-Unrestricted MYP'!G20+'2nd Interim-Restricted MYP'!G20</f>
        <v>0</v>
      </c>
      <c r="H20" s="1428" t="e">
        <f>'2nd Interim-Unrestricted MYP'!H20+'2nd Interim-Restricted MYP'!H20</f>
        <v>#VALUE!</v>
      </c>
      <c r="I20" s="1329" t="str">
        <f>IF(E20&lt;1," ",IF(H20&lt;1," ",(H20-E20)/E20))</f>
        <v xml:space="preserve"> </v>
      </c>
      <c r="J20" s="1434" t="e">
        <f>'2nd Interim-Unrestricted MYP'!J20+'2nd Interim-Restricted MYP'!J20</f>
        <v>#VALUE!</v>
      </c>
      <c r="K20" s="1329" t="e">
        <f>IF(H20&lt;1," ",IF(J20&lt;1," ",(J20-H20)/H20))</f>
        <v>#VALUE!</v>
      </c>
      <c r="L20" s="1184" t="e">
        <f>'2nd Interim-Unrestricted MYP'!L20+'2nd Interim-Restricted MYP'!L20</f>
        <v>#VALUE!</v>
      </c>
      <c r="M20" s="1330" t="e">
        <f>IF(J20&lt;1," ",IF(L20&lt;1," ",(L20-J20)/J20))</f>
        <v>#VALUE!</v>
      </c>
      <c r="N20" s="1502"/>
      <c r="O20" s="1206"/>
      <c r="P20" s="1206"/>
      <c r="Q20" s="1206"/>
      <c r="R20" s="1206"/>
      <c r="S20" s="1206"/>
      <c r="T20" s="1206"/>
    </row>
    <row r="21" spans="1:20">
      <c r="A21" s="68"/>
      <c r="B21" s="147"/>
      <c r="C21" s="280" t="s">
        <v>311</v>
      </c>
      <c r="D21" s="346" t="s">
        <v>100</v>
      </c>
      <c r="E21" s="1427">
        <f>'2nd Interim-Unrestricted MYP'!E21+'2nd Interim-Restricted MYP'!E21</f>
        <v>0</v>
      </c>
      <c r="F21" s="1427">
        <f>'2nd Interim-Unrestricted MYP'!F21+'2nd Interim-Restricted MYP'!F21</f>
        <v>0</v>
      </c>
      <c r="G21" s="1427">
        <f>'2nd Interim-Unrestricted MYP'!G21+'2nd Interim-Restricted MYP'!G21</f>
        <v>0</v>
      </c>
      <c r="H21" s="1428">
        <f>'2nd Interim-Unrestricted MYP'!H21+'2nd Interim-Restricted MYP'!H21</f>
        <v>0</v>
      </c>
      <c r="I21" s="1429" t="str">
        <f>IF(E21&lt;1," ",IF(H21&lt;1," ",(H21-E21)/E21))</f>
        <v xml:space="preserve"> </v>
      </c>
      <c r="J21" s="1176">
        <f>'2nd Interim-Unrestricted MYP'!J21+'2nd Interim-Restricted MYP'!J21</f>
        <v>0</v>
      </c>
      <c r="K21" s="1329" t="str">
        <f>IF(H21&lt;1," ",IF(J21&lt;1," ",(J21-H21)/H21))</f>
        <v xml:space="preserve"> </v>
      </c>
      <c r="L21" s="1184">
        <f>'2nd Interim-Unrestricted MYP'!L21+'2nd Interim-Restricted MYP'!L21</f>
        <v>0</v>
      </c>
      <c r="M21" s="1330" t="str">
        <f>IF(J21&lt;1," ",IF(L21&lt;1," ",(L21-J21)/J21))</f>
        <v xml:space="preserve"> </v>
      </c>
      <c r="N21" s="1502"/>
      <c r="O21" s="1206"/>
      <c r="P21" s="1206"/>
      <c r="Q21" s="1206"/>
      <c r="R21" s="1206"/>
      <c r="S21" s="1206"/>
      <c r="T21" s="1206"/>
    </row>
    <row r="22" spans="1:20">
      <c r="A22" s="68"/>
      <c r="B22" s="147" t="s">
        <v>312</v>
      </c>
      <c r="C22" s="141"/>
      <c r="D22" s="141"/>
      <c r="E22" s="1193"/>
      <c r="F22" s="1193"/>
      <c r="G22" s="1193"/>
      <c r="H22" s="1431"/>
      <c r="I22" s="1432"/>
      <c r="J22" s="1193"/>
      <c r="K22" s="1432"/>
      <c r="L22" s="1193"/>
      <c r="M22" s="1433"/>
      <c r="N22" s="1502"/>
      <c r="O22" s="1206"/>
      <c r="P22" s="1206"/>
      <c r="Q22" s="1206"/>
      <c r="R22" s="1206"/>
      <c r="S22" s="1206"/>
      <c r="T22" s="1206"/>
    </row>
    <row r="23" spans="1:20">
      <c r="A23" s="68"/>
      <c r="B23" s="147"/>
      <c r="C23" s="280" t="s">
        <v>239</v>
      </c>
      <c r="D23" s="346">
        <v>8660</v>
      </c>
      <c r="E23" s="1427">
        <f>'2nd Interim-Unrestricted MYP'!E23+'2nd Interim-Restricted MYP'!E23</f>
        <v>0</v>
      </c>
      <c r="F23" s="1427">
        <f>'2nd Interim-Unrestricted MYP'!F23+'2nd Interim-Restricted MYP'!F23</f>
        <v>0</v>
      </c>
      <c r="G23" s="1427">
        <f>'2nd Interim-Unrestricted MYP'!G23+'2nd Interim-Restricted MYP'!G23</f>
        <v>0</v>
      </c>
      <c r="H23" s="1428">
        <f>'2nd Interim-Unrestricted MYP'!H23+'2nd Interim-Restricted MYP'!H23</f>
        <v>0</v>
      </c>
      <c r="I23" s="1429" t="str">
        <f>IF(E23&lt;1," ",IF(H23&lt;1," ",(H23-E23)/E23))</f>
        <v xml:space="preserve"> </v>
      </c>
      <c r="J23" s="1176">
        <f>'2nd Interim-Unrestricted MYP'!J23+'2nd Interim-Restricted MYP'!J23</f>
        <v>0</v>
      </c>
      <c r="K23" s="1329" t="str">
        <f>IF(H23&lt;1," ",IF(J23&lt;1," ",(J23-H23)/H23))</f>
        <v xml:space="preserve"> </v>
      </c>
      <c r="L23" s="1184">
        <f>'2nd Interim-Unrestricted MYP'!L23+'2nd Interim-Restricted MYP'!L23</f>
        <v>0</v>
      </c>
      <c r="M23" s="1330" t="str">
        <f>IF(J23&lt;1," ",IF(L23&lt;1," ",(L23-J23)/J23))</f>
        <v xml:space="preserve"> </v>
      </c>
      <c r="N23" s="1502"/>
      <c r="O23" s="1206"/>
      <c r="P23" s="1206"/>
      <c r="Q23" s="1206"/>
      <c r="R23" s="1206"/>
      <c r="S23" s="1206"/>
      <c r="T23" s="1206"/>
    </row>
    <row r="24" spans="1:20">
      <c r="A24" s="68"/>
      <c r="B24" s="147"/>
      <c r="C24" s="280" t="s">
        <v>313</v>
      </c>
      <c r="D24" s="346">
        <v>8792</v>
      </c>
      <c r="E24" s="1427">
        <f>'2nd Interim-Unrestricted MYP'!E24+'2nd Interim-Restricted MYP'!E24</f>
        <v>645340</v>
      </c>
      <c r="F24" s="1427">
        <f>'2nd Interim-Unrestricted MYP'!F24+'2nd Interim-Restricted MYP'!F24</f>
        <v>418200.00000000006</v>
      </c>
      <c r="G24" s="1427">
        <f>'2nd Interim-Unrestricted MYP'!G24+'2nd Interim-Restricted MYP'!G24</f>
        <v>0</v>
      </c>
      <c r="H24" s="1436">
        <f>'2nd Interim-Unrestricted MYP'!H24+'2nd Interim-Restricted MYP'!H24</f>
        <v>0</v>
      </c>
      <c r="I24" s="1329" t="str">
        <f>IF(E24&lt;1," ",IF(H24&lt;1," ",(H24-E24)/E24))</f>
        <v xml:space="preserve"> </v>
      </c>
      <c r="J24" s="1176">
        <f>'2nd Interim-Unrestricted MYP'!J24+'2nd Interim-Restricted MYP'!J24</f>
        <v>0</v>
      </c>
      <c r="K24" s="1329" t="str">
        <f>IF(H24&lt;1," ",IF(J24&lt;1," ",(J24-H24)/H24))</f>
        <v xml:space="preserve"> </v>
      </c>
      <c r="L24" s="1184">
        <f>'2nd Interim-Unrestricted MYP'!L24+'2nd Interim-Restricted MYP'!L24</f>
        <v>0</v>
      </c>
      <c r="M24" s="1330" t="str">
        <f>IF(J24&lt;1," ",IF(L24&lt;1," ",(L24-J24)/J24))</f>
        <v xml:space="preserve"> </v>
      </c>
      <c r="N24" s="1502"/>
      <c r="O24" s="1206"/>
      <c r="P24" s="1206"/>
      <c r="Q24" s="1206"/>
      <c r="R24" s="1206"/>
      <c r="S24" s="1206"/>
      <c r="T24" s="1206"/>
    </row>
    <row r="25" spans="1:20" ht="16.5" thickBot="1">
      <c r="A25" s="68"/>
      <c r="B25" s="899"/>
      <c r="C25" s="932" t="s">
        <v>314</v>
      </c>
      <c r="D25" s="933" t="s">
        <v>101</v>
      </c>
      <c r="E25" s="1437">
        <f>'2nd Interim-Unrestricted MYP'!E25+'2nd Interim-Restricted MYP'!E25</f>
        <v>0</v>
      </c>
      <c r="F25" s="1185">
        <f>'2nd Interim-Unrestricted MYP'!F25+'2nd Interim-Restricted MYP'!F25</f>
        <v>0</v>
      </c>
      <c r="G25" s="1438">
        <f>'2nd Interim-Unrestricted MYP'!G25+'2nd Interim-Restricted MYP'!G25</f>
        <v>0</v>
      </c>
      <c r="H25" s="1439">
        <f>'2nd Interim-Unrestricted MYP'!H25+'2nd Interim-Restricted MYP'!H25</f>
        <v>0</v>
      </c>
      <c r="I25" s="1440" t="str">
        <f>IF(E25&lt;1," ",IF(H25&lt;1," ",(H25-E25)/E25))</f>
        <v xml:space="preserve"> </v>
      </c>
      <c r="J25" s="1437">
        <f>'2nd Interim-Unrestricted MYP'!J25+'2nd Interim-Restricted MYP'!J25</f>
        <v>0</v>
      </c>
      <c r="K25" s="1316" t="str">
        <f>IF(H25&lt;1," ",IF(J25&lt;1," ",(J25-H25)/H25))</f>
        <v xml:space="preserve"> </v>
      </c>
      <c r="L25" s="1437">
        <f>'2nd Interim-Unrestricted MYP'!L25+'2nd Interim-Restricted MYP'!L25</f>
        <v>0</v>
      </c>
      <c r="M25" s="1317" t="str">
        <f>IF(J25&lt;1," ",IF(L25&lt;1," ",(L25-J25)/J25))</f>
        <v xml:space="preserve"> </v>
      </c>
      <c r="N25" s="1502"/>
      <c r="O25" s="1206"/>
      <c r="P25" s="1206"/>
      <c r="Q25" s="1206"/>
      <c r="R25" s="1206"/>
      <c r="S25" s="1206"/>
      <c r="T25" s="1206"/>
    </row>
    <row r="26" spans="1:20" ht="17.25" thickTop="1" thickBot="1">
      <c r="A26" s="68"/>
      <c r="B26" s="912" t="s">
        <v>315</v>
      </c>
      <c r="C26" s="957"/>
      <c r="D26" s="931"/>
      <c r="E26" s="1441">
        <f>SUM(E13:E25)</f>
        <v>9766367.4332600012</v>
      </c>
      <c r="F26" s="1441">
        <f>SUM(F13:F25)</f>
        <v>6441019.7598000001</v>
      </c>
      <c r="G26" s="1441">
        <f>SUM(G13:G25)</f>
        <v>0</v>
      </c>
      <c r="H26" s="1441" t="e">
        <f>SUM(H13:H25)</f>
        <v>#VALUE!</v>
      </c>
      <c r="I26" s="1442" t="e">
        <f>IF(E26&lt;1," ",IF(H26&lt;1," ",(H26-E26)/E26))</f>
        <v>#VALUE!</v>
      </c>
      <c r="J26" s="1441" t="e">
        <f>SUM(J13:J25)</f>
        <v>#VALUE!</v>
      </c>
      <c r="K26" s="1442" t="e">
        <f>IF(H26&lt;1," ",IF(J26&lt;1," ",(J26-H26)/H26))</f>
        <v>#VALUE!</v>
      </c>
      <c r="L26" s="1441" t="e">
        <f>SUM(L13:L25)</f>
        <v>#VALUE!</v>
      </c>
      <c r="M26" s="1443" t="e">
        <f>IF(J26&lt;1," ",IF(L26&lt;1," ",(L26-J26)/J26))</f>
        <v>#VALUE!</v>
      </c>
      <c r="N26" s="1502"/>
      <c r="O26" s="1206"/>
      <c r="P26" s="1206"/>
      <c r="Q26" s="1206"/>
      <c r="R26" s="1206"/>
      <c r="S26" s="1206"/>
      <c r="T26" s="1206"/>
    </row>
    <row r="27" spans="1:20" ht="16.5" thickTop="1">
      <c r="A27" s="68"/>
      <c r="B27" s="1"/>
      <c r="C27" s="1"/>
      <c r="D27" s="1"/>
      <c r="E27" s="1166"/>
      <c r="F27" s="1166"/>
      <c r="G27" s="1166"/>
      <c r="H27" s="1444"/>
      <c r="I27" s="1445"/>
      <c r="J27" s="1444"/>
      <c r="K27" s="1445"/>
      <c r="L27" s="1444"/>
      <c r="M27" s="1446"/>
      <c r="N27" s="1503"/>
      <c r="O27" s="1206"/>
      <c r="P27" s="1206"/>
      <c r="Q27" s="1206"/>
      <c r="R27" s="1206"/>
      <c r="S27" s="1206"/>
      <c r="T27" s="1206"/>
    </row>
    <row r="28" spans="1:20">
      <c r="A28" s="1746" t="s">
        <v>3</v>
      </c>
      <c r="B28" s="1747"/>
      <c r="C28" s="1747"/>
      <c r="D28" s="155"/>
      <c r="E28" s="1447"/>
      <c r="F28" s="1447"/>
      <c r="G28" s="1447"/>
      <c r="H28" s="1448"/>
      <c r="I28" s="1449"/>
      <c r="J28" s="1448"/>
      <c r="K28" s="1449"/>
      <c r="L28" s="1448"/>
      <c r="M28" s="1450"/>
      <c r="N28" s="1503"/>
      <c r="O28" s="1206"/>
      <c r="P28" s="1206"/>
      <c r="Q28" s="1206"/>
      <c r="R28" s="1206"/>
      <c r="S28" s="1206"/>
      <c r="T28" s="1206"/>
    </row>
    <row r="29" spans="1:20">
      <c r="A29" s="68"/>
      <c r="B29" s="147" t="s">
        <v>4</v>
      </c>
      <c r="C29" s="280"/>
      <c r="D29" s="279" t="s">
        <v>102</v>
      </c>
      <c r="E29" s="1427">
        <f>'2nd Interim-Unrestricted MYP'!E29+'2nd Interim-Restricted MYP'!E29</f>
        <v>3817928</v>
      </c>
      <c r="F29" s="1427">
        <f>'2nd Interim-Unrestricted MYP'!F29+'2nd Interim-Restricted MYP'!F29</f>
        <v>2995169.0633333335</v>
      </c>
      <c r="G29" s="1427">
        <f>'2nd Interim-Unrestricted MYP'!G29+'2nd Interim-Restricted MYP'!G29</f>
        <v>0</v>
      </c>
      <c r="H29" s="1436">
        <f>'2nd Interim-Unrestricted MYP'!H29+'2nd Interim-Restricted MYP'!H29</f>
        <v>0</v>
      </c>
      <c r="I29" s="1329" t="str">
        <f t="shared" ref="I29:I37" si="0">IF(E29&lt;1," ",IF(H29&lt;1," ",(H29-E29)/E29))</f>
        <v xml:space="preserve"> </v>
      </c>
      <c r="J29" s="1184">
        <f>'2nd Interim-Unrestricted MYP'!J29+'2nd Interim-Restricted MYP'!J29</f>
        <v>0</v>
      </c>
      <c r="K29" s="1329" t="str">
        <f t="shared" ref="K29:K37" si="1">IF(H29&lt;1," ",IF(J29&lt;1," ",(J29-H29)/H29))</f>
        <v xml:space="preserve"> </v>
      </c>
      <c r="L29" s="1184">
        <f>'2nd Interim-Unrestricted MYP'!L29+'2nd Interim-Restricted MYP'!L29</f>
        <v>0</v>
      </c>
      <c r="M29" s="1330" t="str">
        <f t="shared" ref="M29:M37" si="2">IF(J29&lt;1," ",IF(L29&lt;1," ",(L29-J29)/J29))</f>
        <v xml:space="preserve"> </v>
      </c>
      <c r="N29" s="1502"/>
      <c r="O29" s="1206"/>
      <c r="P29" s="1206"/>
      <c r="Q29" s="1206"/>
      <c r="R29" s="1206"/>
      <c r="S29" s="1206"/>
      <c r="T29" s="1206"/>
    </row>
    <row r="30" spans="1:20">
      <c r="A30" s="68"/>
      <c r="B30" s="147" t="s">
        <v>23</v>
      </c>
      <c r="C30" s="280"/>
      <c r="D30" s="279" t="s">
        <v>103</v>
      </c>
      <c r="E30" s="1427">
        <f>'2nd Interim-Unrestricted MYP'!E30+'2nd Interim-Restricted MYP'!E30</f>
        <v>136650.5</v>
      </c>
      <c r="F30" s="1427">
        <f>'2nd Interim-Unrestricted MYP'!F30+'2nd Interim-Restricted MYP'!F30</f>
        <v>111193.33333333334</v>
      </c>
      <c r="G30" s="1427">
        <f>'2nd Interim-Unrestricted MYP'!G30+'2nd Interim-Restricted MYP'!G30</f>
        <v>0</v>
      </c>
      <c r="H30" s="1436">
        <f>'2nd Interim-Unrestricted MYP'!H30+'2nd Interim-Restricted MYP'!H30</f>
        <v>0</v>
      </c>
      <c r="I30" s="1329" t="str">
        <f t="shared" si="0"/>
        <v xml:space="preserve"> </v>
      </c>
      <c r="J30" s="1184">
        <f>'2nd Interim-Unrestricted MYP'!J30+'2nd Interim-Restricted MYP'!J30</f>
        <v>0</v>
      </c>
      <c r="K30" s="1329" t="str">
        <f t="shared" si="1"/>
        <v xml:space="preserve"> </v>
      </c>
      <c r="L30" s="1184">
        <f>'2nd Interim-Unrestricted MYP'!L30+'2nd Interim-Restricted MYP'!L30</f>
        <v>0</v>
      </c>
      <c r="M30" s="1330" t="str">
        <f t="shared" si="2"/>
        <v xml:space="preserve"> </v>
      </c>
      <c r="N30" s="1502"/>
      <c r="O30" s="1206"/>
      <c r="P30" s="1206"/>
      <c r="Q30" s="1206"/>
      <c r="R30" s="1206"/>
      <c r="S30" s="1206"/>
      <c r="T30" s="1206"/>
    </row>
    <row r="31" spans="1:20">
      <c r="A31" s="68"/>
      <c r="B31" s="147" t="s">
        <v>24</v>
      </c>
      <c r="C31" s="280"/>
      <c r="D31" s="279" t="s">
        <v>104</v>
      </c>
      <c r="E31" s="1427">
        <f>'2nd Interim-Unrestricted MYP'!E31+'2nd Interim-Restricted MYP'!E31</f>
        <v>1164436.7564999999</v>
      </c>
      <c r="F31" s="1427">
        <f>'2nd Interim-Unrestricted MYP'!F31+'2nd Interim-Restricted MYP'!F31</f>
        <v>777097.86015245505</v>
      </c>
      <c r="G31" s="1427">
        <f>'2nd Interim-Unrestricted MYP'!G31+'2nd Interim-Restricted MYP'!G31</f>
        <v>0</v>
      </c>
      <c r="H31" s="1436">
        <f>'2nd Interim-Unrestricted MYP'!H31+'2nd Interim-Restricted MYP'!H31</f>
        <v>0</v>
      </c>
      <c r="I31" s="1329" t="str">
        <f t="shared" si="0"/>
        <v xml:space="preserve"> </v>
      </c>
      <c r="J31" s="1184">
        <f>'2nd Interim-Unrestricted MYP'!J31+'2nd Interim-Restricted MYP'!J31</f>
        <v>0</v>
      </c>
      <c r="K31" s="1329" t="str">
        <f t="shared" si="1"/>
        <v xml:space="preserve"> </v>
      </c>
      <c r="L31" s="1184">
        <f>'2nd Interim-Unrestricted MYP'!L31+'2nd Interim-Restricted MYP'!L31</f>
        <v>0</v>
      </c>
      <c r="M31" s="1330" t="str">
        <f t="shared" si="2"/>
        <v xml:space="preserve"> </v>
      </c>
      <c r="N31" s="1502"/>
      <c r="O31" s="1206"/>
      <c r="P31" s="1206"/>
      <c r="Q31" s="1206"/>
      <c r="R31" s="1206"/>
      <c r="S31" s="1206"/>
      <c r="T31" s="1206"/>
    </row>
    <row r="32" spans="1:20">
      <c r="A32" s="68"/>
      <c r="B32" s="147" t="s">
        <v>25</v>
      </c>
      <c r="C32" s="280"/>
      <c r="D32" s="279" t="s">
        <v>105</v>
      </c>
      <c r="E32" s="1427">
        <f>'2nd Interim-Unrestricted MYP'!E32+'2nd Interim-Restricted MYP'!E32</f>
        <v>522371.33</v>
      </c>
      <c r="F32" s="1427">
        <f>'2nd Interim-Unrestricted MYP'!F32+'2nd Interim-Restricted MYP'!F32</f>
        <v>370313</v>
      </c>
      <c r="G32" s="1427">
        <f>'2nd Interim-Unrestricted MYP'!G32+'2nd Interim-Restricted MYP'!G32</f>
        <v>0</v>
      </c>
      <c r="H32" s="1436">
        <f>'2nd Interim-Unrestricted MYP'!H32+'2nd Interim-Restricted MYP'!H32</f>
        <v>0</v>
      </c>
      <c r="I32" s="1329" t="str">
        <f t="shared" si="0"/>
        <v xml:space="preserve"> </v>
      </c>
      <c r="J32" s="1184">
        <f>'2nd Interim-Unrestricted MYP'!J32+'2nd Interim-Restricted MYP'!J32</f>
        <v>0</v>
      </c>
      <c r="K32" s="1329" t="str">
        <f t="shared" si="1"/>
        <v xml:space="preserve"> </v>
      </c>
      <c r="L32" s="1184">
        <f>'2nd Interim-Unrestricted MYP'!L32+'2nd Interim-Restricted MYP'!L32</f>
        <v>0</v>
      </c>
      <c r="M32" s="1330" t="str">
        <f t="shared" si="2"/>
        <v xml:space="preserve"> </v>
      </c>
      <c r="N32" s="1502"/>
      <c r="O32" s="1206"/>
      <c r="P32" s="1206"/>
      <c r="Q32" s="1206"/>
      <c r="R32" s="1206"/>
      <c r="S32" s="1206"/>
      <c r="T32" s="1206"/>
    </row>
    <row r="33" spans="1:20">
      <c r="A33" s="68"/>
      <c r="B33" s="147" t="s">
        <v>26</v>
      </c>
      <c r="C33" s="280"/>
      <c r="D33" s="279" t="s">
        <v>106</v>
      </c>
      <c r="E33" s="1427">
        <f>'2nd Interim-Unrestricted MYP'!E33+'2nd Interim-Restricted MYP'!E33</f>
        <v>4783554.3687866004</v>
      </c>
      <c r="F33" s="1427">
        <f>'2nd Interim-Unrestricted MYP'!F33+'2nd Interim-Restricted MYP'!F33</f>
        <v>2682796</v>
      </c>
      <c r="G33" s="1427">
        <f>'2nd Interim-Unrestricted MYP'!G33+'2nd Interim-Restricted MYP'!G33</f>
        <v>0</v>
      </c>
      <c r="H33" s="1436">
        <f>'2nd Interim-Unrestricted MYP'!H33+'2nd Interim-Restricted MYP'!H33</f>
        <v>0</v>
      </c>
      <c r="I33" s="1329" t="str">
        <f t="shared" si="0"/>
        <v xml:space="preserve"> </v>
      </c>
      <c r="J33" s="1184">
        <f>'2nd Interim-Unrestricted MYP'!J33+'2nd Interim-Restricted MYP'!J33</f>
        <v>0</v>
      </c>
      <c r="K33" s="1329" t="str">
        <f t="shared" si="1"/>
        <v xml:space="preserve"> </v>
      </c>
      <c r="L33" s="1184">
        <f>'2nd Interim-Unrestricted MYP'!L33+'2nd Interim-Restricted MYP'!L33</f>
        <v>0</v>
      </c>
      <c r="M33" s="1330" t="str">
        <f t="shared" si="2"/>
        <v xml:space="preserve"> </v>
      </c>
      <c r="N33" s="1502"/>
      <c r="O33" s="1206"/>
      <c r="P33" s="1206"/>
      <c r="Q33" s="1206"/>
      <c r="R33" s="1206"/>
      <c r="S33" s="1206"/>
      <c r="T33" s="1206"/>
    </row>
    <row r="34" spans="1:20">
      <c r="A34" s="68"/>
      <c r="B34" s="147" t="s">
        <v>5</v>
      </c>
      <c r="C34" s="280"/>
      <c r="D34" s="279" t="s">
        <v>107</v>
      </c>
      <c r="E34" s="1427">
        <f>'2nd Interim-Unrestricted MYP'!E34+'2nd Interim-Restricted MYP'!E34</f>
        <v>14362.290000000005</v>
      </c>
      <c r="F34" s="1427">
        <f>'2nd Interim-Unrestricted MYP'!F34+'2nd Interim-Restricted MYP'!F34</f>
        <v>22116</v>
      </c>
      <c r="G34" s="1427">
        <f>'2nd Interim-Unrestricted MYP'!G34+'2nd Interim-Restricted MYP'!G34</f>
        <v>0</v>
      </c>
      <c r="H34" s="1436">
        <f>'2nd Interim-Unrestricted MYP'!H34+'2nd Interim-Restricted MYP'!H34</f>
        <v>0</v>
      </c>
      <c r="I34" s="1329" t="str">
        <f t="shared" si="0"/>
        <v xml:space="preserve"> </v>
      </c>
      <c r="J34" s="1184">
        <f>'2nd Interim-Unrestricted MYP'!J34+'2nd Interim-Restricted MYP'!J34</f>
        <v>0</v>
      </c>
      <c r="K34" s="1329" t="str">
        <f t="shared" si="1"/>
        <v xml:space="preserve"> </v>
      </c>
      <c r="L34" s="1184">
        <f>'2nd Interim-Unrestricted MYP'!L34+'2nd Interim-Restricted MYP'!L34</f>
        <v>0</v>
      </c>
      <c r="M34" s="1330" t="str">
        <f t="shared" si="2"/>
        <v xml:space="preserve"> </v>
      </c>
      <c r="N34" s="1502"/>
      <c r="O34" s="1206"/>
      <c r="P34" s="1206"/>
      <c r="Q34" s="1206"/>
      <c r="R34" s="1206"/>
      <c r="S34" s="1206"/>
      <c r="T34" s="1206"/>
    </row>
    <row r="35" spans="1:20">
      <c r="A35" s="68"/>
      <c r="B35" s="147" t="s">
        <v>27</v>
      </c>
      <c r="C35" s="280"/>
      <c r="D35" s="279" t="s">
        <v>108</v>
      </c>
      <c r="E35" s="1427">
        <f>'2nd Interim-Unrestricted MYP'!E35+'2nd Interim-Restricted MYP'!E35</f>
        <v>2499</v>
      </c>
      <c r="F35" s="1427">
        <f>'2nd Interim-Unrestricted MYP'!F35+'2nd Interim-Restricted MYP'!F35</f>
        <v>2499</v>
      </c>
      <c r="G35" s="1427">
        <f>'2nd Interim-Unrestricted MYP'!G35+'2nd Interim-Restricted MYP'!G35</f>
        <v>0</v>
      </c>
      <c r="H35" s="1436">
        <f>'2nd Interim-Unrestricted MYP'!H35+'2nd Interim-Restricted MYP'!H35</f>
        <v>0</v>
      </c>
      <c r="I35" s="1329" t="str">
        <f t="shared" si="0"/>
        <v xml:space="preserve"> </v>
      </c>
      <c r="J35" s="1184">
        <f>'2nd Interim-Unrestricted MYP'!J35+'2nd Interim-Restricted MYP'!J35</f>
        <v>0</v>
      </c>
      <c r="K35" s="1329" t="str">
        <f t="shared" si="1"/>
        <v xml:space="preserve"> </v>
      </c>
      <c r="L35" s="1184">
        <f>'2nd Interim-Unrestricted MYP'!L35+'2nd Interim-Restricted MYP'!L35</f>
        <v>0</v>
      </c>
      <c r="M35" s="1330" t="str">
        <f t="shared" si="2"/>
        <v xml:space="preserve"> </v>
      </c>
      <c r="N35" s="1502"/>
      <c r="O35" s="1206"/>
      <c r="P35" s="1206"/>
      <c r="Q35" s="1206"/>
      <c r="R35" s="1206"/>
      <c r="S35" s="1206"/>
      <c r="T35" s="1206"/>
    </row>
    <row r="36" spans="1:20" ht="16.5" thickBot="1">
      <c r="A36" s="68"/>
      <c r="B36" s="899" t="s">
        <v>149</v>
      </c>
      <c r="C36" s="932"/>
      <c r="D36" s="629" t="s">
        <v>114</v>
      </c>
      <c r="E36" s="1438">
        <f>'2nd Interim-Unrestricted MYP'!E36+'2nd Interim-Restricted MYP'!E36</f>
        <v>0</v>
      </c>
      <c r="F36" s="1438">
        <f>'2nd Interim-Unrestricted MYP'!F36+'2nd Interim-Restricted MYP'!F36</f>
        <v>0</v>
      </c>
      <c r="G36" s="1438">
        <f>'2nd Interim-Unrestricted MYP'!G36+'2nd Interim-Restricted MYP'!G36</f>
        <v>0</v>
      </c>
      <c r="H36" s="1451">
        <f>'2nd Interim-Unrestricted MYP'!H36+'2nd Interim-Restricted MYP'!H36</f>
        <v>0</v>
      </c>
      <c r="I36" s="1316" t="str">
        <f t="shared" si="0"/>
        <v xml:space="preserve"> </v>
      </c>
      <c r="J36" s="1185">
        <f>'2nd Interim-Unrestricted MYP'!J36+'2nd Interim-Restricted MYP'!J36</f>
        <v>0</v>
      </c>
      <c r="K36" s="1316" t="str">
        <f t="shared" si="1"/>
        <v xml:space="preserve"> </v>
      </c>
      <c r="L36" s="1185">
        <f>'2nd Interim-Unrestricted MYP'!L36+'2nd Interim-Restricted MYP'!L36</f>
        <v>0</v>
      </c>
      <c r="M36" s="1317" t="str">
        <f t="shared" si="2"/>
        <v xml:space="preserve"> </v>
      </c>
      <c r="N36" s="1502"/>
      <c r="O36" s="1206"/>
      <c r="P36" s="1206"/>
      <c r="Q36" s="1206"/>
      <c r="R36" s="1206"/>
      <c r="S36" s="1206"/>
      <c r="T36" s="1206"/>
    </row>
    <row r="37" spans="1:20" ht="17.25" thickTop="1" thickBot="1">
      <c r="A37" s="68"/>
      <c r="B37" s="912" t="s">
        <v>28</v>
      </c>
      <c r="C37" s="957"/>
      <c r="D37" s="958"/>
      <c r="E37" s="1161">
        <f>SUM(E29:E36)</f>
        <v>10441802.245286599</v>
      </c>
      <c r="F37" s="1161">
        <f>SUM(F29:F36)</f>
        <v>6961184.2568191215</v>
      </c>
      <c r="G37" s="1161">
        <f>SUM(G29:G36)</f>
        <v>0</v>
      </c>
      <c r="H37" s="1161">
        <f>SUM(H29:H36)</f>
        <v>0</v>
      </c>
      <c r="I37" s="1442" t="str">
        <f t="shared" si="0"/>
        <v xml:space="preserve"> </v>
      </c>
      <c r="J37" s="1161">
        <f>SUM(J29:J36)</f>
        <v>0</v>
      </c>
      <c r="K37" s="1442" t="str">
        <f t="shared" si="1"/>
        <v xml:space="preserve"> </v>
      </c>
      <c r="L37" s="1161">
        <f>SUM(L29:L36)</f>
        <v>0</v>
      </c>
      <c r="M37" s="1443" t="str">
        <f t="shared" si="2"/>
        <v xml:space="preserve"> </v>
      </c>
      <c r="N37" s="1502"/>
      <c r="O37" s="1206"/>
      <c r="P37" s="1206"/>
      <c r="Q37" s="1206"/>
      <c r="R37" s="1206"/>
      <c r="S37" s="1206"/>
      <c r="T37" s="1206"/>
    </row>
    <row r="38" spans="1:20" ht="17.25" thickTop="1" thickBot="1">
      <c r="A38" s="68"/>
      <c r="B38" s="1"/>
      <c r="C38" s="1"/>
      <c r="D38" s="1452"/>
      <c r="E38" s="1453"/>
      <c r="F38" s="1453"/>
      <c r="G38" s="1453"/>
      <c r="H38" s="1453"/>
      <c r="I38" s="1454"/>
      <c r="J38" s="1453"/>
      <c r="K38" s="1454"/>
      <c r="L38" s="1453"/>
      <c r="M38" s="1455"/>
      <c r="N38" s="1501"/>
      <c r="O38" s="1206"/>
      <c r="P38" s="1206"/>
      <c r="Q38" s="1206"/>
      <c r="R38" s="1206"/>
      <c r="S38" s="1206"/>
      <c r="T38" s="1206"/>
    </row>
    <row r="39" spans="1:20" ht="17.25" thickTop="1" thickBot="1">
      <c r="A39" s="915" t="s">
        <v>208</v>
      </c>
      <c r="B39" s="916"/>
      <c r="C39" s="920"/>
      <c r="D39" s="921"/>
      <c r="E39" s="1456">
        <f>SUM(E26-E37)</f>
        <v>-675434.81202659756</v>
      </c>
      <c r="F39" s="1456">
        <f>SUM(F26-F37)</f>
        <v>-520164.49701912142</v>
      </c>
      <c r="G39" s="1456">
        <f>SUM(G26-G37)</f>
        <v>0</v>
      </c>
      <c r="H39" s="1456" t="e">
        <f>SUM(H26-H37)</f>
        <v>#VALUE!</v>
      </c>
      <c r="I39" s="1457" t="str">
        <f>IF(E39&lt;1," ",IF(H39&lt;1," ",(H39-E39)/E39))</f>
        <v xml:space="preserve"> </v>
      </c>
      <c r="J39" s="1456" t="e">
        <f>SUM(J26-J37)</f>
        <v>#VALUE!</v>
      </c>
      <c r="K39" s="1457" t="e">
        <f>IF(H39&lt;1," ",IF(J39&lt;1," ",(J39-H39)/H39))</f>
        <v>#VALUE!</v>
      </c>
      <c r="L39" s="1456" t="e">
        <f>SUM(L26-L37)</f>
        <v>#VALUE!</v>
      </c>
      <c r="M39" s="1458" t="e">
        <f>IF(J39&lt;1," ",IF(L39&lt;1," ",(L39-J39)/J39))</f>
        <v>#VALUE!</v>
      </c>
      <c r="N39" s="1502"/>
      <c r="O39" s="1206"/>
      <c r="P39" s="1206"/>
      <c r="Q39" s="1206"/>
      <c r="R39" s="1206"/>
      <c r="S39" s="1206"/>
      <c r="T39" s="1206"/>
    </row>
    <row r="40" spans="1:20" ht="16.5" thickTop="1">
      <c r="A40" s="68"/>
      <c r="B40" s="1"/>
      <c r="C40" s="1"/>
      <c r="D40" s="344"/>
      <c r="E40" s="1183"/>
      <c r="F40" s="1183"/>
      <c r="G40" s="1183"/>
      <c r="H40" s="1183"/>
      <c r="I40" s="1459"/>
      <c r="J40" s="1183"/>
      <c r="K40" s="1459"/>
      <c r="L40" s="1183"/>
      <c r="M40" s="1460"/>
      <c r="N40" s="1501"/>
      <c r="O40" s="1206"/>
      <c r="P40" s="1206"/>
      <c r="Q40" s="1206"/>
      <c r="R40" s="1206"/>
      <c r="S40" s="1206"/>
      <c r="T40" s="1206"/>
    </row>
    <row r="41" spans="1:20">
      <c r="A41" s="306" t="s">
        <v>29</v>
      </c>
      <c r="B41" s="1"/>
      <c r="C41" s="155"/>
      <c r="D41" s="345"/>
      <c r="E41" s="1447"/>
      <c r="F41" s="1447"/>
      <c r="G41" s="1447"/>
      <c r="H41" s="1447"/>
      <c r="I41" s="1461"/>
      <c r="J41" s="1447"/>
      <c r="K41" s="1461"/>
      <c r="L41" s="1447"/>
      <c r="M41" s="1462"/>
      <c r="N41" s="1501"/>
      <c r="O41" s="1206"/>
      <c r="P41" s="1206"/>
      <c r="Q41" s="1206"/>
      <c r="R41" s="1206"/>
      <c r="S41" s="1206"/>
      <c r="T41" s="1206"/>
    </row>
    <row r="42" spans="1:20">
      <c r="A42" s="68"/>
      <c r="B42" s="147" t="s">
        <v>127</v>
      </c>
      <c r="C42" s="280"/>
      <c r="D42" s="310">
        <v>8900</v>
      </c>
      <c r="E42" s="1184">
        <f>'2nd Interim-Unrestricted MYP'!E42+'2nd Interim-Restricted MYP'!E42</f>
        <v>0</v>
      </c>
      <c r="F42" s="1184">
        <f>'2nd Interim-Unrestricted MYP'!F42+'2nd Interim-Restricted MYP'!F42</f>
        <v>0</v>
      </c>
      <c r="G42" s="1184">
        <f>'2nd Interim-Unrestricted MYP'!G42+'2nd Interim-Restricted MYP'!G42</f>
        <v>0</v>
      </c>
      <c r="H42" s="1184">
        <f>'2nd Interim-Unrestricted MYP'!H42+'2nd Interim-Restricted MYP'!H42</f>
        <v>0</v>
      </c>
      <c r="I42" s="1329" t="str">
        <f>IF(E42&lt;1," ",IF(H42&lt;1," ",(H42-E42)/E42))</f>
        <v xml:space="preserve"> </v>
      </c>
      <c r="J42" s="1184">
        <f>'2nd Interim-Unrestricted MYP'!J42+'2nd Interim-Restricted MYP'!J42</f>
        <v>0</v>
      </c>
      <c r="K42" s="1329" t="str">
        <f>IF(H42&lt;1," ",IF(J42&lt;1," ",(J42-H42)/H42))</f>
        <v xml:space="preserve"> </v>
      </c>
      <c r="L42" s="1184">
        <f>'2nd Interim-Unrestricted MYP'!L42+'2nd Interim-Restricted MYP'!L42</f>
        <v>0</v>
      </c>
      <c r="M42" s="1330" t="str">
        <f>IF(J42&lt;1," ",IF(L42&lt;1," ",(L42-J42)/J42))</f>
        <v xml:space="preserve"> </v>
      </c>
      <c r="N42" s="1502"/>
      <c r="O42" s="1206"/>
      <c r="P42" s="1206"/>
      <c r="Q42" s="1206"/>
      <c r="R42" s="1206"/>
      <c r="S42" s="1206"/>
      <c r="T42" s="1206"/>
    </row>
    <row r="43" spans="1:20" ht="16.5" thickBot="1">
      <c r="A43" s="68"/>
      <c r="B43" s="899" t="s">
        <v>30</v>
      </c>
      <c r="C43" s="932"/>
      <c r="D43" s="928">
        <v>7600</v>
      </c>
      <c r="E43" s="1185">
        <f>'2nd Interim-Unrestricted MYP'!E43+'2nd Interim-Restricted MYP'!E43</f>
        <v>-945000</v>
      </c>
      <c r="F43" s="1185">
        <f>'2nd Interim-Unrestricted MYP'!F43+'2nd Interim-Restricted MYP'!F43</f>
        <v>-360000</v>
      </c>
      <c r="G43" s="1185">
        <f>'2nd Interim-Unrestricted MYP'!G43+'2nd Interim-Restricted MYP'!G43</f>
        <v>0</v>
      </c>
      <c r="H43" s="1185">
        <f>'2nd Interim-Unrestricted MYP'!H43+'2nd Interim-Restricted MYP'!H43</f>
        <v>0</v>
      </c>
      <c r="I43" s="1316" t="str">
        <f>IF(E43&lt;1," ",IF(H43&lt;1," ",(H43-E43)/E43))</f>
        <v xml:space="preserve"> </v>
      </c>
      <c r="J43" s="1185">
        <f>'2nd Interim-Unrestricted MYP'!J43+'2nd Interim-Restricted MYP'!J43</f>
        <v>0</v>
      </c>
      <c r="K43" s="1316" t="str">
        <f>IF(H43&lt;1," ",IF(J43&lt;1," ",(J43-H43)/H43))</f>
        <v xml:space="preserve"> </v>
      </c>
      <c r="L43" s="1185">
        <f>'2nd Interim-Unrestricted MYP'!L43+'2nd Interim-Restricted MYP'!L43</f>
        <v>0</v>
      </c>
      <c r="M43" s="1317" t="str">
        <f>IF(J43&lt;1," ",IF(L43&lt;1," ",(L43-J43)/J43))</f>
        <v xml:space="preserve"> </v>
      </c>
      <c r="N43" s="1502"/>
      <c r="O43" s="1206"/>
      <c r="P43" s="1206"/>
      <c r="Q43" s="1206"/>
      <c r="R43" s="1206"/>
      <c r="S43" s="1206"/>
      <c r="T43" s="1206"/>
    </row>
    <row r="44" spans="1:20" ht="17.25" thickTop="1" thickBot="1">
      <c r="A44" s="68"/>
      <c r="B44" s="912" t="s">
        <v>31</v>
      </c>
      <c r="C44" s="957"/>
      <c r="D44" s="958"/>
      <c r="E44" s="1161">
        <f>'2nd Interim-Unrestricted MYP'!E44+'2nd Interim-Restricted MYP'!E44</f>
        <v>945000</v>
      </c>
      <c r="F44" s="1161">
        <f>F42-F43</f>
        <v>360000</v>
      </c>
      <c r="G44" s="1161">
        <f>G42-G43</f>
        <v>0</v>
      </c>
      <c r="H44" s="1161">
        <f>H42-H43</f>
        <v>0</v>
      </c>
      <c r="I44" s="1442" t="str">
        <f>IF(E44&lt;1," ",IF(H44&lt;1," ",(H44-E44)/E44))</f>
        <v xml:space="preserve"> </v>
      </c>
      <c r="J44" s="1161">
        <f>J42-J43</f>
        <v>0</v>
      </c>
      <c r="K44" s="1442" t="str">
        <f>IF(H44&lt;1," ",IF(J44&lt;1," ",(J44-H44)/H44))</f>
        <v xml:space="preserve"> </v>
      </c>
      <c r="L44" s="1161">
        <f>L42-L43</f>
        <v>0</v>
      </c>
      <c r="M44" s="1443" t="str">
        <f>IF(J44&lt;1," ",IF(L44&lt;1," ",(L44-J44)/J44))</f>
        <v xml:space="preserve"> </v>
      </c>
      <c r="N44" s="1502"/>
      <c r="O44" s="1206"/>
      <c r="P44" s="1206"/>
      <c r="Q44" s="1206"/>
      <c r="R44" s="1206"/>
      <c r="S44" s="1206"/>
      <c r="T44" s="1206"/>
    </row>
    <row r="45" spans="1:20" ht="17.25" thickTop="1" thickBot="1">
      <c r="A45" s="68"/>
      <c r="B45" s="1"/>
      <c r="C45" s="1"/>
      <c r="D45" s="168"/>
      <c r="E45" s="1166"/>
      <c r="F45" s="1166"/>
      <c r="G45" s="1166"/>
      <c r="H45" s="1166"/>
      <c r="I45" s="1319"/>
      <c r="J45" s="1166"/>
      <c r="K45" s="1319"/>
      <c r="L45" s="1166"/>
      <c r="M45" s="1320"/>
      <c r="N45" s="1502"/>
      <c r="O45" s="1206"/>
      <c r="P45" s="1206"/>
      <c r="Q45" s="1206"/>
      <c r="R45" s="1206"/>
      <c r="S45" s="1206"/>
      <c r="T45" s="1206"/>
    </row>
    <row r="46" spans="1:20" ht="17.25" thickTop="1" thickBot="1">
      <c r="A46" s="915" t="s">
        <v>32</v>
      </c>
      <c r="B46" s="916"/>
      <c r="C46" s="920"/>
      <c r="D46" s="921"/>
      <c r="E46" s="1456">
        <f>E39+E44</f>
        <v>269565.18797340244</v>
      </c>
      <c r="F46" s="1456">
        <f>F39+F44</f>
        <v>-160164.49701912142</v>
      </c>
      <c r="G46" s="1456">
        <f>G39+G44</f>
        <v>0</v>
      </c>
      <c r="H46" s="1456" t="e">
        <f>H39+H44</f>
        <v>#VALUE!</v>
      </c>
      <c r="I46" s="1457" t="e">
        <f>IF(E46&lt;1," ",IF(H46&lt;1," ",(H46-E46)/E46))</f>
        <v>#VALUE!</v>
      </c>
      <c r="J46" s="1456" t="e">
        <f>J39+J44</f>
        <v>#VALUE!</v>
      </c>
      <c r="K46" s="1457" t="e">
        <f>IF(H46&lt;1," ",IF(J46&lt;1," ",(J46-H46)/H46))</f>
        <v>#VALUE!</v>
      </c>
      <c r="L46" s="1456" t="e">
        <f>L39+L44</f>
        <v>#VALUE!</v>
      </c>
      <c r="M46" s="1458" t="e">
        <f>IF(J46&lt;1," ",IF(L46&lt;1," ",(L46-J46)/J46))</f>
        <v>#VALUE!</v>
      </c>
      <c r="N46" s="1502"/>
      <c r="O46" s="1206"/>
      <c r="P46" s="1206"/>
      <c r="Q46" s="1206"/>
      <c r="R46" s="1206"/>
      <c r="S46" s="1206"/>
      <c r="T46" s="1206"/>
    </row>
    <row r="47" spans="1:20" ht="16.5" thickTop="1">
      <c r="A47" s="306"/>
      <c r="B47" s="1"/>
      <c r="C47" s="1"/>
      <c r="D47" s="168"/>
      <c r="E47" s="1166"/>
      <c r="F47" s="1166"/>
      <c r="G47" s="1166"/>
      <c r="H47" s="1166"/>
      <c r="I47" s="1463"/>
      <c r="J47" s="1166"/>
      <c r="K47" s="1463"/>
      <c r="L47" s="1166"/>
      <c r="M47" s="1464"/>
      <c r="N47" s="1501"/>
      <c r="O47" s="1206"/>
      <c r="P47" s="1206"/>
      <c r="Q47" s="1206"/>
      <c r="R47" s="1206"/>
      <c r="S47" s="1206"/>
      <c r="T47" s="1206"/>
    </row>
    <row r="48" spans="1:20">
      <c r="A48" s="306" t="s">
        <v>6</v>
      </c>
      <c r="B48" s="1"/>
      <c r="C48" s="155"/>
      <c r="D48" s="345"/>
      <c r="E48" s="1166"/>
      <c r="F48" s="1166"/>
      <c r="G48" s="1166"/>
      <c r="H48" s="1166"/>
      <c r="I48" s="1463"/>
      <c r="J48" s="1293"/>
      <c r="K48" s="1463"/>
      <c r="L48" s="1166"/>
      <c r="M48" s="1464"/>
      <c r="N48" s="1501"/>
      <c r="O48" s="1206"/>
      <c r="P48" s="1206"/>
      <c r="Q48" s="1206"/>
      <c r="R48" s="1206"/>
      <c r="S48" s="1206"/>
      <c r="T48" s="1206"/>
    </row>
    <row r="49" spans="1:39">
      <c r="A49" s="68"/>
      <c r="B49" s="293" t="s">
        <v>162</v>
      </c>
      <c r="C49" s="294"/>
      <c r="D49" s="295">
        <v>9791</v>
      </c>
      <c r="E49" s="1184">
        <f>'2nd Interim-Unrestricted MYP'!E49+'2nd Interim-Restricted MYP'!E49</f>
        <v>193690.83966911718</v>
      </c>
      <c r="F49" s="1184">
        <f>'2nd Interim-Unrestricted MYP'!F49+'2nd Interim-Restricted MYP'!F49</f>
        <v>193690.83966911718</v>
      </c>
      <c r="G49" s="1184">
        <f>'2nd Interim-Unrestricted MYP'!G49+'2nd Interim-Restricted MYP'!G49</f>
        <v>193690.83966911718</v>
      </c>
      <c r="H49" s="1184">
        <f>'2nd Interim-Unrestricted MYP'!H49+'2nd Interim-Restricted MYP'!H49</f>
        <v>193690.83966911718</v>
      </c>
      <c r="I49" s="1465">
        <f>IF(E49&lt;1," ",IF(H49&lt;1," ",(H49-E49)/E49))</f>
        <v>0</v>
      </c>
      <c r="J49" s="1466"/>
      <c r="K49" s="1467"/>
      <c r="L49" s="1468"/>
      <c r="M49" s="1469"/>
      <c r="N49" s="1501"/>
      <c r="O49" s="1206"/>
      <c r="P49" s="1206"/>
      <c r="Q49" s="1206"/>
      <c r="R49" s="1206"/>
      <c r="S49" s="1206"/>
      <c r="T49" s="1206"/>
    </row>
    <row r="50" spans="1:39">
      <c r="A50" s="68"/>
      <c r="B50" s="315" t="s">
        <v>136</v>
      </c>
      <c r="C50" s="316"/>
      <c r="D50" s="317">
        <v>9792</v>
      </c>
      <c r="E50" s="1470"/>
      <c r="F50" s="1184">
        <f>'2nd Interim-Unrestricted MYP'!F50+'2nd Interim-Restricted MYP'!F50</f>
        <v>0</v>
      </c>
      <c r="G50" s="1184">
        <f>'2nd Interim-Unrestricted MYP'!G50+'2nd Interim-Restricted MYP'!G50</f>
        <v>0</v>
      </c>
      <c r="H50" s="1184">
        <f>'2nd Interim-Unrestricted MYP'!H50+'2nd Interim-Restricted MYP'!H50</f>
        <v>0</v>
      </c>
      <c r="I50" s="1471"/>
      <c r="J50" s="1472"/>
      <c r="K50" s="1473"/>
      <c r="L50" s="1474"/>
      <c r="M50" s="1475"/>
      <c r="N50" s="1501"/>
      <c r="O50" s="1206"/>
      <c r="P50" s="1206"/>
      <c r="Q50" s="1206"/>
      <c r="R50" s="1206"/>
      <c r="S50" s="1206"/>
      <c r="T50" s="1206"/>
    </row>
    <row r="51" spans="1:39">
      <c r="A51" s="68"/>
      <c r="B51" s="315" t="str">
        <f>'Budget-Restricted MYP'!B51</f>
        <v xml:space="preserve">  Beg Fund Balance at Unaudited Actuals</v>
      </c>
      <c r="C51" s="316"/>
      <c r="D51" s="965"/>
      <c r="E51" s="1470"/>
      <c r="F51" s="1184">
        <f>'2nd Interim-Unrestricted MYP'!F51+'2nd Interim-Restricted MYP'!F51</f>
        <v>193690.83966911718</v>
      </c>
      <c r="G51" s="1184">
        <f>'2nd Interim-Unrestricted MYP'!G51+'2nd Interim-Restricted MYP'!G51</f>
        <v>193690.83966911718</v>
      </c>
      <c r="H51" s="1184">
        <f>'2nd Interim-Unrestricted MYP'!H51+'2nd Interim-Restricted MYP'!H51</f>
        <v>193690.83966911718</v>
      </c>
      <c r="I51" s="1471" t="str">
        <f>IF(E51&lt;1," ",IF(H51&lt;1," ",(H51-E51)/E51))</f>
        <v xml:space="preserve"> </v>
      </c>
      <c r="J51" s="1472"/>
      <c r="K51" s="1473"/>
      <c r="L51" s="1474"/>
      <c r="M51" s="1475"/>
      <c r="N51" s="1501"/>
      <c r="O51" s="1206"/>
      <c r="P51" s="1206"/>
      <c r="Q51" s="1206"/>
      <c r="R51" s="1206"/>
      <c r="S51" s="1206"/>
      <c r="T51" s="1206"/>
    </row>
    <row r="52" spans="1:39">
      <c r="A52" s="68"/>
      <c r="B52" s="315" t="s">
        <v>302</v>
      </c>
      <c r="C52" s="316"/>
      <c r="D52" s="317">
        <v>9793</v>
      </c>
      <c r="E52" s="1470"/>
      <c r="F52" s="1184">
        <f>'2nd Interim-Unrestricted MYP'!F52+'2nd Interim-Restricted MYP'!F52</f>
        <v>0</v>
      </c>
      <c r="G52" s="1184">
        <f>'2nd Interim-Unrestricted MYP'!G52+'2nd Interim-Restricted MYP'!G52</f>
        <v>0</v>
      </c>
      <c r="H52" s="1184">
        <f>'2nd Interim-Unrestricted MYP'!H52+'2nd Interim-Restricted MYP'!H52</f>
        <v>0</v>
      </c>
      <c r="I52" s="1471"/>
      <c r="J52" s="1476"/>
      <c r="K52" s="1473"/>
      <c r="L52" s="1474"/>
      <c r="M52" s="1475"/>
      <c r="N52" s="1501"/>
      <c r="O52" s="1206"/>
      <c r="P52" s="1206"/>
      <c r="Q52" s="1206"/>
      <c r="R52" s="1206"/>
      <c r="S52" s="1206"/>
      <c r="T52" s="1206"/>
    </row>
    <row r="53" spans="1:39">
      <c r="A53" s="68"/>
      <c r="B53" s="315" t="s">
        <v>301</v>
      </c>
      <c r="C53" s="316"/>
      <c r="D53" s="317">
        <v>9795</v>
      </c>
      <c r="E53" s="1470"/>
      <c r="F53" s="1184">
        <f>'2nd Interim-Unrestricted MYP'!F53+'2nd Interim-Restricted MYP'!F53</f>
        <v>0</v>
      </c>
      <c r="G53" s="1184">
        <f>'2nd Interim-Unrestricted MYP'!G53+'2nd Interim-Restricted MYP'!G53</f>
        <v>0</v>
      </c>
      <c r="H53" s="1184">
        <f>'2nd Interim-Unrestricted MYP'!H53+'2nd Interim-Restricted MYP'!H53</f>
        <v>0</v>
      </c>
      <c r="I53" s="1471"/>
      <c r="J53" s="1477"/>
      <c r="K53" s="1478"/>
      <c r="L53" s="1479"/>
      <c r="M53" s="1480"/>
      <c r="N53" s="1501"/>
      <c r="O53" s="1206"/>
      <c r="P53" s="1206"/>
      <c r="Q53" s="1206"/>
      <c r="R53" s="1206"/>
      <c r="S53" s="1206"/>
      <c r="T53" s="1206"/>
    </row>
    <row r="54" spans="1:39" ht="16.5" thickBot="1">
      <c r="A54" s="68"/>
      <c r="B54" s="910" t="str">
        <f>'Budget-Restricted MYP'!B54</f>
        <v xml:space="preserve">  Beginning Fund Balance as per Audit Report +/- Restatements</v>
      </c>
      <c r="C54" s="504"/>
      <c r="D54" s="911"/>
      <c r="E54" s="1185">
        <f>'2nd Interim-Unrestricted MYP'!E54+'2nd Interim-Restricted MYP'!E54</f>
        <v>0</v>
      </c>
      <c r="F54" s="1185">
        <f>'2nd Interim-Unrestricted MYP'!F54+'2nd Interim-Restricted MYP'!F54</f>
        <v>193690.83966911718</v>
      </c>
      <c r="G54" s="1185">
        <f>'2nd Interim-Unrestricted MYP'!G54+'2nd Interim-Restricted MYP'!G54</f>
        <v>193690.83966911718</v>
      </c>
      <c r="H54" s="1185">
        <f>'2nd Interim-Unrestricted MYP'!H54+'2nd Interim-Restricted MYP'!H54</f>
        <v>193690.83966911718</v>
      </c>
      <c r="I54" s="1481" t="str">
        <f>IF(E54&lt;1," ",IF(H54&lt;1," ",(H54-E54)/E54))</f>
        <v xml:space="preserve"> </v>
      </c>
      <c r="J54" s="1482" t="e">
        <f>H55</f>
        <v>#VALUE!</v>
      </c>
      <c r="K54" s="1483"/>
      <c r="L54" s="1484" t="e">
        <f>J55</f>
        <v>#VALUE!</v>
      </c>
      <c r="M54" s="1485" t="e">
        <f>IF(J54&lt;1," ",IF(L54&lt;1," ",(L54-J54)/J54))</f>
        <v>#VALUE!</v>
      </c>
      <c r="N54" s="1501"/>
      <c r="O54" s="1206"/>
      <c r="P54" s="1207"/>
      <c r="Q54" s="3"/>
      <c r="R54" s="3"/>
      <c r="S54" s="3"/>
      <c r="T54" s="3"/>
      <c r="U54" s="1"/>
      <c r="V54" s="1"/>
      <c r="W54" s="1"/>
      <c r="X54" s="1"/>
      <c r="Y54" s="1"/>
      <c r="Z54" s="1"/>
      <c r="AA54" s="1"/>
      <c r="AB54" s="1"/>
      <c r="AC54" s="1"/>
      <c r="AD54" s="1"/>
      <c r="AE54" s="1"/>
      <c r="AF54" s="1"/>
      <c r="AG54" s="1"/>
      <c r="AH54" s="1"/>
      <c r="AI54" s="1"/>
      <c r="AJ54" s="1"/>
      <c r="AK54" s="1"/>
      <c r="AL54" s="1"/>
      <c r="AM54" s="1"/>
    </row>
    <row r="55" spans="1:39" ht="17.25" thickTop="1" thickBot="1">
      <c r="A55" s="68"/>
      <c r="B55" s="912" t="s">
        <v>33</v>
      </c>
      <c r="C55" s="913"/>
      <c r="D55" s="914">
        <v>9790</v>
      </c>
      <c r="E55" s="1161">
        <f>'2nd Interim-Unrestricted MYP'!E55+'2nd Interim-Restricted MYP'!E55</f>
        <v>463256.02864251914</v>
      </c>
      <c r="F55" s="1161">
        <f>'2nd Interim-Unrestricted MYP'!F55+'2nd Interim-Restricted MYP'!F55</f>
        <v>33527</v>
      </c>
      <c r="G55" s="1161">
        <f>'2nd Interim-Unrestricted MYP'!G55+'2nd Interim-Restricted MYP'!G55</f>
        <v>193691</v>
      </c>
      <c r="H55" s="1161" t="e">
        <f>'2nd Interim-Unrestricted MYP'!H55+'2nd Interim-Restricted MYP'!H55</f>
        <v>#VALUE!</v>
      </c>
      <c r="I55" s="1486" t="e">
        <f>IF(E55&lt;1," ",IF(H55&lt;1," ",(H55-E55)/E55))</f>
        <v>#VALUE!</v>
      </c>
      <c r="J55" s="1161" t="e">
        <f>J54+J46</f>
        <v>#VALUE!</v>
      </c>
      <c r="K55" s="1486" t="e">
        <f>IF(H55&lt;1," ",IF(J55&lt;1," ",(J55-H55)/H55))</f>
        <v>#VALUE!</v>
      </c>
      <c r="L55" s="1161" t="e">
        <f>L46+L54</f>
        <v>#VALUE!</v>
      </c>
      <c r="M55" s="1487" t="e">
        <f>IF(J55&lt;1," ",IF(L55&lt;1," ",(L55-J55)/J55))</f>
        <v>#VALUE!</v>
      </c>
      <c r="N55" s="1501"/>
      <c r="O55" s="1206"/>
      <c r="P55" s="1206"/>
      <c r="Q55" s="1206"/>
      <c r="R55" s="1206"/>
      <c r="S55" s="1206"/>
      <c r="T55" s="1206"/>
    </row>
    <row r="56" spans="1:39" ht="16.5" thickTop="1">
      <c r="A56" s="68"/>
      <c r="B56" s="1"/>
      <c r="C56" s="1"/>
      <c r="D56" s="168"/>
      <c r="E56" s="1488"/>
      <c r="F56" s="1488"/>
      <c r="G56" s="1488"/>
      <c r="H56" s="1488"/>
      <c r="I56" s="1319"/>
      <c r="J56" s="1488"/>
      <c r="K56" s="1319"/>
      <c r="L56" s="1488"/>
      <c r="M56" s="1320"/>
      <c r="N56" s="1502"/>
      <c r="O56" s="1206"/>
      <c r="P56" s="1206"/>
      <c r="Q56" s="1206"/>
      <c r="R56" s="1206"/>
      <c r="S56" s="1206"/>
      <c r="T56" s="1206"/>
    </row>
    <row r="57" spans="1:39">
      <c r="A57" s="324" t="s">
        <v>142</v>
      </c>
      <c r="B57"/>
      <c r="C57" s="99"/>
      <c r="D57" s="557" t="s">
        <v>2</v>
      </c>
      <c r="E57" s="1489"/>
      <c r="F57" s="1166"/>
      <c r="G57" s="1166"/>
      <c r="H57" s="1166"/>
      <c r="I57" s="1319"/>
      <c r="J57" s="1166"/>
      <c r="K57" s="1319"/>
      <c r="L57" s="1166"/>
      <c r="M57" s="1320"/>
      <c r="N57" s="1502"/>
      <c r="O57" s="1206"/>
      <c r="P57" s="1206"/>
      <c r="Q57" s="1206"/>
      <c r="R57" s="1206"/>
      <c r="S57" s="1206"/>
      <c r="T57" s="1206"/>
    </row>
    <row r="58" spans="1:39">
      <c r="A58" s="68"/>
      <c r="B58" s="510" t="s">
        <v>7</v>
      </c>
      <c r="C58" s="511" t="s">
        <v>143</v>
      </c>
      <c r="D58" s="355"/>
      <c r="E58" s="1490"/>
      <c r="F58" s="1490"/>
      <c r="G58" s="1490"/>
      <c r="H58" s="1490"/>
      <c r="I58" s="1491"/>
      <c r="J58" s="1490"/>
      <c r="K58" s="1491"/>
      <c r="L58" s="1490"/>
      <c r="M58" s="1492"/>
      <c r="N58" s="1501"/>
      <c r="O58" s="1206"/>
      <c r="P58" s="1206"/>
      <c r="Q58" s="1206"/>
      <c r="R58" s="1206"/>
      <c r="S58" s="1206"/>
      <c r="T58" s="1206"/>
    </row>
    <row r="59" spans="1:39">
      <c r="A59" s="68"/>
      <c r="B59" s="351"/>
      <c r="C59" s="349" t="s">
        <v>34</v>
      </c>
      <c r="D59" s="289">
        <v>9711</v>
      </c>
      <c r="E59" s="1184">
        <f>'2nd Interim-Unrestricted MYP'!E59+'2nd Interim-Restricted MYP'!E59</f>
        <v>0</v>
      </c>
      <c r="F59" s="1184">
        <f>'2nd Interim-Unrestricted MYP'!F59+'2nd Interim-Restricted MYP'!F59</f>
        <v>0</v>
      </c>
      <c r="G59" s="1184">
        <f>'2nd Interim-Unrestricted MYP'!G59+'2nd Interim-Restricted MYP'!G59</f>
        <v>0</v>
      </c>
      <c r="H59" s="1184">
        <f>'2nd Interim-Unrestricted MYP'!H59+'2nd Interim-Restricted MYP'!H59</f>
        <v>0</v>
      </c>
      <c r="I59" s="1329" t="str">
        <f>IF(E59&lt;1," ",IF(H59&lt;1," ",(H59-E59)/E59))</f>
        <v xml:space="preserve"> </v>
      </c>
      <c r="J59" s="1184">
        <f>'2nd Interim-Unrestricted MYP'!J59+'2nd Interim-Restricted MYP'!J59</f>
        <v>0</v>
      </c>
      <c r="K59" s="1329" t="str">
        <f>IF(H59&lt;1," ",IF(J59&lt;1," ",(J59-H59)/H59))</f>
        <v xml:space="preserve"> </v>
      </c>
      <c r="L59" s="1184">
        <f>'2nd Interim-Unrestricted MYP'!L59+'2nd Interim-Restricted MYP'!L59</f>
        <v>0</v>
      </c>
      <c r="M59" s="1330" t="str">
        <f>IF(J59&lt;1," ",IF(L59&lt;1," ",(L59-J59)/J59))</f>
        <v xml:space="preserve"> </v>
      </c>
      <c r="N59" s="1502"/>
      <c r="O59" s="1206"/>
      <c r="P59" s="1206"/>
      <c r="Q59" s="1206"/>
      <c r="R59" s="1206"/>
      <c r="S59" s="1206"/>
      <c r="T59" s="1206"/>
    </row>
    <row r="60" spans="1:39">
      <c r="A60" s="68"/>
      <c r="B60" s="348"/>
      <c r="C60" s="349" t="s">
        <v>10</v>
      </c>
      <c r="D60" s="289">
        <v>9712</v>
      </c>
      <c r="E60" s="1184">
        <f>'2nd Interim-Unrestricted MYP'!E60+'2nd Interim-Restricted MYP'!E60</f>
        <v>0</v>
      </c>
      <c r="F60" s="1184">
        <f>'2nd Interim-Unrestricted MYP'!F60+'2nd Interim-Restricted MYP'!F60</f>
        <v>0</v>
      </c>
      <c r="G60" s="1184">
        <f>'2nd Interim-Unrestricted MYP'!G60+'2nd Interim-Restricted MYP'!G60</f>
        <v>0</v>
      </c>
      <c r="H60" s="1184">
        <f>'2nd Interim-Unrestricted MYP'!H60+'2nd Interim-Restricted MYP'!H60</f>
        <v>0</v>
      </c>
      <c r="I60" s="1329" t="str">
        <f>IF(E60&lt;1," ",IF(H60&lt;1," ",(H60-E60)/E60))</f>
        <v xml:space="preserve"> </v>
      </c>
      <c r="J60" s="1184">
        <f>'2nd Interim-Unrestricted MYP'!J60+'2nd Interim-Restricted MYP'!J60</f>
        <v>0</v>
      </c>
      <c r="K60" s="1329" t="str">
        <f>IF(H60&lt;1," ",IF(J60&lt;1," ",(J60-H60)/H60))</f>
        <v xml:space="preserve"> </v>
      </c>
      <c r="L60" s="1184">
        <f>'2nd Interim-Unrestricted MYP'!L60+'2nd Interim-Restricted MYP'!L60</f>
        <v>0</v>
      </c>
      <c r="M60" s="1330" t="str">
        <f>IF(J60&lt;1," ",IF(L60&lt;1," ",(L60-J60)/J60))</f>
        <v xml:space="preserve"> </v>
      </c>
      <c r="N60" s="1502"/>
      <c r="O60" s="1206"/>
      <c r="P60" s="1206"/>
      <c r="Q60" s="1206"/>
      <c r="R60" s="1206"/>
      <c r="S60" s="1206"/>
      <c r="T60" s="1206"/>
    </row>
    <row r="61" spans="1:39" ht="16.5" customHeight="1">
      <c r="A61" s="68"/>
      <c r="B61" s="348"/>
      <c r="C61" s="349" t="s">
        <v>11</v>
      </c>
      <c r="D61" s="289">
        <v>9713</v>
      </c>
      <c r="E61" s="1184">
        <f>'2nd Interim-Unrestricted MYP'!E61+'2nd Interim-Restricted MYP'!E61</f>
        <v>0</v>
      </c>
      <c r="F61" s="1184">
        <f>'2nd Interim-Unrestricted MYP'!F61+'2nd Interim-Restricted MYP'!F61</f>
        <v>0</v>
      </c>
      <c r="G61" s="1184">
        <f>'2nd Interim-Unrestricted MYP'!G61+'2nd Interim-Restricted MYP'!G61</f>
        <v>0</v>
      </c>
      <c r="H61" s="1184">
        <f>'2nd Interim-Unrestricted MYP'!H61+'2nd Interim-Restricted MYP'!H61</f>
        <v>0</v>
      </c>
      <c r="I61" s="1329" t="str">
        <f>IF(E61&lt;1," ",IF(H61&lt;1," ",(H61-E61)/E61))</f>
        <v xml:space="preserve"> </v>
      </c>
      <c r="J61" s="1184">
        <f>'2nd Interim-Unrestricted MYP'!J61+'2nd Interim-Restricted MYP'!J61</f>
        <v>0</v>
      </c>
      <c r="K61" s="1329" t="str">
        <f>IF(H61&lt;1," ",IF(J61&lt;1," ",(J61-H61)/H61))</f>
        <v xml:space="preserve"> </v>
      </c>
      <c r="L61" s="1184">
        <f>'2nd Interim-Unrestricted MYP'!L61+'2nd Interim-Restricted MYP'!L61</f>
        <v>0</v>
      </c>
      <c r="M61" s="1330" t="str">
        <f>IF(J61&lt;1," ",IF(L61&lt;1," ",(L61-J61)/J61))</f>
        <v xml:space="preserve"> </v>
      </c>
      <c r="N61" s="1502"/>
      <c r="O61" s="1206"/>
      <c r="P61" s="1206"/>
      <c r="Q61" s="1206"/>
      <c r="R61" s="1206"/>
      <c r="S61" s="1206"/>
      <c r="T61" s="1206"/>
    </row>
    <row r="62" spans="1:39">
      <c r="A62" s="68"/>
      <c r="B62" s="348"/>
      <c r="C62" s="349" t="s">
        <v>144</v>
      </c>
      <c r="D62" s="289">
        <v>9719</v>
      </c>
      <c r="E62" s="1184">
        <f>'2nd Interim-Unrestricted MYP'!E62+'2nd Interim-Restricted MYP'!E62</f>
        <v>0</v>
      </c>
      <c r="F62" s="1184">
        <f>'2nd Interim-Unrestricted MYP'!F62+'2nd Interim-Restricted MYP'!F62</f>
        <v>0</v>
      </c>
      <c r="G62" s="1184">
        <f>'2nd Interim-Unrestricted MYP'!G62+'2nd Interim-Restricted MYP'!G62</f>
        <v>0</v>
      </c>
      <c r="H62" s="1184">
        <f>'2nd Interim-Unrestricted MYP'!H62+'2nd Interim-Restricted MYP'!H62</f>
        <v>0</v>
      </c>
      <c r="I62" s="1329" t="str">
        <f>IF(E62&lt;1," ",IF(H62&lt;1," ",(H62-E62)/E62))</f>
        <v xml:space="preserve"> </v>
      </c>
      <c r="J62" s="1184">
        <f>'2nd Interim-Unrestricted MYP'!J62+'2nd Interim-Restricted MYP'!J62</f>
        <v>0</v>
      </c>
      <c r="K62" s="1329" t="str">
        <f>IF(H62&lt;1," ",IF(J62&lt;1," ",(J62-H62)/H62))</f>
        <v xml:space="preserve"> </v>
      </c>
      <c r="L62" s="1184">
        <f>'2nd Interim-Unrestricted MYP'!L62+'2nd Interim-Restricted MYP'!L62</f>
        <v>0</v>
      </c>
      <c r="M62" s="1330" t="str">
        <f>IF(J62&lt;1," ",IF(L62&lt;1," ",(L62-J62)/J62))</f>
        <v xml:space="preserve"> </v>
      </c>
      <c r="N62" s="1502"/>
      <c r="O62" s="1206"/>
      <c r="P62" s="1206"/>
      <c r="Q62" s="1206"/>
      <c r="R62" s="1206"/>
      <c r="S62" s="1206"/>
      <c r="T62" s="1206"/>
    </row>
    <row r="63" spans="1:39">
      <c r="A63" s="68"/>
      <c r="B63" s="348" t="s">
        <v>8</v>
      </c>
      <c r="C63" s="350" t="s">
        <v>145</v>
      </c>
      <c r="D63" s="289">
        <v>9740</v>
      </c>
      <c r="E63" s="1184">
        <f>'2nd Interim-Unrestricted MYP'!E63+'2nd Interim-Restricted MYP'!E63</f>
        <v>78152</v>
      </c>
      <c r="F63" s="1184">
        <f>'2nd Interim-Unrestricted MYP'!F63+'2nd Interim-Restricted MYP'!F63</f>
        <v>0</v>
      </c>
      <c r="G63" s="1184">
        <f>'2nd Interim-Unrestricted MYP'!G63+'2nd Interim-Restricted MYP'!G63</f>
        <v>0</v>
      </c>
      <c r="H63" s="1184" t="e">
        <f>'2nd Interim-Unrestricted MYP'!H63+'2nd Interim-Restricted MYP'!H63</f>
        <v>#VALUE!</v>
      </c>
      <c r="I63" s="1329" t="e">
        <f>IF(E63&lt;1," ",IF(H63&lt;1," ",(H63-E63)/E63))</f>
        <v>#VALUE!</v>
      </c>
      <c r="J63" s="1184" t="e">
        <f>'2nd Interim-Unrestricted MYP'!J63+'2nd Interim-Restricted MYP'!J63</f>
        <v>#VALUE!</v>
      </c>
      <c r="K63" s="1329" t="e">
        <f>IF(H63&lt;1," ",IF(J63&lt;1," ",(J63-H63)/H63))</f>
        <v>#VALUE!</v>
      </c>
      <c r="L63" s="1184" t="e">
        <f>'2nd Interim-Unrestricted MYP'!L63+'2nd Interim-Restricted MYP'!L63</f>
        <v>#VALUE!</v>
      </c>
      <c r="M63" s="1330" t="e">
        <f>IF(J63&lt;1," ",IF(L63&lt;1," ",(L63-J63)/J63))</f>
        <v>#VALUE!</v>
      </c>
      <c r="N63" s="1502"/>
      <c r="O63" s="1206"/>
      <c r="P63" s="1206"/>
      <c r="Q63" s="1206"/>
      <c r="R63" s="1206"/>
      <c r="S63" s="1206"/>
      <c r="T63" s="1206"/>
    </row>
    <row r="64" spans="1:39">
      <c r="A64" s="68"/>
      <c r="B64" s="348" t="s">
        <v>9</v>
      </c>
      <c r="C64" s="354" t="s">
        <v>349</v>
      </c>
      <c r="D64" s="989"/>
      <c r="E64" s="1193"/>
      <c r="F64" s="1193"/>
      <c r="G64" s="1193"/>
      <c r="H64" s="1193"/>
      <c r="I64" s="1493"/>
      <c r="J64" s="1193"/>
      <c r="K64" s="1493"/>
      <c r="L64" s="879"/>
      <c r="M64" s="865"/>
      <c r="N64" s="1504"/>
      <c r="O64" s="1206"/>
      <c r="P64" s="1206"/>
      <c r="Q64" s="1206"/>
      <c r="R64" s="1206"/>
      <c r="S64" s="1206"/>
      <c r="T64" s="1206"/>
    </row>
    <row r="65" spans="1:21">
      <c r="A65" s="68"/>
      <c r="B65" s="348"/>
      <c r="C65" s="349" t="s">
        <v>146</v>
      </c>
      <c r="D65" s="290">
        <v>9750</v>
      </c>
      <c r="E65" s="1184">
        <f>'2nd Interim-Unrestricted MYP'!E65+'2nd Interim-Restricted MYP'!E65</f>
        <v>0</v>
      </c>
      <c r="F65" s="1184">
        <f>'2nd Interim-Unrestricted MYP'!F65+'2nd Interim-Restricted MYP'!F65</f>
        <v>0</v>
      </c>
      <c r="G65" s="1184">
        <f>'2nd Interim-Unrestricted MYP'!G65+'2nd Interim-Restricted MYP'!G65</f>
        <v>0</v>
      </c>
      <c r="H65" s="1184">
        <f>'2nd Interim-Unrestricted MYP'!H65+'2nd Interim-Restricted MYP'!H65</f>
        <v>0</v>
      </c>
      <c r="I65" s="1329" t="str">
        <f>IF(E65&lt;1," ",IF(H65&lt;1," ",(H65-E65)/E65))</f>
        <v xml:space="preserve"> </v>
      </c>
      <c r="J65" s="1184">
        <f>'2nd Interim-Unrestricted MYP'!J65+'2nd Interim-Restricted MYP'!J65</f>
        <v>0</v>
      </c>
      <c r="K65" s="1329" t="str">
        <f>IF(H65&lt;1," ",IF(J65&lt;1," ",(J65-H65)/H65))</f>
        <v xml:space="preserve"> </v>
      </c>
      <c r="L65" s="1184">
        <f>'2nd Interim-Unrestricted MYP'!L65+'2nd Interim-Restricted MYP'!L65</f>
        <v>0</v>
      </c>
      <c r="M65" s="1330" t="str">
        <f>IF(J65&lt;1," ",IF(L65&lt;1," ",(L65-J65)/J65))</f>
        <v xml:space="preserve"> </v>
      </c>
      <c r="N65" s="1502"/>
      <c r="O65" s="1206"/>
      <c r="P65" s="1206"/>
      <c r="Q65" s="1206"/>
      <c r="R65" s="1206"/>
      <c r="S65" s="1206"/>
      <c r="T65" s="1206"/>
    </row>
    <row r="66" spans="1:21">
      <c r="A66" s="68"/>
      <c r="B66" s="348"/>
      <c r="C66" s="349" t="s">
        <v>147</v>
      </c>
      <c r="D66" s="290">
        <v>9760</v>
      </c>
      <c r="E66" s="1184">
        <f>'2nd Interim-Unrestricted MYP'!E66+'2nd Interim-Restricted MYP'!E66</f>
        <v>0</v>
      </c>
      <c r="F66" s="1184">
        <f>'2nd Interim-Unrestricted MYP'!F66+'2nd Interim-Restricted MYP'!F66</f>
        <v>0</v>
      </c>
      <c r="G66" s="1184">
        <f>'2nd Interim-Unrestricted MYP'!G66+'2nd Interim-Restricted MYP'!G66</f>
        <v>0</v>
      </c>
      <c r="H66" s="1184">
        <f>'2nd Interim-Unrestricted MYP'!H66+'2nd Interim-Restricted MYP'!H66</f>
        <v>0</v>
      </c>
      <c r="I66" s="1329" t="str">
        <f>IF(E66&lt;1," ",IF(H66&lt;1," ",(H66-E66)/E66))</f>
        <v xml:space="preserve"> </v>
      </c>
      <c r="J66" s="1184">
        <f>'2nd Interim-Unrestricted MYP'!J66+'2nd Interim-Restricted MYP'!J66</f>
        <v>0</v>
      </c>
      <c r="K66" s="1329" t="str">
        <f>IF(H66&lt;1," ",IF(J66&lt;1," ",(J66-H66)/H66))</f>
        <v xml:space="preserve"> </v>
      </c>
      <c r="L66" s="1184">
        <f>'2nd Interim-Unrestricted MYP'!L66+'2nd Interim-Restricted MYP'!L66</f>
        <v>0</v>
      </c>
      <c r="M66" s="1330" t="str">
        <f>IF(J66&lt;1," ",IF(L66&lt;1," ",(L66-J66)/J66))</f>
        <v xml:space="preserve"> </v>
      </c>
      <c r="N66" s="1502"/>
      <c r="O66" s="1206"/>
      <c r="P66" s="1206"/>
      <c r="Q66" s="1206"/>
      <c r="R66" s="1206"/>
      <c r="S66" s="1206"/>
      <c r="T66" s="1206"/>
    </row>
    <row r="67" spans="1:21">
      <c r="A67" s="68"/>
      <c r="B67" s="348" t="s">
        <v>38</v>
      </c>
      <c r="C67" s="350" t="s">
        <v>148</v>
      </c>
      <c r="D67" s="289">
        <v>9780</v>
      </c>
      <c r="E67" s="1184">
        <f>'2nd Interim-Unrestricted MYP'!E67+'2nd Interim-Restricted MYP'!E67</f>
        <v>0</v>
      </c>
      <c r="F67" s="1184">
        <f>'2nd Interim-Unrestricted MYP'!F67+'2nd Interim-Restricted MYP'!F67</f>
        <v>0</v>
      </c>
      <c r="G67" s="1184">
        <f>'2nd Interim-Unrestricted MYP'!G67+'2nd Interim-Restricted MYP'!G67</f>
        <v>0</v>
      </c>
      <c r="H67" s="1184">
        <f>'2nd Interim-Unrestricted MYP'!H67+'2nd Interim-Restricted MYP'!H67</f>
        <v>0</v>
      </c>
      <c r="I67" s="1329" t="str">
        <f>IF(E67&lt;1," ",IF(H67&lt;1," ",(H67-E67)/E67))</f>
        <v xml:space="preserve"> </v>
      </c>
      <c r="J67" s="1184">
        <f>'2nd Interim-Unrestricted MYP'!J67+'2nd Interim-Restricted MYP'!J67</f>
        <v>0</v>
      </c>
      <c r="K67" s="1329" t="str">
        <f>IF(H67&lt;1," ",IF(J67&lt;1," ",(J67-H67)/H67))</f>
        <v xml:space="preserve"> </v>
      </c>
      <c r="L67" s="1184">
        <f>'2nd Interim-Unrestricted MYP'!L67+'2nd Interim-Restricted MYP'!L67</f>
        <v>0</v>
      </c>
      <c r="M67" s="1330" t="str">
        <f>IF(J67&lt;1," ",IF(L67&lt;1," ",(L67-J67)/J67))</f>
        <v xml:space="preserve"> </v>
      </c>
      <c r="N67" s="1502"/>
      <c r="O67" s="1206"/>
      <c r="P67" s="1206"/>
      <c r="Q67" s="1206"/>
      <c r="R67" s="1206"/>
      <c r="S67" s="1206"/>
      <c r="T67" s="1206"/>
    </row>
    <row r="68" spans="1:21">
      <c r="A68" s="68"/>
      <c r="B68" s="348" t="s">
        <v>40</v>
      </c>
      <c r="C68" s="354" t="s">
        <v>352</v>
      </c>
      <c r="D68" s="604"/>
      <c r="E68" s="1193"/>
      <c r="F68" s="1193"/>
      <c r="G68" s="1193"/>
      <c r="H68" s="1193"/>
      <c r="I68" s="1493"/>
      <c r="J68" s="1193"/>
      <c r="K68" s="1493"/>
      <c r="L68" s="879"/>
      <c r="M68" s="865"/>
      <c r="N68" s="1504"/>
      <c r="O68" s="1206"/>
      <c r="P68" s="1206"/>
      <c r="Q68" s="1206"/>
      <c r="R68" s="1206"/>
      <c r="S68" s="1206"/>
      <c r="T68" s="1206"/>
    </row>
    <row r="69" spans="1:21">
      <c r="A69" s="68"/>
      <c r="B69" s="348"/>
      <c r="C69" s="349" t="s">
        <v>350</v>
      </c>
      <c r="D69" s="290">
        <v>9789</v>
      </c>
      <c r="E69" s="1184">
        <f>'2nd Interim-Unrestricted MYP'!E69+'2nd Interim-Restricted MYP'!E69</f>
        <v>0</v>
      </c>
      <c r="F69" s="1184">
        <f>'2nd Interim-Unrestricted MYP'!F69+'2nd Interim-Restricted MYP'!F69</f>
        <v>0</v>
      </c>
      <c r="G69" s="1184">
        <f>'2nd Interim-Unrestricted MYP'!G69+'2nd Interim-Restricted MYP'!G69</f>
        <v>0</v>
      </c>
      <c r="H69" s="1184">
        <f>'2nd Interim-Unrestricted MYP'!H69+'2nd Interim-Restricted MYP'!H69</f>
        <v>0</v>
      </c>
      <c r="I69" s="1329" t="str">
        <f>IF(E69&lt;1," ",IF(H69&lt;1," ",(H69-E69)/E69))</f>
        <v xml:space="preserve"> </v>
      </c>
      <c r="J69" s="1184">
        <f>'2nd Interim-Unrestricted MYP'!J69+'2nd Interim-Restricted MYP'!J69</f>
        <v>0</v>
      </c>
      <c r="K69" s="1329" t="str">
        <f>IF(H69&lt;1," ",IF(J69&lt;1," ",(J69-H69)/H69))</f>
        <v xml:space="preserve"> </v>
      </c>
      <c r="L69" s="1184">
        <f>'2nd Interim-Unrestricted MYP'!L69+'2nd Interim-Restricted MYP'!L69</f>
        <v>0</v>
      </c>
      <c r="M69" s="1330" t="str">
        <f>IF(J69&lt;1," ",IF(L69&lt;1," ",(L69-J69)/J69))</f>
        <v xml:space="preserve"> </v>
      </c>
      <c r="N69" s="1379"/>
      <c r="O69" s="1783" t="s">
        <v>416</v>
      </c>
      <c r="P69" s="1783"/>
      <c r="Q69" s="1783"/>
      <c r="R69" s="1783"/>
      <c r="S69" s="1783" t="s">
        <v>417</v>
      </c>
      <c r="T69" s="1783"/>
      <c r="U69" s="1783"/>
    </row>
    <row r="70" spans="1:21" ht="16.5" thickBot="1">
      <c r="A70" s="68"/>
      <c r="B70" s="899"/>
      <c r="C70" s="905" t="s">
        <v>351</v>
      </c>
      <c r="D70" s="629">
        <v>9790</v>
      </c>
      <c r="E70" s="1184">
        <f>'2nd Interim-Unrestricted MYP'!E70+'2nd Interim-Restricted MYP'!E70</f>
        <v>385104.05864251911</v>
      </c>
      <c r="F70" s="1184">
        <f>'2nd Interim-Unrestricted MYP'!F70+'2nd Interim-Restricted MYP'!F70</f>
        <v>267338.50730245042</v>
      </c>
      <c r="G70" s="1184">
        <f>'2nd Interim-Unrestricted MYP'!G70+'2nd Interim-Restricted MYP'!G70</f>
        <v>193691</v>
      </c>
      <c r="H70" s="1184" t="e">
        <f>'2nd Interim-Unrestricted MYP'!H70+'2nd Interim-Restricted MYP'!H70</f>
        <v>#VALUE!</v>
      </c>
      <c r="I70" s="1329" t="e">
        <f>IF(E70&lt;1," ",IF(H70&lt;1," ",(H70-E70)/E70))</f>
        <v>#VALUE!</v>
      </c>
      <c r="J70" s="1184" t="e">
        <f>'2nd Interim-Unrestricted MYP'!J70+'2nd Interim-Restricted MYP'!J70</f>
        <v>#VALUE!</v>
      </c>
      <c r="K70" s="1329" t="e">
        <f>IF(H70&lt;1," ",IF(J70&lt;1," ",(J70-H70)/H70))</f>
        <v>#VALUE!</v>
      </c>
      <c r="L70" s="1184" t="e">
        <f>'2nd Interim-Unrestricted MYP'!L70+'2nd Interim-Restricted MYP'!L70</f>
        <v>#VALUE!</v>
      </c>
      <c r="M70" s="1330" t="e">
        <f>IF(J70&lt;1," ",IF(L70&lt;1," ",(L70-J70)/J70))</f>
        <v>#VALUE!</v>
      </c>
      <c r="N70" s="1379"/>
      <c r="O70" s="1334">
        <v>0.05</v>
      </c>
      <c r="P70" s="136" t="s">
        <v>414</v>
      </c>
      <c r="Q70" s="1335">
        <v>71000</v>
      </c>
      <c r="R70" s="136" t="s">
        <v>415</v>
      </c>
      <c r="S70" s="1336">
        <v>0</v>
      </c>
      <c r="T70" s="204" t="s">
        <v>418</v>
      </c>
      <c r="U70" s="1336">
        <v>300</v>
      </c>
    </row>
    <row r="71" spans="1:21" ht="17.25" thickTop="1" thickBot="1">
      <c r="A71" s="240"/>
      <c r="B71" s="1872" t="s">
        <v>318</v>
      </c>
      <c r="C71" s="1873"/>
      <c r="D71" s="1873"/>
      <c r="E71" s="1494">
        <f>(E69+E70)/(+E37+E43)</f>
        <v>4.0550919003673247E-2</v>
      </c>
      <c r="F71" s="1494">
        <f>(F69+F70)/(+F37+F43)</f>
        <v>4.0498567666291965E-2</v>
      </c>
      <c r="G71" s="1494" t="e">
        <f>(G69+G70)/(+G37+G43)</f>
        <v>#DIV/0!</v>
      </c>
      <c r="H71" s="1494" t="e">
        <f>(H69+H70)/(+H37+H43)</f>
        <v>#VALUE!</v>
      </c>
      <c r="I71" s="1495"/>
      <c r="J71" s="1494" t="e">
        <f>(J69+J70)/(+J37+J43)</f>
        <v>#VALUE!</v>
      </c>
      <c r="K71" s="1495"/>
      <c r="L71" s="1494" t="e">
        <f>(L69+L70)/(+L37+L43)</f>
        <v>#VALUE!</v>
      </c>
      <c r="M71" s="1496"/>
      <c r="N71" s="1379"/>
      <c r="O71" s="1334">
        <v>0.04</v>
      </c>
      <c r="P71" s="136" t="s">
        <v>414</v>
      </c>
      <c r="Q71" s="1335">
        <v>71000</v>
      </c>
      <c r="R71" s="136" t="s">
        <v>415</v>
      </c>
      <c r="S71" s="1336">
        <v>301</v>
      </c>
      <c r="T71" s="204" t="s">
        <v>418</v>
      </c>
      <c r="U71" s="1336">
        <v>1000</v>
      </c>
    </row>
    <row r="72" spans="1:21">
      <c r="O72" s="1334">
        <v>0.03</v>
      </c>
      <c r="P72"/>
      <c r="Q72"/>
      <c r="R72"/>
      <c r="S72" s="1336">
        <v>1001</v>
      </c>
      <c r="T72" s="204" t="s">
        <v>418</v>
      </c>
      <c r="U72" s="1336">
        <v>30000</v>
      </c>
    </row>
    <row r="73" spans="1:21">
      <c r="A73" s="1"/>
      <c r="B73" s="136" t="s">
        <v>467</v>
      </c>
      <c r="C73" s="134"/>
      <c r="E73" s="1497">
        <f>IF('2nd Interim-ADA'!L76&lt;300.99,0.05,(IF(AND('2nd Interim-ADA'!L76 &gt;=301,'2nd Interim-ADA'!L76&lt;=1000.99),0.04,IF(AND('2nd Interim-ADA'!L76 &gt;=1001,'2nd Interim-ADA'!L76&lt;=30000.99),0.03,0.02))))</f>
        <v>0.04</v>
      </c>
      <c r="F73" s="1497" t="e">
        <f>IF('2nd Interim-ADA'!O76&lt;300.99,0.05,(IF(AND('2nd Interim-ADA'!O76 &gt;=301,'2nd Interim-ADA'!O76&lt;=1000.99),0.04,IF(AND('2nd Interim-ADA'!O76 &gt;=1001,'2nd Interim-ADA'!O76&lt;=30000.99),0.03,0.02))))</f>
        <v>#VALUE!</v>
      </c>
      <c r="G73" s="1497" t="e">
        <f>IF('2nd Interim-ADA'!O76&lt;300.99,0.05,(IF(AND('2nd Interim-ADA'!O76 &gt;=301,'2nd Interim-ADA'!O76&lt;=1000.99),0.04,IF(AND('2nd Interim-ADA'!O76 &gt;=1001,'2nd Interim-ADA'!O76&lt;=30000.99),0.03,0.02))))</f>
        <v>#VALUE!</v>
      </c>
      <c r="H73" s="1497" t="e">
        <f>IF('2nd Interim-ADA'!O76&lt;300.99,0.05,(IF(AND('2nd Interim-ADA'!O76 &gt;=301,'2nd Interim-ADA'!O76&lt;=1000.99),0.04,IF(AND('2nd Interim-ADA'!O76 &gt;=1001,'2nd Interim-ADA'!O76&lt;=30000.99),0.03,0.02))))</f>
        <v>#VALUE!</v>
      </c>
      <c r="J73" s="1497" t="e">
        <f>IF('2nd Interim-ADA'!R76&lt;300.99,0.05,(IF(AND('2nd Interim-ADA'!R76 &gt;=301,'2nd Interim-ADA'!R76&lt;=1000.99),0.04,IF(AND('2nd Interim-ADA'!R76 &gt;=1001,'2nd Interim-ADA'!R76&lt;=30000.99),0.03,0.02))))</f>
        <v>#VALUE!</v>
      </c>
      <c r="L73" s="1497" t="e">
        <f>IF('2nd Interim-ADA'!U76&lt;300.99,0.05,(IF(AND('2nd Interim-ADA'!U76 &gt;=301,'2nd Interim-ADA'!U76&lt;=1000.99),0.04,IF(AND('2nd Interim-ADA'!U76 &gt;=1001,'2nd Interim-ADA'!U76&lt;=30000.99),0.03,0.02))))</f>
        <v>#VALUE!</v>
      </c>
      <c r="O73" s="1334">
        <v>0.02</v>
      </c>
      <c r="P73"/>
      <c r="Q73"/>
      <c r="R73"/>
      <c r="S73" s="1336">
        <v>30001</v>
      </c>
      <c r="T73" s="204" t="s">
        <v>418</v>
      </c>
      <c r="U73" s="1336">
        <v>400000</v>
      </c>
    </row>
    <row r="74" spans="1:21">
      <c r="A74"/>
      <c r="B74" s="136" t="s">
        <v>466</v>
      </c>
      <c r="C74" s="134"/>
      <c r="E74" s="1625"/>
      <c r="F74" s="1403"/>
      <c r="G74" s="1403"/>
      <c r="H74" s="1403"/>
      <c r="J74" s="1403"/>
      <c r="L74" s="1403"/>
      <c r="O74" s="1334">
        <v>0.01</v>
      </c>
      <c r="P74"/>
      <c r="Q74"/>
      <c r="R74"/>
      <c r="S74" s="1336">
        <v>400001</v>
      </c>
      <c r="T74" s="204" t="s">
        <v>419</v>
      </c>
      <c r="U74" s="1337"/>
    </row>
    <row r="75" spans="1:21">
      <c r="A75"/>
      <c r="B75" s="134" t="s">
        <v>420</v>
      </c>
      <c r="C75" s="134"/>
      <c r="E75" s="1226" t="str">
        <f>T('Budget-Summary MYP'!F75)</f>
        <v>Met</v>
      </c>
      <c r="F75" s="1226" t="e">
        <f>IF(F74="",IF(F71&gt;=F73,"Met","Not Met"),IF(F71&gt;=F74,"Met","Not Met"))</f>
        <v>#VALUE!</v>
      </c>
      <c r="G75" s="1226" t="e">
        <f>IF(G74="",IF(G71&gt;=G73,"Met","Not Met"),IF(G71&gt;=G74,"Met","Not Met"))</f>
        <v>#DIV/0!</v>
      </c>
      <c r="H75" s="1226" t="e">
        <f>IF(H74="",IF(H71&gt;=H73,"Met","Not Met"),IF(H71&gt;=H74,"Met","Not Met"))</f>
        <v>#VALUE!</v>
      </c>
      <c r="J75" s="1226" t="e">
        <f>IF(J74="",IF(J71&gt;=J73,"Met","Not Met"),IF(J71&gt;=J74,"Met","Not Met"))</f>
        <v>#VALUE!</v>
      </c>
      <c r="L75" s="1226" t="e">
        <f>IF(L74="",IF(L71&gt;=L73,"Met","Not Met"),IF(L71&gt;=L74,"Met","Not Met"))</f>
        <v>#VALUE!</v>
      </c>
      <c r="O75" s="1334"/>
      <c r="P75"/>
      <c r="Q75"/>
      <c r="R75"/>
      <c r="S75" s="1336"/>
      <c r="T75" s="204"/>
      <c r="U75" s="1337"/>
    </row>
    <row r="76" spans="1:21" ht="16.5" thickBot="1">
      <c r="A76"/>
      <c r="B76" s="134"/>
      <c r="C76" s="134"/>
      <c r="E76" s="1226"/>
      <c r="F76" s="1226"/>
      <c r="G76" s="1226"/>
      <c r="H76" s="1226"/>
      <c r="J76" s="1226"/>
      <c r="L76" s="1226"/>
      <c r="O76" s="1334"/>
      <c r="P76"/>
      <c r="Q76"/>
      <c r="R76"/>
      <c r="S76" s="1336"/>
      <c r="T76" s="204"/>
      <c r="U76" s="1337"/>
    </row>
    <row r="77" spans="1:21" ht="16.5" thickBot="1">
      <c r="A77"/>
      <c r="B77" s="1797" t="s">
        <v>490</v>
      </c>
      <c r="C77" s="1798"/>
      <c r="D77" s="1798"/>
      <c r="E77" s="1798"/>
      <c r="F77" s="1798"/>
      <c r="G77" s="1798"/>
      <c r="H77" s="1798"/>
      <c r="I77" s="1798"/>
      <c r="J77" s="1798"/>
      <c r="K77" s="1798"/>
      <c r="L77" s="1798"/>
      <c r="M77" s="1799"/>
      <c r="N77" s="136"/>
      <c r="O77"/>
      <c r="P77"/>
      <c r="Q77"/>
      <c r="R77" s="1336"/>
      <c r="S77" s="204"/>
      <c r="T77" s="1337"/>
    </row>
    <row r="78" spans="1:21" ht="86.25" customHeight="1">
      <c r="A78"/>
      <c r="B78" s="1874"/>
      <c r="C78" s="1875"/>
      <c r="D78" s="1875"/>
      <c r="E78" s="1875"/>
      <c r="F78" s="1875"/>
      <c r="G78" s="1875"/>
      <c r="H78" s="1875"/>
      <c r="I78" s="1875"/>
      <c r="J78" s="1875"/>
      <c r="K78" s="1875"/>
      <c r="L78" s="1875"/>
      <c r="M78" s="1876"/>
      <c r="N78" s="1226"/>
      <c r="O78"/>
      <c r="P78"/>
      <c r="Q78"/>
      <c r="R78" s="1336"/>
      <c r="S78" s="204"/>
      <c r="T78" s="1337"/>
    </row>
    <row r="79" spans="1:21">
      <c r="A79"/>
      <c r="B79"/>
      <c r="C79"/>
      <c r="E79"/>
      <c r="F79"/>
      <c r="O79" s="1334"/>
      <c r="P79" s="136"/>
      <c r="Q79" s="1335"/>
      <c r="R79" s="136"/>
      <c r="S79" s="1336"/>
      <c r="T79" s="204"/>
      <c r="U79" s="1336"/>
    </row>
    <row r="80" spans="1:21">
      <c r="A80"/>
      <c r="B80" s="136" t="s">
        <v>423</v>
      </c>
      <c r="C80"/>
      <c r="E80" s="1411">
        <f>'Budget-Summary MYP'!F80</f>
        <v>0</v>
      </c>
      <c r="F80" s="1411">
        <f>'Budget-Summary MYP'!G80</f>
        <v>0</v>
      </c>
      <c r="G80" s="1411">
        <f>ROUND(-MIN('2nd Interim-Unrestricted MYP'!G46/('2nd Interim-Unrestricted MYP'!G37+'2nd Interim-Unrestricted MYP'!F43),0),3)</f>
        <v>0</v>
      </c>
      <c r="H80" s="1411" t="e">
        <f>ROUND(-MIN('2nd Interim-Unrestricted MYP'!H46/('2nd Interim-Unrestricted MYP'!H37+'2nd Interim-Unrestricted MYP'!G43),0),3)</f>
        <v>#VALUE!</v>
      </c>
      <c r="J80" s="1411" t="e">
        <f>ROUND(-MIN('2nd Interim-Unrestricted MYP'!J46/('2nd Interim-Unrestricted MYP'!J37+'2nd Interim-Unrestricted MYP'!J43),0),3)</f>
        <v>#VALUE!</v>
      </c>
      <c r="L80" s="1411" t="e">
        <f>ROUND(-MIN('2nd Interim-Unrestricted MYP'!L46/('2nd Interim-Unrestricted MYP'!L37+'2nd Interim-Unrestricted MYP'!L43),0),3)</f>
        <v>#VALUE!</v>
      </c>
      <c r="O80"/>
      <c r="P80" s="136"/>
      <c r="Q80" s="1335"/>
      <c r="R80" s="136"/>
      <c r="S80" s="1336"/>
      <c r="T80" s="204"/>
      <c r="U80" s="1336"/>
    </row>
    <row r="81" spans="1:21">
      <c r="A81"/>
      <c r="B81" s="134" t="s">
        <v>424</v>
      </c>
      <c r="C81"/>
      <c r="E81" s="1412">
        <f>'Budget-Summary MYP'!F81</f>
        <v>1.4E-2</v>
      </c>
      <c r="F81" s="1412">
        <f>'Budget-Summary MYP'!G81</f>
        <v>0</v>
      </c>
      <c r="G81" s="1412" t="e">
        <f>ROUND(G71/3,3)</f>
        <v>#DIV/0!</v>
      </c>
      <c r="H81" s="1412" t="e">
        <f>ROUND(H71/3,3)</f>
        <v>#VALUE!</v>
      </c>
      <c r="J81" s="1412" t="e">
        <f>ROUND(J71/3,3)</f>
        <v>#VALUE!</v>
      </c>
      <c r="L81" s="1412" t="e">
        <f>ROUND(L71/3,3)</f>
        <v>#VALUE!</v>
      </c>
      <c r="O81" s="1338" t="s">
        <v>421</v>
      </c>
      <c r="P81" s="136"/>
      <c r="Q81" s="1335"/>
      <c r="R81" s="136"/>
      <c r="S81" s="1336"/>
      <c r="T81" s="204"/>
      <c r="U81" s="1336"/>
    </row>
    <row r="82" spans="1:21">
      <c r="A82"/>
      <c r="B82" s="134" t="s">
        <v>425</v>
      </c>
      <c r="C82"/>
      <c r="E82" s="1226" t="str">
        <f>T('Budget-Summary MYP'!F82)</f>
        <v>Met</v>
      </c>
      <c r="F82" s="1226" t="str">
        <f>T('Budget-Summary MYP'!G82)</f>
        <v/>
      </c>
      <c r="G82" s="1226" t="e">
        <f>IF(G80&lt;=G81,"Met","Not Met")</f>
        <v>#DIV/0!</v>
      </c>
      <c r="H82" s="1226" t="e">
        <f>IF(H80&lt;=H81,"Met","Not Met")</f>
        <v>#VALUE!</v>
      </c>
      <c r="J82" s="1226" t="e">
        <f>IF(J80&lt;=J81,"Met","Not Met")</f>
        <v>#VALUE!</v>
      </c>
      <c r="L82" s="1226" t="e">
        <f>IF(L80&lt;=L81,"Met","Not Met")</f>
        <v>#VALUE!</v>
      </c>
      <c r="O82" s="1786" t="s">
        <v>422</v>
      </c>
      <c r="P82" s="1787"/>
      <c r="Q82" s="1787"/>
      <c r="R82" s="1787"/>
      <c r="S82" s="1787"/>
      <c r="T82" s="1787"/>
      <c r="U82" s="1787"/>
    </row>
    <row r="83" spans="1:21" ht="16.5" thickBot="1">
      <c r="A83"/>
      <c r="B83"/>
      <c r="C83"/>
      <c r="N83" s="136"/>
      <c r="O83" s="1787"/>
      <c r="P83" s="1787"/>
      <c r="Q83" s="1787"/>
      <c r="R83" s="1787"/>
      <c r="S83" s="1787"/>
      <c r="T83" s="1787"/>
      <c r="U83" s="1787"/>
    </row>
    <row r="84" spans="1:21" ht="16.5" thickBot="1">
      <c r="B84" s="1797" t="s">
        <v>493</v>
      </c>
      <c r="C84" s="1798"/>
      <c r="D84" s="1798"/>
      <c r="E84" s="1798"/>
      <c r="F84" s="1798"/>
      <c r="G84" s="1798"/>
      <c r="H84" s="1798"/>
      <c r="I84" s="1798"/>
      <c r="J84" s="1798"/>
      <c r="K84" s="1798"/>
      <c r="L84" s="1798"/>
      <c r="M84" s="1799"/>
      <c r="N84" s="1413"/>
      <c r="O84" s="1787"/>
      <c r="P84" s="1787"/>
      <c r="Q84" s="1787"/>
      <c r="R84" s="1787"/>
      <c r="S84" s="1787"/>
      <c r="T84" s="1787"/>
      <c r="U84" s="1787"/>
    </row>
    <row r="85" spans="1:21" ht="91.5" customHeight="1">
      <c r="B85" s="1791"/>
      <c r="C85" s="1792"/>
      <c r="D85" s="1792"/>
      <c r="E85" s="1792"/>
      <c r="F85" s="1792"/>
      <c r="G85" s="1792"/>
      <c r="H85" s="1792"/>
      <c r="I85" s="1792"/>
      <c r="J85" s="1792"/>
      <c r="K85" s="1792"/>
      <c r="L85" s="1792"/>
      <c r="M85" s="1793"/>
      <c r="N85" s="1413"/>
      <c r="O85" s="1787"/>
      <c r="P85" s="1787"/>
      <c r="Q85" s="1787"/>
      <c r="R85" s="1787"/>
      <c r="S85" s="1787"/>
      <c r="T85" s="1787"/>
      <c r="U85" s="1787"/>
    </row>
    <row r="86" spans="1:21" ht="36.75" customHeight="1">
      <c r="E86" s="1626"/>
      <c r="F86" s="1560"/>
      <c r="G86" s="1560"/>
      <c r="H86" s="1560"/>
      <c r="I86" s="1560"/>
      <c r="J86" s="1560"/>
      <c r="K86" s="1560"/>
      <c r="L86" s="1560"/>
      <c r="M86" s="1560"/>
      <c r="N86" s="1413"/>
      <c r="O86" s="1787"/>
      <c r="P86" s="1787"/>
      <c r="Q86" s="1787"/>
      <c r="R86" s="1787"/>
      <c r="S86" s="1787"/>
      <c r="T86" s="1787"/>
      <c r="U86" s="1787"/>
    </row>
  </sheetData>
  <sheetProtection password="D94D" sheet="1"/>
  <mergeCells count="13">
    <mergeCell ref="S69:U69"/>
    <mergeCell ref="O82:U86"/>
    <mergeCell ref="B71:D71"/>
    <mergeCell ref="B77:M77"/>
    <mergeCell ref="B78:M78"/>
    <mergeCell ref="B84:M84"/>
    <mergeCell ref="B85:M85"/>
    <mergeCell ref="O69:R69"/>
    <mergeCell ref="A1:C1"/>
    <mergeCell ref="A2:C2"/>
    <mergeCell ref="A3:C3"/>
    <mergeCell ref="A8:C8"/>
    <mergeCell ref="A28:C28"/>
  </mergeCells>
  <conditionalFormatting sqref="A1:A3">
    <cfRule type="containsText" dxfId="37" priority="25" stopIfTrue="1" operator="containsText" text="Enter">
      <formula>NOT(ISERROR(SEARCH("Enter",A1)))</formula>
    </cfRule>
  </conditionalFormatting>
  <conditionalFormatting sqref="F82">
    <cfRule type="containsText" dxfId="36" priority="19" stopIfTrue="1" operator="containsText" text="Met">
      <formula>NOT(ISERROR(SEARCH("Met",F82)))</formula>
    </cfRule>
  </conditionalFormatting>
  <conditionalFormatting sqref="F82">
    <cfRule type="containsText" dxfId="35" priority="18" stopIfTrue="1" operator="containsText" text="Not Met">
      <formula>NOT(ISERROR(SEARCH("Not Met",F82)))</formula>
    </cfRule>
  </conditionalFormatting>
  <conditionalFormatting sqref="G75:G76">
    <cfRule type="containsText" dxfId="34" priority="17" stopIfTrue="1" operator="containsText" text="Met">
      <formula>NOT(ISERROR(SEARCH("Met",G75)))</formula>
    </cfRule>
  </conditionalFormatting>
  <conditionalFormatting sqref="G75:G76">
    <cfRule type="containsText" dxfId="33" priority="16" stopIfTrue="1" operator="containsText" text="Not Met">
      <formula>NOT(ISERROR(SEARCH("Not Met",G75)))</formula>
    </cfRule>
  </conditionalFormatting>
  <conditionalFormatting sqref="L75:L76 J75:J76 H75:H76">
    <cfRule type="containsText" dxfId="32" priority="15" stopIfTrue="1" operator="containsText" text="Met">
      <formula>NOT(ISERROR(SEARCH("Met",H75)))</formula>
    </cfRule>
  </conditionalFormatting>
  <conditionalFormatting sqref="L75:L76 J75:J76 H75:H76">
    <cfRule type="containsText" dxfId="31" priority="14" stopIfTrue="1" operator="containsText" text="Not Met">
      <formula>NOT(ISERROR(SEARCH("Not Met",H75)))</formula>
    </cfRule>
  </conditionalFormatting>
  <conditionalFormatting sqref="L82 J82 G82:H82">
    <cfRule type="containsText" dxfId="30" priority="13" stopIfTrue="1" operator="containsText" text="Met">
      <formula>NOT(ISERROR(SEARCH("Met",G82)))</formula>
    </cfRule>
  </conditionalFormatting>
  <conditionalFormatting sqref="L82 J82 G82:H82">
    <cfRule type="containsText" dxfId="29" priority="12" stopIfTrue="1" operator="containsText" text="Not Met">
      <formula>NOT(ISERROR(SEARCH("Not Met",G82)))</formula>
    </cfRule>
  </conditionalFormatting>
  <conditionalFormatting sqref="B73 L73 J73 E73:H73">
    <cfRule type="expression" dxfId="28" priority="381" stopIfTrue="1">
      <formula>#REF!=""</formula>
    </cfRule>
  </conditionalFormatting>
  <conditionalFormatting sqref="B74">
    <cfRule type="expression" dxfId="27" priority="382" stopIfTrue="1">
      <formula>#REF!&lt;&gt;0</formula>
    </cfRule>
  </conditionalFormatting>
  <conditionalFormatting sqref="E76">
    <cfRule type="containsText" dxfId="26" priority="10" stopIfTrue="1" operator="containsText" text="Met">
      <formula>NOT(ISERROR(SEARCH("Met",E76)))</formula>
    </cfRule>
  </conditionalFormatting>
  <conditionalFormatting sqref="E76">
    <cfRule type="containsText" dxfId="25" priority="9" stopIfTrue="1" operator="containsText" text="Not Met">
      <formula>NOT(ISERROR(SEARCH("Not Met",E76)))</formula>
    </cfRule>
  </conditionalFormatting>
  <conditionalFormatting sqref="E82">
    <cfRule type="containsText" dxfId="24" priority="8" stopIfTrue="1" operator="containsText" text="Met">
      <formula>NOT(ISERROR(SEARCH("Met",E82)))</formula>
    </cfRule>
  </conditionalFormatting>
  <conditionalFormatting sqref="E82">
    <cfRule type="containsText" dxfId="23" priority="7" stopIfTrue="1" operator="containsText" text="Not Met">
      <formula>NOT(ISERROR(SEARCH("Not Met",E82)))</formula>
    </cfRule>
  </conditionalFormatting>
  <conditionalFormatting sqref="F75:F76">
    <cfRule type="containsText" dxfId="22" priority="6" stopIfTrue="1" operator="containsText" text="Met">
      <formula>NOT(ISERROR(SEARCH("Met",F75)))</formula>
    </cfRule>
  </conditionalFormatting>
  <conditionalFormatting sqref="F75:F76">
    <cfRule type="containsText" dxfId="21" priority="5" stopIfTrue="1" operator="containsText" text="Not Met">
      <formula>NOT(ISERROR(SEARCH("Not Met",F75)))</formula>
    </cfRule>
  </conditionalFormatting>
  <conditionalFormatting sqref="B78">
    <cfRule type="containsText" dxfId="20" priority="4" stopIfTrue="1" operator="containsText" text="Met">
      <formula>NOT(ISERROR(SEARCH("Met",B78)))</formula>
    </cfRule>
  </conditionalFormatting>
  <conditionalFormatting sqref="B78">
    <cfRule type="containsText" dxfId="19" priority="3" stopIfTrue="1" operator="containsText" text="Not Met">
      <formula>NOT(ISERROR(SEARCH("Not Met",B78)))</formula>
    </cfRule>
  </conditionalFormatting>
  <conditionalFormatting sqref="E75">
    <cfRule type="containsText" dxfId="18" priority="2" stopIfTrue="1" operator="containsText" text="Met">
      <formula>NOT(ISERROR(SEARCH("Met",E75)))</formula>
    </cfRule>
  </conditionalFormatting>
  <conditionalFormatting sqref="E75">
    <cfRule type="containsText" dxfId="17" priority="1" stopIfTrue="1" operator="containsText" text="Not Met">
      <formula>NOT(ISERROR(SEARCH("Not Met",E75)))</formula>
    </cfRule>
  </conditionalFormatting>
  <printOptions horizontalCentered="1"/>
  <pageMargins left="0.25" right="0.25" top="0.5" bottom="0.25" header="0.5" footer="0.5"/>
  <pageSetup scale="61" fitToHeight="0" orientation="landscape" horizontalDpi="1200" verticalDpi="1200" r:id="rId1"/>
  <headerFooter alignWithMargins="0">
    <oddFooter>Page &amp;P of &amp;N</oddFooter>
  </headerFooter>
  <rowBreaks count="1" manualBreakCount="1">
    <brk id="47"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
    <tabColor theme="5"/>
    <pageSetUpPr fitToPage="1"/>
  </sheetPr>
  <dimension ref="A1:L34"/>
  <sheetViews>
    <sheetView showGridLines="0" zoomScaleNormal="100" workbookViewId="0">
      <selection activeCell="A10" sqref="A10"/>
    </sheetView>
  </sheetViews>
  <sheetFormatPr defaultColWidth="9.28515625" defaultRowHeight="12.75"/>
  <cols>
    <col min="1" max="1" width="3.7109375" customWidth="1"/>
    <col min="2" max="2" width="25.7109375" customWidth="1"/>
    <col min="4" max="4" width="16.7109375" customWidth="1"/>
    <col min="5" max="10" width="14.7109375" customWidth="1"/>
    <col min="11" max="11" width="11.7109375" customWidth="1"/>
    <col min="12" max="12" width="83.42578125" style="1203" customWidth="1"/>
  </cols>
  <sheetData>
    <row r="1" spans="1:11" ht="18">
      <c r="A1" s="137" t="s">
        <v>119</v>
      </c>
      <c r="B1" s="137"/>
      <c r="H1" s="136"/>
      <c r="I1" s="136"/>
    </row>
    <row r="2" spans="1:11">
      <c r="A2" s="170" t="str">
        <f>'2nd Interim-ADA'!J4</f>
        <v>Fiscal Year 2022-23 Second Interim Report</v>
      </c>
    </row>
    <row r="3" spans="1:11" ht="13.5" customHeight="1">
      <c r="A3" s="1645" t="str">
        <f>IF('INTERIM-CERTIFICATION'!$M$1="","CHARTER NAME: Enter Charter Name on INTERIM-CERTIFICATION Worksheet",(CONCATENATE("CHARTER NAME: ",'INTERIM-CERTIFICATION'!$M$1)))</f>
        <v>CHARTER NAME: Elite Academic Academy - Virtual Prep Lucerne</v>
      </c>
      <c r="B3" s="1645"/>
      <c r="C3" s="1645"/>
      <c r="D3" s="1645"/>
      <c r="E3" s="1645"/>
      <c r="F3" s="1645"/>
      <c r="G3" s="171"/>
      <c r="H3" s="171"/>
      <c r="I3" s="171"/>
    </row>
    <row r="4" spans="1:11">
      <c r="A4" s="1579" t="str">
        <f>Instructions!H1</f>
        <v>Form Orignated 5/16/2022</v>
      </c>
    </row>
    <row r="5" spans="1:11" ht="12.75" customHeight="1">
      <c r="A5" s="1814" t="s">
        <v>325</v>
      </c>
      <c r="B5" s="1814"/>
      <c r="C5" s="1814"/>
      <c r="D5" s="1814"/>
      <c r="E5" s="1814"/>
      <c r="F5" s="1814"/>
      <c r="G5" s="1814"/>
      <c r="H5" s="1814"/>
      <c r="I5" s="369"/>
      <c r="J5" s="369"/>
      <c r="K5" s="369"/>
    </row>
    <row r="6" spans="1:11">
      <c r="A6" s="1814"/>
      <c r="B6" s="1814"/>
      <c r="C6" s="1814"/>
      <c r="D6" s="1814"/>
      <c r="E6" s="1814"/>
      <c r="F6" s="1814"/>
      <c r="G6" s="1814"/>
      <c r="H6" s="1814"/>
      <c r="I6" s="369"/>
      <c r="J6" s="369"/>
      <c r="K6" s="369"/>
    </row>
    <row r="7" spans="1:11">
      <c r="A7" s="1814"/>
      <c r="B7" s="1814"/>
      <c r="C7" s="1814"/>
      <c r="D7" s="1814"/>
      <c r="E7" s="1814"/>
      <c r="F7" s="1814"/>
      <c r="G7" s="1814"/>
      <c r="H7" s="1814"/>
    </row>
    <row r="8" spans="1:11" ht="12.75" customHeight="1">
      <c r="A8" s="1815" t="s">
        <v>326</v>
      </c>
      <c r="B8" s="1815"/>
      <c r="C8" s="1815"/>
      <c r="D8" s="1815"/>
      <c r="E8" s="1815"/>
      <c r="F8" s="1815"/>
      <c r="G8" s="1815"/>
      <c r="H8" s="1815"/>
    </row>
    <row r="10" spans="1:11" ht="19.5" customHeight="1" thickBot="1">
      <c r="A10" s="1277"/>
      <c r="B10" s="134" t="s">
        <v>248</v>
      </c>
    </row>
    <row r="11" spans="1:11" ht="19.5" customHeight="1" thickBot="1">
      <c r="A11" s="204"/>
      <c r="B11" s="134"/>
    </row>
    <row r="12" spans="1:11" ht="13.5" thickTop="1">
      <c r="A12" s="1339"/>
      <c r="B12" s="1340"/>
      <c r="C12" s="1341"/>
      <c r="D12" s="1342" t="s">
        <v>241</v>
      </c>
      <c r="E12" s="1808" t="str">
        <f>'2nd Interim-Assumptions'!G6</f>
        <v>2022-23</v>
      </c>
      <c r="F12" s="1809"/>
      <c r="G12" s="1810" t="str">
        <f>'2nd Interim-Assumptions'!H6</f>
        <v>2023-24</v>
      </c>
      <c r="H12" s="1811"/>
      <c r="I12" s="1810" t="str">
        <f>'2nd Interim-Assumptions'!J6</f>
        <v>2024-25</v>
      </c>
      <c r="J12" s="1811"/>
      <c r="K12" s="1343" t="s">
        <v>120</v>
      </c>
    </row>
    <row r="13" spans="1:11">
      <c r="A13" s="1344"/>
      <c r="C13" s="1345" t="s">
        <v>123</v>
      </c>
      <c r="D13" s="1346" t="str">
        <f>'Budget-DEBT'!D13</f>
        <v>2022</v>
      </c>
      <c r="E13" s="1812" t="s">
        <v>121</v>
      </c>
      <c r="F13" s="1813"/>
      <c r="G13" s="1812" t="s">
        <v>121</v>
      </c>
      <c r="H13" s="1813"/>
      <c r="I13" s="1812" t="s">
        <v>121</v>
      </c>
      <c r="J13" s="1813"/>
      <c r="K13" s="1347" t="s">
        <v>237</v>
      </c>
    </row>
    <row r="14" spans="1:11" ht="13.5" thickBot="1">
      <c r="A14" s="1344" t="s">
        <v>122</v>
      </c>
      <c r="C14" s="1348" t="s">
        <v>243</v>
      </c>
      <c r="D14" s="1349" t="s">
        <v>240</v>
      </c>
      <c r="E14" s="1350" t="s">
        <v>238</v>
      </c>
      <c r="F14" s="1351" t="s">
        <v>239</v>
      </c>
      <c r="G14" s="1350" t="s">
        <v>238</v>
      </c>
      <c r="H14" s="1351" t="s">
        <v>239</v>
      </c>
      <c r="I14" s="1350" t="s">
        <v>238</v>
      </c>
      <c r="J14" s="1351" t="s">
        <v>239</v>
      </c>
      <c r="K14" s="1352"/>
    </row>
    <row r="15" spans="1:11" ht="18" customHeight="1" thickBot="1">
      <c r="A15" s="172" t="s">
        <v>131</v>
      </c>
      <c r="B15" s="173"/>
      <c r="C15" s="202"/>
      <c r="D15" s="29"/>
      <c r="E15" s="210"/>
      <c r="F15" s="212"/>
      <c r="G15" s="210"/>
      <c r="H15" s="212"/>
      <c r="I15" s="210"/>
      <c r="J15" s="212"/>
      <c r="K15" s="213"/>
    </row>
    <row r="16" spans="1:11" ht="18" customHeight="1" thickBot="1">
      <c r="A16" s="172" t="s">
        <v>132</v>
      </c>
      <c r="B16" s="173"/>
      <c r="C16" s="202"/>
      <c r="D16" s="29"/>
      <c r="E16" s="210"/>
      <c r="F16" s="212"/>
      <c r="G16" s="210"/>
      <c r="H16" s="212"/>
      <c r="I16" s="210"/>
      <c r="J16" s="212"/>
      <c r="K16" s="213"/>
    </row>
    <row r="17" spans="1:12" ht="18" customHeight="1" thickBot="1">
      <c r="A17" s="172" t="s">
        <v>134</v>
      </c>
      <c r="B17" s="173"/>
      <c r="C17" s="202"/>
      <c r="D17" s="29"/>
      <c r="E17" s="210"/>
      <c r="F17" s="212"/>
      <c r="G17" s="210"/>
      <c r="H17" s="212"/>
      <c r="I17" s="210"/>
      <c r="J17" s="212"/>
      <c r="K17" s="213"/>
    </row>
    <row r="18" spans="1:12" ht="18" customHeight="1" thickBot="1">
      <c r="A18" s="172" t="s">
        <v>133</v>
      </c>
      <c r="B18" s="173"/>
      <c r="C18" s="202"/>
      <c r="D18" s="194"/>
      <c r="E18" s="211"/>
      <c r="F18" s="212"/>
      <c r="G18" s="211"/>
      <c r="H18" s="212"/>
      <c r="I18" s="211"/>
      <c r="J18" s="212"/>
      <c r="K18" s="213"/>
    </row>
    <row r="19" spans="1:12" ht="18" customHeight="1" thickBot="1">
      <c r="A19" s="172" t="s">
        <v>126</v>
      </c>
      <c r="B19" s="173"/>
      <c r="C19" s="202"/>
      <c r="D19" s="29"/>
      <c r="E19" s="210"/>
      <c r="F19" s="212"/>
      <c r="G19" s="210"/>
      <c r="H19" s="212"/>
      <c r="I19" s="210"/>
      <c r="J19" s="212"/>
      <c r="K19" s="213"/>
    </row>
    <row r="20" spans="1:12" ht="18" customHeight="1" thickBot="1">
      <c r="A20" s="172" t="s">
        <v>130</v>
      </c>
      <c r="B20" s="173"/>
      <c r="C20" s="202"/>
      <c r="D20" s="29"/>
      <c r="E20" s="210"/>
      <c r="F20" s="212"/>
      <c r="G20" s="210"/>
      <c r="H20" s="212"/>
      <c r="I20" s="210"/>
      <c r="J20" s="212"/>
      <c r="K20" s="213"/>
    </row>
    <row r="21" spans="1:12" ht="18" customHeight="1" thickBot="1">
      <c r="A21" s="174" t="s">
        <v>468</v>
      </c>
      <c r="B21" s="173"/>
      <c r="C21" s="202"/>
      <c r="D21" s="29"/>
      <c r="E21" s="210"/>
      <c r="F21" s="212"/>
      <c r="G21" s="210"/>
      <c r="H21" s="212"/>
      <c r="I21" s="210"/>
      <c r="J21" s="212"/>
      <c r="K21" s="213"/>
    </row>
    <row r="22" spans="1:12" ht="18" customHeight="1" thickBot="1">
      <c r="A22" s="174" t="s">
        <v>468</v>
      </c>
      <c r="B22" s="174"/>
      <c r="C22" s="202"/>
      <c r="D22" s="29"/>
      <c r="E22" s="210"/>
      <c r="F22" s="212"/>
      <c r="G22" s="210"/>
      <c r="H22" s="212"/>
      <c r="I22" s="210"/>
      <c r="J22" s="212"/>
      <c r="K22" s="213"/>
    </row>
    <row r="23" spans="1:12" ht="18" customHeight="1" thickBot="1">
      <c r="A23" s="174" t="s">
        <v>468</v>
      </c>
      <c r="B23" s="173"/>
      <c r="C23" s="202"/>
      <c r="D23" s="29"/>
      <c r="E23" s="210"/>
      <c r="F23" s="212"/>
      <c r="G23" s="210"/>
      <c r="H23" s="212"/>
      <c r="I23" s="210"/>
      <c r="J23" s="212"/>
      <c r="K23" s="213"/>
    </row>
    <row r="24" spans="1:12" ht="18" customHeight="1" thickBot="1">
      <c r="A24" s="174" t="s">
        <v>469</v>
      </c>
      <c r="B24" s="173"/>
      <c r="C24" s="202"/>
      <c r="D24" s="29"/>
      <c r="E24" s="210"/>
      <c r="F24" s="212"/>
      <c r="G24" s="210"/>
      <c r="H24" s="212"/>
      <c r="I24" s="210"/>
      <c r="J24" s="212"/>
      <c r="K24" s="213"/>
    </row>
    <row r="25" spans="1:12" ht="18" customHeight="1" thickBot="1">
      <c r="A25" s="174" t="s">
        <v>161</v>
      </c>
      <c r="B25" s="173"/>
      <c r="C25" s="202"/>
      <c r="D25" s="1363"/>
      <c r="E25" s="1364"/>
      <c r="F25" s="1365"/>
      <c r="G25" s="1364"/>
      <c r="H25" s="1365"/>
      <c r="I25" s="1364"/>
      <c r="J25" s="1365"/>
      <c r="K25" s="213"/>
    </row>
    <row r="26" spans="1:12" s="134" customFormat="1" ht="18" customHeight="1" thickBot="1">
      <c r="A26" s="1360"/>
      <c r="B26" s="1361" t="s">
        <v>0</v>
      </c>
      <c r="C26" s="1362"/>
      <c r="D26" s="1366">
        <f>SUM(D15:D25)</f>
        <v>0</v>
      </c>
      <c r="E26" s="1367">
        <f t="shared" ref="E26:J26" si="0">SUM(E15:E25)</f>
        <v>0</v>
      </c>
      <c r="F26" s="1368">
        <f t="shared" si="0"/>
        <v>0</v>
      </c>
      <c r="G26" s="1367">
        <f t="shared" si="0"/>
        <v>0</v>
      </c>
      <c r="H26" s="1368">
        <f t="shared" si="0"/>
        <v>0</v>
      </c>
      <c r="I26" s="1367">
        <f t="shared" si="0"/>
        <v>0</v>
      </c>
      <c r="J26" s="1368">
        <f t="shared" si="0"/>
        <v>0</v>
      </c>
      <c r="K26" s="1369"/>
      <c r="L26" s="1224"/>
    </row>
    <row r="27" spans="1:12" ht="9.75" customHeight="1">
      <c r="A27" s="1344"/>
      <c r="C27" s="175"/>
      <c r="D27" s="175"/>
      <c r="E27" s="175"/>
      <c r="F27" s="175"/>
      <c r="G27" s="175"/>
      <c r="H27" s="175"/>
      <c r="I27" s="175"/>
      <c r="J27" s="175"/>
      <c r="K27" s="1353"/>
    </row>
    <row r="28" spans="1:12" ht="18" customHeight="1" thickBot="1">
      <c r="A28" s="1354" t="s">
        <v>124</v>
      </c>
      <c r="B28" s="176"/>
      <c r="C28" s="1355"/>
      <c r="D28" s="1355"/>
      <c r="E28" s="1355"/>
      <c r="F28" s="1355"/>
      <c r="G28" s="1355"/>
      <c r="H28" s="1355"/>
      <c r="I28" s="1355"/>
      <c r="J28" s="1355"/>
      <c r="K28" s="1356"/>
    </row>
    <row r="29" spans="1:12" ht="18" customHeight="1" thickBot="1">
      <c r="A29" s="1800"/>
      <c r="B29" s="1801"/>
      <c r="C29" s="1801"/>
      <c r="D29" s="1801"/>
      <c r="E29" s="1801"/>
      <c r="F29" s="1801"/>
      <c r="G29" s="1801"/>
      <c r="H29" s="1801"/>
      <c r="I29" s="1801"/>
      <c r="J29" s="1801"/>
      <c r="K29" s="1802"/>
    </row>
    <row r="30" spans="1:12" ht="18" customHeight="1" thickBot="1">
      <c r="A30" s="1800"/>
      <c r="B30" s="1803"/>
      <c r="C30" s="1803"/>
      <c r="D30" s="1803"/>
      <c r="E30" s="1803"/>
      <c r="F30" s="1803"/>
      <c r="G30" s="1803"/>
      <c r="H30" s="1803"/>
      <c r="I30" s="1803"/>
      <c r="J30" s="1803"/>
      <c r="K30" s="1804"/>
    </row>
    <row r="31" spans="1:12" ht="18" customHeight="1" thickBot="1">
      <c r="A31" s="1800"/>
      <c r="B31" s="1801"/>
      <c r="C31" s="1801"/>
      <c r="D31" s="1801"/>
      <c r="E31" s="1801"/>
      <c r="F31" s="1801"/>
      <c r="G31" s="1801"/>
      <c r="H31" s="1801"/>
      <c r="I31" s="1801"/>
      <c r="J31" s="1801"/>
      <c r="K31" s="1802"/>
    </row>
    <row r="32" spans="1:12" ht="18" customHeight="1">
      <c r="A32" s="1357" t="s">
        <v>125</v>
      </c>
      <c r="B32" s="1358"/>
      <c r="C32" s="1358"/>
      <c r="D32" s="1358"/>
      <c r="E32" s="1358"/>
      <c r="F32" s="1358"/>
      <c r="G32" s="1358"/>
      <c r="H32" s="1358"/>
      <c r="I32" s="1358"/>
      <c r="J32" s="1358"/>
      <c r="K32" s="1359"/>
    </row>
    <row r="33" spans="1:11" ht="81" customHeight="1" thickBot="1">
      <c r="A33" s="1805"/>
      <c r="B33" s="1806"/>
      <c r="C33" s="1806"/>
      <c r="D33" s="1806"/>
      <c r="E33" s="1806"/>
      <c r="F33" s="1806"/>
      <c r="G33" s="1806"/>
      <c r="H33" s="1806"/>
      <c r="I33" s="1806"/>
      <c r="J33" s="1806"/>
      <c r="K33" s="1807"/>
    </row>
    <row r="34" spans="1:11" ht="13.5" thickTop="1"/>
  </sheetData>
  <sheetProtection password="D94D" sheet="1"/>
  <mergeCells count="13">
    <mergeCell ref="A3:F3"/>
    <mergeCell ref="A5:H7"/>
    <mergeCell ref="A8:H8"/>
    <mergeCell ref="A33:K33"/>
    <mergeCell ref="A29:K29"/>
    <mergeCell ref="A30:K30"/>
    <mergeCell ref="A31:K31"/>
    <mergeCell ref="E12:F12"/>
    <mergeCell ref="E13:F13"/>
    <mergeCell ref="G12:H12"/>
    <mergeCell ref="G13:H13"/>
    <mergeCell ref="I12:J12"/>
    <mergeCell ref="I13:J13"/>
  </mergeCells>
  <conditionalFormatting sqref="A3">
    <cfRule type="containsText" dxfId="16" priority="1" stopIfTrue="1" operator="containsText" text="Enter">
      <formula>NOT(ISERROR(SEARCH("Enter",A3)))</formula>
    </cfRule>
  </conditionalFormatting>
  <printOptions horizontalCentered="1"/>
  <pageMargins left="0.5" right="0.5" top="0.75" bottom="0.75" header="0.5" footer="0.5"/>
  <pageSetup scale="83" fitToHeight="0" orientation="landscape"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tabColor theme="5"/>
  </sheetPr>
  <dimension ref="A1:AG64"/>
  <sheetViews>
    <sheetView showGridLines="0" zoomScale="70" zoomScaleNormal="70" workbookViewId="0">
      <pane xSplit="4" ySplit="7" topLeftCell="I8" activePane="bottomRight" state="frozen"/>
      <selection pane="topRight" activeCell="E1" sqref="E1"/>
      <selection pane="bottomLeft" activeCell="A8" sqref="A8"/>
      <selection pane="bottomRight" activeCell="C2" sqref="C2"/>
    </sheetView>
  </sheetViews>
  <sheetFormatPr defaultRowHeight="12.75"/>
  <cols>
    <col min="1" max="1" width="2.5703125" customWidth="1"/>
    <col min="2" max="2" width="45.7109375" customWidth="1"/>
    <col min="3" max="3" width="14.7109375" customWidth="1"/>
    <col min="4" max="4" width="12.7109375" customWidth="1"/>
    <col min="5" max="5" width="13.42578125" customWidth="1"/>
    <col min="6" max="6" width="9" bestFit="1" customWidth="1"/>
    <col min="7" max="7" width="13.42578125" customWidth="1"/>
    <col min="8" max="8" width="9" bestFit="1" customWidth="1"/>
    <col min="9" max="9" width="13.42578125" customWidth="1"/>
    <col min="10" max="10" width="9" bestFit="1" customWidth="1"/>
    <col min="11" max="11" width="13.42578125" customWidth="1"/>
    <col min="12" max="12" width="9" bestFit="1" customWidth="1"/>
    <col min="13" max="13" width="13.42578125" customWidth="1"/>
    <col min="14" max="14" width="9" bestFit="1" customWidth="1"/>
    <col min="15" max="15" width="13.42578125" customWidth="1"/>
    <col min="16" max="16" width="9" bestFit="1" customWidth="1"/>
    <col min="17" max="17" width="13.42578125" customWidth="1"/>
    <col min="18" max="18" width="9" bestFit="1" customWidth="1"/>
    <col min="19" max="19" width="13.28515625" customWidth="1"/>
    <col min="20" max="20" width="9.28515625" customWidth="1"/>
    <col min="21" max="21" width="13.28515625" customWidth="1"/>
    <col min="22" max="22" width="9.28515625" customWidth="1"/>
    <col min="23" max="23" width="13.28515625" customWidth="1"/>
    <col min="24" max="24" width="9.28515625" customWidth="1"/>
    <col min="25" max="25" width="13.28515625" customWidth="1"/>
    <col min="26" max="26" width="9.28515625" customWidth="1"/>
    <col min="27" max="27" width="13.28515625" customWidth="1"/>
    <col min="28" max="28" width="9.28515625" customWidth="1"/>
    <col min="29" max="29" width="13.42578125" style="175" customWidth="1"/>
    <col min="30" max="30" width="16.7109375" style="175" customWidth="1"/>
    <col min="31" max="32" width="13.7109375" customWidth="1"/>
    <col min="33" max="33" width="70.5703125" customWidth="1"/>
  </cols>
  <sheetData>
    <row r="1" spans="1:33" ht="16.5" thickBot="1">
      <c r="A1" s="177"/>
      <c r="B1" s="177"/>
      <c r="C1" s="177"/>
      <c r="D1" s="177"/>
      <c r="E1" s="178"/>
      <c r="F1" s="1825" t="str">
        <f>IF('INTERIM-CERTIFICATION'!$M$1="","CHARTER NAME: Enter Charter Name on INTERIM-CERTIFICATION Worksheet",(CONCATENATE("CHARTER NAME: ",'INTERIM-CERTIFICATION'!$M$1)))</f>
        <v>CHARTER NAME: Elite Academic Academy - Virtual Prep Lucerne</v>
      </c>
      <c r="G1" s="1825" t="str">
        <f>IF('INTERIM-CERTIFICATION'!$H$1="","CHARTER NAME: Enter Charter Name on INTERIM-CERTIFICATION Worksheet",(CONCATENATE("CHARTER NAME: ",'INTERIM-CERTIFICATION'!$H$1)))</f>
        <v>CHARTER NAME: Enter Charter Name on INTERIM-CERTIFICATION Worksheet</v>
      </c>
      <c r="H1" s="1825"/>
      <c r="I1" s="1825"/>
      <c r="J1" s="1825"/>
      <c r="K1" s="1825"/>
      <c r="L1" s="1825"/>
      <c r="M1" s="180"/>
      <c r="N1" s="180"/>
      <c r="O1" s="177"/>
      <c r="P1" s="181"/>
      <c r="Q1" s="179"/>
      <c r="R1" s="181"/>
      <c r="S1" s="182"/>
      <c r="T1" s="180"/>
      <c r="U1" s="1825" t="str">
        <f>F1</f>
        <v>CHARTER NAME: Elite Academic Academy - Virtual Prep Lucerne</v>
      </c>
      <c r="V1" s="1825" t="str">
        <f>IF('INTERIM-CERTIFICATION'!$H$1="","CHARTER NAME: Enter Charter Name on INTERIM-CERTIFICATION Worksheet",(CONCATENATE("CHARTER NAME: ",'INTERIM-CERTIFICATION'!$H$1)))</f>
        <v>CHARTER NAME: Enter Charter Name on INTERIM-CERTIFICATION Worksheet</v>
      </c>
      <c r="W1" s="1825"/>
      <c r="X1" s="1825"/>
      <c r="Y1" s="1825"/>
      <c r="Z1" s="1825"/>
      <c r="AA1" s="1825"/>
      <c r="AB1" s="183"/>
      <c r="AD1" s="1024"/>
      <c r="AE1" s="27"/>
      <c r="AF1" s="27"/>
      <c r="AG1" s="1203"/>
    </row>
    <row r="2" spans="1:33" ht="15.75">
      <c r="B2" s="184" t="s">
        <v>117</v>
      </c>
      <c r="C2" s="97"/>
      <c r="D2" s="185"/>
      <c r="G2" s="1860" t="str">
        <f>""&amp;'Budget-ADA'!K7&amp;"  Second Interim Cash Flow"</f>
        <v>2022-23  Second Interim Cash Flow</v>
      </c>
      <c r="H2" s="1860"/>
      <c r="I2" s="1860"/>
      <c r="J2" s="1860"/>
      <c r="K2" s="1860"/>
      <c r="L2" s="180"/>
      <c r="M2" s="180"/>
      <c r="N2" s="180"/>
      <c r="O2" s="179"/>
      <c r="P2" s="183"/>
      <c r="Q2" s="27"/>
      <c r="R2" s="183"/>
      <c r="T2" s="179"/>
      <c r="U2" s="1880" t="str">
        <f>+G2</f>
        <v>2022-23  Second Interim Cash Flow</v>
      </c>
      <c r="V2" s="1880"/>
      <c r="W2" s="1880"/>
      <c r="X2" s="1880"/>
      <c r="Y2" s="1880"/>
      <c r="Z2" s="1880"/>
      <c r="AA2" s="1880"/>
      <c r="AB2" s="183"/>
      <c r="AC2" s="1024"/>
      <c r="AD2" s="1024"/>
      <c r="AE2" s="27"/>
      <c r="AF2" s="27"/>
      <c r="AG2" s="1203"/>
    </row>
    <row r="3" spans="1:33" ht="16.5" thickBot="1">
      <c r="A3" s="1586" t="str">
        <f>Instructions!H1</f>
        <v>Form Orignated 5/16/2022</v>
      </c>
      <c r="B3" s="183"/>
      <c r="C3" s="23"/>
      <c r="D3" s="23"/>
      <c r="E3" s="26"/>
      <c r="F3" s="25"/>
      <c r="G3" s="27"/>
      <c r="H3" s="25"/>
      <c r="I3" s="27"/>
      <c r="J3" s="25"/>
      <c r="K3" s="27"/>
      <c r="L3" s="25"/>
      <c r="M3" s="27"/>
      <c r="N3" s="25"/>
      <c r="O3" s="27"/>
      <c r="P3" s="25"/>
      <c r="Q3" s="27"/>
      <c r="R3" s="25"/>
      <c r="S3" s="27"/>
      <c r="T3" s="25"/>
      <c r="U3" s="27"/>
      <c r="V3" s="25"/>
      <c r="W3" s="27"/>
      <c r="X3" s="25"/>
      <c r="Y3" s="27"/>
      <c r="Z3" s="25"/>
      <c r="AA3" s="27"/>
      <c r="AB3" s="25"/>
      <c r="AC3" s="1024"/>
      <c r="AD3" s="1024"/>
      <c r="AE3" s="27"/>
      <c r="AF3" s="27"/>
      <c r="AG3" s="1203"/>
    </row>
    <row r="4" spans="1:33" ht="16.5" thickTop="1">
      <c r="A4" s="404"/>
      <c r="B4" s="72"/>
      <c r="C4" s="72"/>
      <c r="D4" s="72"/>
      <c r="E4" s="542" t="s">
        <v>79</v>
      </c>
      <c r="F4" s="405" t="s">
        <v>80</v>
      </c>
      <c r="G4" s="543" t="s">
        <v>81</v>
      </c>
      <c r="H4" s="405" t="s">
        <v>82</v>
      </c>
      <c r="I4" s="543" t="s">
        <v>83</v>
      </c>
      <c r="J4" s="405" t="s">
        <v>82</v>
      </c>
      <c r="K4" s="543" t="s">
        <v>84</v>
      </c>
      <c r="L4" s="405" t="s">
        <v>82</v>
      </c>
      <c r="M4" s="543" t="s">
        <v>85</v>
      </c>
      <c r="N4" s="405" t="s">
        <v>82</v>
      </c>
      <c r="O4" s="543" t="s">
        <v>86</v>
      </c>
      <c r="P4" s="405" t="s">
        <v>82</v>
      </c>
      <c r="Q4" s="543" t="s">
        <v>87</v>
      </c>
      <c r="R4" s="544" t="s">
        <v>82</v>
      </c>
      <c r="S4" s="186" t="s">
        <v>88</v>
      </c>
      <c r="T4" s="60" t="s">
        <v>82</v>
      </c>
      <c r="U4" s="186" t="s">
        <v>89</v>
      </c>
      <c r="V4" s="60" t="s">
        <v>82</v>
      </c>
      <c r="W4" s="186" t="s">
        <v>90</v>
      </c>
      <c r="X4" s="60" t="s">
        <v>82</v>
      </c>
      <c r="Y4" s="186" t="s">
        <v>91</v>
      </c>
      <c r="Z4" s="60" t="s">
        <v>82</v>
      </c>
      <c r="AA4" s="186" t="s">
        <v>92</v>
      </c>
      <c r="AB4" s="60" t="s">
        <v>82</v>
      </c>
      <c r="AC4" s="1025" t="s">
        <v>93</v>
      </c>
      <c r="AD4" s="1033"/>
      <c r="AE4" s="56" t="s">
        <v>19</v>
      </c>
      <c r="AF4" s="56"/>
      <c r="AG4" s="1203"/>
    </row>
    <row r="5" spans="1:33" ht="16.5" thickBot="1">
      <c r="A5" s="187"/>
      <c r="B5" s="23"/>
      <c r="C5" s="23"/>
      <c r="D5" s="23"/>
      <c r="E5" s="189" t="s">
        <v>61</v>
      </c>
      <c r="F5" s="61" t="s">
        <v>94</v>
      </c>
      <c r="G5" s="188" t="s">
        <v>61</v>
      </c>
      <c r="H5" s="61" t="s">
        <v>94</v>
      </c>
      <c r="I5" s="188" t="s">
        <v>61</v>
      </c>
      <c r="J5" s="61" t="s">
        <v>94</v>
      </c>
      <c r="K5" s="188" t="s">
        <v>61</v>
      </c>
      <c r="L5" s="61" t="s">
        <v>94</v>
      </c>
      <c r="M5" s="188" t="s">
        <v>61</v>
      </c>
      <c r="N5" s="61" t="s">
        <v>94</v>
      </c>
      <c r="O5" s="188" t="s">
        <v>61</v>
      </c>
      <c r="P5" s="61" t="s">
        <v>94</v>
      </c>
      <c r="Q5" s="188" t="s">
        <v>93</v>
      </c>
      <c r="R5" s="64" t="s">
        <v>94</v>
      </c>
      <c r="S5" s="188" t="s">
        <v>93</v>
      </c>
      <c r="T5" s="61" t="s">
        <v>94</v>
      </c>
      <c r="U5" s="188" t="s">
        <v>93</v>
      </c>
      <c r="V5" s="61" t="s">
        <v>94</v>
      </c>
      <c r="W5" s="188" t="s">
        <v>93</v>
      </c>
      <c r="X5" s="61" t="s">
        <v>94</v>
      </c>
      <c r="Y5" s="188" t="s">
        <v>93</v>
      </c>
      <c r="Z5" s="61" t="s">
        <v>94</v>
      </c>
      <c r="AA5" s="188" t="s">
        <v>93</v>
      </c>
      <c r="AB5" s="61" t="s">
        <v>94</v>
      </c>
      <c r="AC5" s="1026" t="s">
        <v>95</v>
      </c>
      <c r="AD5" s="1034" t="s">
        <v>0</v>
      </c>
      <c r="AE5" s="57" t="s">
        <v>16</v>
      </c>
      <c r="AF5" s="57" t="s">
        <v>96</v>
      </c>
      <c r="AG5" s="1203"/>
    </row>
    <row r="6" spans="1:33" ht="17.25" thickTop="1" thickBot="1">
      <c r="A6" s="190" t="s">
        <v>97</v>
      </c>
      <c r="B6" s="181"/>
      <c r="D6" s="414" t="s">
        <v>118</v>
      </c>
      <c r="E6" s="545"/>
      <c r="F6" s="62"/>
      <c r="G6" s="191">
        <f>E60</f>
        <v>0</v>
      </c>
      <c r="H6" s="62"/>
      <c r="I6" s="191">
        <f>G60</f>
        <v>0</v>
      </c>
      <c r="J6" s="62"/>
      <c r="K6" s="191">
        <f>I60</f>
        <v>0</v>
      </c>
      <c r="L6" s="62"/>
      <c r="M6" s="191">
        <f>K60</f>
        <v>0</v>
      </c>
      <c r="N6" s="62"/>
      <c r="O6" s="191">
        <f>M60</f>
        <v>0</v>
      </c>
      <c r="P6" s="62"/>
      <c r="Q6" s="191">
        <f>O60</f>
        <v>0</v>
      </c>
      <c r="R6" s="546"/>
      <c r="S6" s="191">
        <f>Q60</f>
        <v>0</v>
      </c>
      <c r="T6" s="62"/>
      <c r="U6" s="191">
        <f>S60</f>
        <v>0</v>
      </c>
      <c r="V6" s="62"/>
      <c r="W6" s="191">
        <f>U60</f>
        <v>0</v>
      </c>
      <c r="X6" s="62"/>
      <c r="Y6" s="191">
        <f>W60</f>
        <v>0</v>
      </c>
      <c r="Z6" s="62"/>
      <c r="AA6" s="191">
        <f>Y60</f>
        <v>0</v>
      </c>
      <c r="AB6" s="62"/>
      <c r="AC6" s="391">
        <f>+AA60</f>
        <v>0</v>
      </c>
      <c r="AD6" s="58"/>
      <c r="AE6" s="58"/>
      <c r="AF6" s="59"/>
      <c r="AG6" s="1203"/>
    </row>
    <row r="7" spans="1:33" ht="16.5" thickTop="1">
      <c r="A7" s="406"/>
      <c r="B7" s="370"/>
      <c r="C7" s="65"/>
      <c r="D7" s="65"/>
      <c r="E7" s="1877" t="s">
        <v>253</v>
      </c>
      <c r="F7" s="1878"/>
      <c r="G7" s="1878"/>
      <c r="H7" s="1878"/>
      <c r="I7" s="1878"/>
      <c r="J7" s="1878"/>
      <c r="K7" s="1878"/>
      <c r="L7" s="1878"/>
      <c r="M7" s="1878"/>
      <c r="N7" s="1878"/>
      <c r="O7" s="1878"/>
      <c r="P7" s="1878"/>
      <c r="Q7" s="1878"/>
      <c r="R7" s="1879"/>
      <c r="S7" s="66"/>
      <c r="T7" s="63"/>
      <c r="U7" s="66"/>
      <c r="V7" s="63"/>
      <c r="W7" s="66"/>
      <c r="X7" s="63"/>
      <c r="Y7" s="66"/>
      <c r="Z7" s="63"/>
      <c r="AA7" s="66"/>
      <c r="AB7" s="63"/>
      <c r="AC7" s="1027"/>
      <c r="AD7" s="1027"/>
      <c r="AE7" s="66"/>
      <c r="AF7" s="555"/>
      <c r="AG7" s="1203"/>
    </row>
    <row r="8" spans="1:33" ht="15.75">
      <c r="A8" s="67" t="s">
        <v>98</v>
      </c>
      <c r="B8" s="525"/>
      <c r="C8" s="375"/>
      <c r="D8" s="375"/>
      <c r="E8" s="376"/>
      <c r="F8" s="166"/>
      <c r="G8" s="377"/>
      <c r="H8" s="166"/>
      <c r="I8" s="377"/>
      <c r="J8" s="166"/>
      <c r="K8" s="377"/>
      <c r="L8" s="166"/>
      <c r="M8" s="377"/>
      <c r="N8" s="166"/>
      <c r="O8" s="377"/>
      <c r="P8" s="166"/>
      <c r="Q8" s="377"/>
      <c r="R8" s="547"/>
      <c r="S8" s="377"/>
      <c r="T8" s="166"/>
      <c r="U8" s="377"/>
      <c r="V8" s="166"/>
      <c r="W8" s="377"/>
      <c r="X8" s="166"/>
      <c r="Y8" s="377"/>
      <c r="Z8" s="166"/>
      <c r="AA8" s="377"/>
      <c r="AB8" s="166"/>
      <c r="AC8" s="1028"/>
      <c r="AD8" s="1028"/>
      <c r="AE8" s="377"/>
      <c r="AF8" s="527"/>
      <c r="AG8" s="1203"/>
    </row>
    <row r="9" spans="1:33" ht="15.75">
      <c r="A9" s="407" t="s">
        <v>306</v>
      </c>
      <c r="B9" s="147"/>
      <c r="C9" s="141"/>
      <c r="D9" s="1068"/>
      <c r="E9" s="784"/>
      <c r="F9" s="388"/>
      <c r="G9" s="512"/>
      <c r="H9" s="388"/>
      <c r="I9" s="512"/>
      <c r="J9" s="388"/>
      <c r="K9" s="512"/>
      <c r="L9" s="388"/>
      <c r="M9" s="512"/>
      <c r="N9" s="388"/>
      <c r="O9" s="512"/>
      <c r="P9" s="388"/>
      <c r="Q9" s="512"/>
      <c r="R9" s="517"/>
      <c r="S9" s="1079"/>
      <c r="T9" s="388"/>
      <c r="U9" s="512"/>
      <c r="V9" s="388"/>
      <c r="W9" s="512"/>
      <c r="X9" s="388"/>
      <c r="Y9" s="512"/>
      <c r="Z9" s="388"/>
      <c r="AA9" s="512"/>
      <c r="AB9" s="388"/>
      <c r="AC9" s="1029"/>
      <c r="AD9" s="1032"/>
      <c r="AE9" s="1032"/>
      <c r="AF9" s="389"/>
      <c r="AG9" s="1203"/>
    </row>
    <row r="10" spans="1:33" ht="15.75">
      <c r="A10" s="408"/>
      <c r="B10" s="280" t="s">
        <v>155</v>
      </c>
      <c r="C10" s="279">
        <v>8011</v>
      </c>
      <c r="D10" s="1068"/>
      <c r="E10" s="380"/>
      <c r="F10" s="534" t="str">
        <f>IF($AE10&lt;1," ",IF(E10&lt;1," ",(E10)/$AE10))</f>
        <v xml:space="preserve"> </v>
      </c>
      <c r="G10" s="392"/>
      <c r="H10" s="534" t="str">
        <f>IF($AE10&lt;1," ",IF(G10&lt;1," ",(G10)/$AE10))</f>
        <v xml:space="preserve"> </v>
      </c>
      <c r="I10" s="392"/>
      <c r="J10" s="534" t="str">
        <f>IF($AE10&lt;1," ",IF(I10&lt;1," ",(I10)/$AE10))</f>
        <v xml:space="preserve"> </v>
      </c>
      <c r="K10" s="392"/>
      <c r="L10" s="534" t="str">
        <f>IF($AE10&lt;1," ",IF(K10&lt;1," ",(K10)/$AE10))</f>
        <v xml:space="preserve"> </v>
      </c>
      <c r="M10" s="392"/>
      <c r="N10" s="341" t="str">
        <f>IF($AE10&lt;1," ",IF(M10&lt;1," ",(M10)/$AE10))</f>
        <v xml:space="preserve"> </v>
      </c>
      <c r="O10" s="392"/>
      <c r="P10" s="341" t="str">
        <f>IF($AE10&lt;1," ",IF(O10&lt;1," ",(O10)/$AE10))</f>
        <v xml:space="preserve"> </v>
      </c>
      <c r="Q10" s="392"/>
      <c r="R10" s="342" t="str">
        <f>IF($AE10&lt;1," ",IF(Q10&lt;1," ",(Q10)/$AE10))</f>
        <v xml:space="preserve"> </v>
      </c>
      <c r="S10" s="379"/>
      <c r="T10" s="341" t="str">
        <f>IF($AE10&lt;1," ",IF(S10&lt;1," ",(S10)/$AE10))</f>
        <v xml:space="preserve"> </v>
      </c>
      <c r="U10" s="392"/>
      <c r="V10" s="341" t="str">
        <f>IF($AE10&lt;1," ",IF(U10&lt;1," ",(U10)/$AE10))</f>
        <v xml:space="preserve"> </v>
      </c>
      <c r="W10" s="392"/>
      <c r="X10" s="341" t="str">
        <f>IF($AE10&lt;1," ",IF(W10&lt;1," ",(W10)/$AE10))</f>
        <v xml:space="preserve"> </v>
      </c>
      <c r="Y10" s="392"/>
      <c r="Z10" s="341" t="str">
        <f>IF($AE10&lt;1," ",IF(Y10&lt;1," ",(Y10)/$AE10))</f>
        <v xml:space="preserve"> </v>
      </c>
      <c r="AA10" s="392"/>
      <c r="AB10" s="341" t="str">
        <f>IF($AE10&lt;1," ",IF(AA10&lt;1," ",(AA10)/$AE10))</f>
        <v xml:space="preserve"> </v>
      </c>
      <c r="AC10" s="1562">
        <f>AE10-(E10+G10+I10+K10+M10+O10+Q10+S10+U10+W10+Y10+AA10)</f>
        <v>0</v>
      </c>
      <c r="AD10" s="381">
        <f>+E10+G10+I10+K10+M10+O10+Q10+S10+U10+W10+Y10+AA10+AC10</f>
        <v>0</v>
      </c>
      <c r="AE10" s="381">
        <f>'2nd Interim-Summary MYP'!H13</f>
        <v>0</v>
      </c>
      <c r="AF10" s="381">
        <f>+AE10-AD10</f>
        <v>0</v>
      </c>
      <c r="AG10" s="1203"/>
    </row>
    <row r="11" spans="1:33" ht="15.75">
      <c r="A11" s="408"/>
      <c r="B11" s="141" t="s">
        <v>156</v>
      </c>
      <c r="C11" s="279">
        <v>8012</v>
      </c>
      <c r="D11" s="1068"/>
      <c r="E11" s="380"/>
      <c r="F11" s="534" t="str">
        <f>IF($AE11&lt;1," ",IF(E11&lt;1," ",(E11)/$AE11))</f>
        <v xml:space="preserve"> </v>
      </c>
      <c r="G11" s="392"/>
      <c r="H11" s="534" t="str">
        <f>IF($AE11&lt;1," ",IF(G11&lt;1," ",(G11)/$AE11))</f>
        <v xml:space="preserve"> </v>
      </c>
      <c r="I11" s="392"/>
      <c r="J11" s="534" t="str">
        <f>IF($AE11&lt;1," ",IF(I11&lt;1," ",(I11)/$AE11))</f>
        <v xml:space="preserve"> </v>
      </c>
      <c r="K11" s="392"/>
      <c r="L11" s="534" t="str">
        <f>IF($AE11&lt;1," ",IF(K11&lt;1," ",(K11)/$AE11))</f>
        <v xml:space="preserve"> </v>
      </c>
      <c r="M11" s="392"/>
      <c r="N11" s="341" t="str">
        <f>IF($AE11&lt;1," ",IF(M11&lt;1," ",(M11)/$AE11))</f>
        <v xml:space="preserve"> </v>
      </c>
      <c r="O11" s="392"/>
      <c r="P11" s="341" t="str">
        <f>IF($AE11&lt;1," ",IF(O11&lt;1," ",(O11)/$AE11))</f>
        <v xml:space="preserve"> </v>
      </c>
      <c r="Q11" s="392"/>
      <c r="R11" s="342" t="str">
        <f>IF($AE11&lt;1," ",IF(Q11&lt;1," ",(Q11)/$AE11))</f>
        <v xml:space="preserve"> </v>
      </c>
      <c r="S11" s="379"/>
      <c r="T11" s="341" t="str">
        <f>IF($AE11&lt;1," ",IF(S11&lt;1," ",(S11)/$AE11))</f>
        <v xml:space="preserve"> </v>
      </c>
      <c r="U11" s="392"/>
      <c r="V11" s="341" t="str">
        <f>IF($AE11&lt;1," ",IF(U11&lt;1," ",(U11)/$AE11))</f>
        <v xml:space="preserve"> </v>
      </c>
      <c r="W11" s="392"/>
      <c r="X11" s="341" t="str">
        <f>IF($AE11&lt;1," ",IF(W11&lt;1," ",(W11)/$AE11))</f>
        <v xml:space="preserve"> </v>
      </c>
      <c r="Y11" s="392"/>
      <c r="Z11" s="341" t="str">
        <f>IF($AE11&lt;1," ",IF(Y11&lt;1," ",(Y11)/$AE11))</f>
        <v xml:space="preserve"> </v>
      </c>
      <c r="AA11" s="392"/>
      <c r="AB11" s="341" t="str">
        <f>IF($AE11&lt;1," ",IF(AA11&lt;1," ",(AA11)/$AE11))</f>
        <v xml:space="preserve"> </v>
      </c>
      <c r="AC11" s="1562">
        <f t="shared" ref="AC11:AC22" si="0">AE11-(E11+G11+I11+K11+M11+O11+Q11+S11+U11+W11+Y11+AA11)</f>
        <v>0</v>
      </c>
      <c r="AD11" s="381">
        <f>+E11+G11+I11+K11+M11+O11+Q11+S11+U11+W11+Y11+AA11+AC11</f>
        <v>0</v>
      </c>
      <c r="AE11" s="381">
        <f>'2nd Interim-Summary MYP'!H14</f>
        <v>0</v>
      </c>
      <c r="AF11" s="381">
        <f>+AE11-AD11</f>
        <v>0</v>
      </c>
      <c r="AG11" s="1203"/>
    </row>
    <row r="12" spans="1:33" ht="15.75">
      <c r="A12" s="408"/>
      <c r="B12" s="141" t="s">
        <v>304</v>
      </c>
      <c r="C12" s="279">
        <v>8019</v>
      </c>
      <c r="D12" s="1072"/>
      <c r="E12" s="380"/>
      <c r="F12" s="534" t="str">
        <f>IF($AE12&lt;1," ",IF(E12&lt;1," ",(E12)/$AE12))</f>
        <v xml:space="preserve"> </v>
      </c>
      <c r="G12" s="392"/>
      <c r="H12" s="534" t="str">
        <f>IF($AE12&lt;1," ",IF(G12&lt;1," ",(G12)/$AE12))</f>
        <v xml:space="preserve"> </v>
      </c>
      <c r="I12" s="392"/>
      <c r="J12" s="534" t="str">
        <f>IF($AE12&lt;1," ",IF(I12&lt;1," ",(I12)/$AE12))</f>
        <v xml:space="preserve"> </v>
      </c>
      <c r="K12" s="392"/>
      <c r="L12" s="534" t="str">
        <f>IF($AE12&lt;1," ",IF(K12&lt;1," ",(K12)/$AE12))</f>
        <v xml:space="preserve"> </v>
      </c>
      <c r="M12" s="392"/>
      <c r="N12" s="341" t="str">
        <f>IF($AE12&lt;1," ",IF(M12&lt;1," ",(M12)/$AE12))</f>
        <v xml:space="preserve"> </v>
      </c>
      <c r="O12" s="392"/>
      <c r="P12" s="341" t="str">
        <f>IF($AE12&lt;1," ",IF(O12&lt;1," ",(O12)/$AE12))</f>
        <v xml:space="preserve"> </v>
      </c>
      <c r="Q12" s="392"/>
      <c r="R12" s="342" t="str">
        <f>IF($AE12&lt;1," ",IF(Q12&lt;1," ",(Q12)/$AE12))</f>
        <v xml:space="preserve"> </v>
      </c>
      <c r="S12" s="379"/>
      <c r="T12" s="341" t="str">
        <f>IF($AE12&lt;1," ",IF(S12&lt;1," ",(S12)/$AE12))</f>
        <v xml:space="preserve"> </v>
      </c>
      <c r="U12" s="392"/>
      <c r="V12" s="341" t="str">
        <f>IF($AE12&lt;1," ",IF(U12&lt;1," ",(U12)/$AE12))</f>
        <v xml:space="preserve"> </v>
      </c>
      <c r="W12" s="392"/>
      <c r="X12" s="341" t="str">
        <f>IF($AE12&lt;1," ",IF(W12&lt;1," ",(W12)/$AE12))</f>
        <v xml:space="preserve"> </v>
      </c>
      <c r="Y12" s="392"/>
      <c r="Z12" s="341" t="str">
        <f>IF($AE12&lt;1," ",IF(Y12&lt;1," ",(Y12)/$AE12))</f>
        <v xml:space="preserve"> </v>
      </c>
      <c r="AA12" s="392"/>
      <c r="AB12" s="341" t="str">
        <f>IF($AE12&lt;1," ",IF(AA12&lt;1," ",(AA12)/$AE12))</f>
        <v xml:space="preserve"> </v>
      </c>
      <c r="AC12" s="1562">
        <f t="shared" si="0"/>
        <v>0</v>
      </c>
      <c r="AD12" s="381">
        <f>+E12+G12+I12+K12+M12+O12+Q12+S12+U12+W12+Y12+AA12+AC12</f>
        <v>0</v>
      </c>
      <c r="AE12" s="382">
        <f>'2nd Interim-Summary MYP'!H15</f>
        <v>0</v>
      </c>
      <c r="AF12" s="381">
        <f>+AE12-AD12</f>
        <v>0</v>
      </c>
      <c r="AG12" s="1203"/>
    </row>
    <row r="13" spans="1:33" ht="15.75">
      <c r="A13" s="408"/>
      <c r="B13" s="141" t="s">
        <v>305</v>
      </c>
      <c r="C13" s="279">
        <v>8096</v>
      </c>
      <c r="D13" s="1072"/>
      <c r="E13" s="380"/>
      <c r="F13" s="534" t="str">
        <f>IF($AE13&lt;1," ",IF(E13&lt;1," ",(E13)/$AE13))</f>
        <v xml:space="preserve"> </v>
      </c>
      <c r="G13" s="392"/>
      <c r="H13" s="534" t="str">
        <f>IF($AE13&lt;1," ",IF(G13&lt;1," ",(G13)/$AE13))</f>
        <v xml:space="preserve"> </v>
      </c>
      <c r="I13" s="392"/>
      <c r="J13" s="534" t="str">
        <f>IF($AE13&lt;1," ",IF(I13&lt;1," ",(I13)/$AE13))</f>
        <v xml:space="preserve"> </v>
      </c>
      <c r="K13" s="392"/>
      <c r="L13" s="534" t="str">
        <f>IF($AE13&lt;1," ",IF(K13&lt;1," ",(K13)/$AE13))</f>
        <v xml:space="preserve"> </v>
      </c>
      <c r="M13" s="392"/>
      <c r="N13" s="341" t="str">
        <f>IF($AE13&lt;1," ",IF(M13&lt;1," ",(M13)/$AE13))</f>
        <v xml:space="preserve"> </v>
      </c>
      <c r="O13" s="392"/>
      <c r="P13" s="341" t="str">
        <f>IF($AE13&lt;1," ",IF(O13&lt;1," ",(O13)/$AE13))</f>
        <v xml:space="preserve"> </v>
      </c>
      <c r="Q13" s="392"/>
      <c r="R13" s="342" t="str">
        <f>IF($AE13&lt;1," ",IF(Q13&lt;1," ",(Q13)/$AE13))</f>
        <v xml:space="preserve"> </v>
      </c>
      <c r="S13" s="379"/>
      <c r="T13" s="341" t="str">
        <f>IF($AE13&lt;1," ",IF(S13&lt;1," ",(S13)/$AE13))</f>
        <v xml:space="preserve"> </v>
      </c>
      <c r="U13" s="392"/>
      <c r="V13" s="341" t="str">
        <f>IF($AE13&lt;1," ",IF(U13&lt;1," ",(U13)/$AE13))</f>
        <v xml:space="preserve"> </v>
      </c>
      <c r="W13" s="392"/>
      <c r="X13" s="341" t="str">
        <f>IF($AE13&lt;1," ",IF(W13&lt;1," ",(W13)/$AE13))</f>
        <v xml:space="preserve"> </v>
      </c>
      <c r="Y13" s="392"/>
      <c r="Z13" s="341" t="str">
        <f>IF($AE13&lt;1," ",IF(Y13&lt;1," ",(Y13)/$AE13))</f>
        <v xml:space="preserve"> </v>
      </c>
      <c r="AA13" s="392"/>
      <c r="AB13" s="341" t="str">
        <f>IF($AE13&lt;1," ",IF(AA13&lt;1," ",(AA13)/$AE13))</f>
        <v xml:space="preserve"> </v>
      </c>
      <c r="AC13" s="1562">
        <f t="shared" si="0"/>
        <v>0</v>
      </c>
      <c r="AD13" s="381">
        <f>+E13+G13+I13+K13+M13+O13+Q13+S13+U13+W13+Y13+AA13+AC13</f>
        <v>0</v>
      </c>
      <c r="AE13" s="381">
        <f>'2nd Interim-Summary MYP'!H16</f>
        <v>0</v>
      </c>
      <c r="AF13" s="381">
        <f>+AE13-AD13</f>
        <v>0</v>
      </c>
      <c r="AG13" s="1203"/>
    </row>
    <row r="14" spans="1:33" ht="15.75">
      <c r="A14" s="407" t="s">
        <v>307</v>
      </c>
      <c r="B14" s="147"/>
      <c r="C14" s="279" t="s">
        <v>99</v>
      </c>
      <c r="D14" s="1068"/>
      <c r="E14" s="380"/>
      <c r="F14" s="534" t="str">
        <f>IF($AE14&lt;1," ",IF(E14&lt;1," ",(E14)/$AE14))</f>
        <v xml:space="preserve"> </v>
      </c>
      <c r="G14" s="392"/>
      <c r="H14" s="534" t="str">
        <f>IF($AE14&lt;1," ",IF(G14&lt;1," ",(G14)/$AE14))</f>
        <v xml:space="preserve"> </v>
      </c>
      <c r="I14" s="392"/>
      <c r="J14" s="534" t="str">
        <f>IF($AE14&lt;1," ",IF(I14&lt;1," ",(I14)/$AE14))</f>
        <v xml:space="preserve"> </v>
      </c>
      <c r="K14" s="392"/>
      <c r="L14" s="534" t="str">
        <f>IF($AE14&lt;1," ",IF(K14&lt;1," ",(K14)/$AE14))</f>
        <v xml:space="preserve"> </v>
      </c>
      <c r="M14" s="392"/>
      <c r="N14" s="341" t="str">
        <f>IF($AE14&lt;1," ",IF(M14&lt;1," ",(M14)/$AE14))</f>
        <v xml:space="preserve"> </v>
      </c>
      <c r="O14" s="392"/>
      <c r="P14" s="341" t="str">
        <f>IF($AE14&lt;1," ",IF(O14&lt;1," ",(O14)/$AE14))</f>
        <v xml:space="preserve"> </v>
      </c>
      <c r="Q14" s="392"/>
      <c r="R14" s="342" t="str">
        <f>IF($AE14&lt;1," ",IF(Q14&lt;1," ",(Q14)/$AE14))</f>
        <v xml:space="preserve"> </v>
      </c>
      <c r="S14" s="379"/>
      <c r="T14" s="341" t="str">
        <f>IF($AE14&lt;1," ",IF(S14&lt;1," ",(S14)/$AE14))</f>
        <v xml:space="preserve"> </v>
      </c>
      <c r="U14" s="392"/>
      <c r="V14" s="341" t="str">
        <f>IF($AE14&lt;1," ",IF(U14&lt;1," ",(U14)/$AE14))</f>
        <v xml:space="preserve"> </v>
      </c>
      <c r="W14" s="392"/>
      <c r="X14" s="341" t="str">
        <f>IF($AE14&lt;1," ",IF(W14&lt;1," ",(W14)/$AE14))</f>
        <v xml:space="preserve"> </v>
      </c>
      <c r="Y14" s="392"/>
      <c r="Z14" s="341" t="str">
        <f>IF($AE14&lt;1," ",IF(Y14&lt;1," ",(Y14)/$AE14))</f>
        <v xml:space="preserve"> </v>
      </c>
      <c r="AA14" s="392"/>
      <c r="AB14" s="341" t="str">
        <f>IF($AE14&lt;1," ",IF(AA14&lt;1," ",(AA14)/$AE14))</f>
        <v xml:space="preserve"> </v>
      </c>
      <c r="AC14" s="1562">
        <f t="shared" si="0"/>
        <v>0</v>
      </c>
      <c r="AD14" s="381">
        <f>+E14+G14+I14+K14+M14+O14+Q14+S14+U14+W14+Y14+AA14+AC14</f>
        <v>0</v>
      </c>
      <c r="AE14" s="381">
        <f>'2nd Interim-Summary MYP'!H17</f>
        <v>0</v>
      </c>
      <c r="AF14" s="381">
        <f t="shared" ref="AF14:AF22" si="1">+AE14-AD14</f>
        <v>0</v>
      </c>
      <c r="AG14" s="1203"/>
    </row>
    <row r="15" spans="1:33" ht="15.75">
      <c r="A15" s="408" t="s">
        <v>308</v>
      </c>
      <c r="B15" s="141"/>
      <c r="C15" s="141"/>
      <c r="D15" s="1068"/>
      <c r="E15" s="513"/>
      <c r="F15" s="534"/>
      <c r="G15" s="393"/>
      <c r="H15" s="534"/>
      <c r="I15" s="393"/>
      <c r="J15" s="534"/>
      <c r="K15" s="393"/>
      <c r="L15" s="534"/>
      <c r="M15" s="393"/>
      <c r="N15" s="341"/>
      <c r="O15" s="393"/>
      <c r="P15" s="341"/>
      <c r="Q15" s="393"/>
      <c r="R15" s="342"/>
      <c r="S15" s="383"/>
      <c r="T15" s="341"/>
      <c r="U15" s="393"/>
      <c r="V15" s="341"/>
      <c r="W15" s="393"/>
      <c r="X15" s="341"/>
      <c r="Y15" s="393"/>
      <c r="Z15" s="341"/>
      <c r="AA15" s="393"/>
      <c r="AB15" s="341"/>
      <c r="AC15" s="1563"/>
      <c r="AD15" s="381"/>
      <c r="AE15" s="381"/>
      <c r="AF15" s="381"/>
      <c r="AG15" s="1203"/>
    </row>
    <row r="16" spans="1:33" ht="15.75">
      <c r="A16" s="408"/>
      <c r="B16" s="141" t="s">
        <v>309</v>
      </c>
      <c r="C16" s="279">
        <v>8560</v>
      </c>
      <c r="D16" s="1068"/>
      <c r="E16" s="380"/>
      <c r="F16" s="534" t="e">
        <f>IF($AE16&lt;1," ",IF(E16&lt;1," ",(E16)/$AE16))</f>
        <v>#VALUE!</v>
      </c>
      <c r="G16" s="392"/>
      <c r="H16" s="534" t="e">
        <f>IF($AE16&lt;1," ",IF(G16&lt;1," ",(G16)/$AE16))</f>
        <v>#VALUE!</v>
      </c>
      <c r="I16" s="392"/>
      <c r="J16" s="534" t="e">
        <f>IF($AE16&lt;1," ",IF(I16&lt;1," ",(I16)/$AE16))</f>
        <v>#VALUE!</v>
      </c>
      <c r="K16" s="392"/>
      <c r="L16" s="534" t="e">
        <f>IF($AE16&lt;1," ",IF(K16&lt;1," ",(K16)/$AE16))</f>
        <v>#VALUE!</v>
      </c>
      <c r="M16" s="392"/>
      <c r="N16" s="341" t="e">
        <f>IF($AE16&lt;1," ",IF(M16&lt;1," ",(M16)/$AE16))</f>
        <v>#VALUE!</v>
      </c>
      <c r="O16" s="392"/>
      <c r="P16" s="341" t="e">
        <f>IF($AE16&lt;1," ",IF(O16&lt;1," ",(O16)/$AE16))</f>
        <v>#VALUE!</v>
      </c>
      <c r="Q16" s="392"/>
      <c r="R16" s="342" t="e">
        <f>IF($AE16&lt;1," ",IF(Q16&lt;1," ",(Q16)/$AE16))</f>
        <v>#VALUE!</v>
      </c>
      <c r="S16" s="379"/>
      <c r="T16" s="341" t="e">
        <f>IF($AE16&lt;1," ",IF(S16&lt;1," ",(S16)/$AE16))</f>
        <v>#VALUE!</v>
      </c>
      <c r="U16" s="392"/>
      <c r="V16" s="341" t="e">
        <f>IF($AE16&lt;1," ",IF(U16&lt;1," ",(U16)/$AE16))</f>
        <v>#VALUE!</v>
      </c>
      <c r="W16" s="392"/>
      <c r="X16" s="341" t="e">
        <f>IF($AE16&lt;1," ",IF(W16&lt;1," ",(W16)/$AE16))</f>
        <v>#VALUE!</v>
      </c>
      <c r="Y16" s="392"/>
      <c r="Z16" s="341" t="e">
        <f>IF($AE16&lt;1," ",IF(Y16&lt;1," ",(Y16)/$AE16))</f>
        <v>#VALUE!</v>
      </c>
      <c r="AA16" s="392"/>
      <c r="AB16" s="341" t="e">
        <f>IF($AE16&lt;1," ",IF(AA16&lt;1," ",(AA16)/$AE16))</f>
        <v>#VALUE!</v>
      </c>
      <c r="AC16" s="1562" t="e">
        <f t="shared" si="0"/>
        <v>#VALUE!</v>
      </c>
      <c r="AD16" s="381" t="e">
        <f>+E16+G16+I16+K16+M16+O16+Q16+S16+U16+W16+Y16+AA16+AC16</f>
        <v>#VALUE!</v>
      </c>
      <c r="AE16" s="381" t="e">
        <f>'2nd Interim-Summary MYP'!H19</f>
        <v>#VALUE!</v>
      </c>
      <c r="AF16" s="381" t="e">
        <f t="shared" si="1"/>
        <v>#VALUE!</v>
      </c>
      <c r="AG16" s="1203"/>
    </row>
    <row r="17" spans="1:33" ht="15.75">
      <c r="A17" s="408"/>
      <c r="B17" s="141" t="s">
        <v>310</v>
      </c>
      <c r="C17" s="279">
        <v>8560</v>
      </c>
      <c r="D17" s="1068"/>
      <c r="E17" s="380"/>
      <c r="F17" s="534" t="e">
        <f>IF($AE17&lt;1," ",IF(E17&lt;1," ",(E17)/$AE17))</f>
        <v>#VALUE!</v>
      </c>
      <c r="G17" s="392"/>
      <c r="H17" s="534" t="e">
        <f>IF($AE17&lt;1," ",IF(G17&lt;1," ",(G17)/$AE17))</f>
        <v>#VALUE!</v>
      </c>
      <c r="I17" s="392"/>
      <c r="J17" s="534" t="e">
        <f>IF($AE17&lt;1," ",IF(I17&lt;1," ",(I17)/$AE17))</f>
        <v>#VALUE!</v>
      </c>
      <c r="K17" s="392"/>
      <c r="L17" s="534" t="e">
        <f>IF($AE17&lt;1," ",IF(K17&lt;1," ",(K17)/$AE17))</f>
        <v>#VALUE!</v>
      </c>
      <c r="M17" s="392"/>
      <c r="N17" s="341" t="e">
        <f>IF($AE17&lt;1," ",IF(M17&lt;1," ",(M17)/$AE17))</f>
        <v>#VALUE!</v>
      </c>
      <c r="O17" s="392"/>
      <c r="P17" s="341" t="e">
        <f>IF($AE17&lt;1," ",IF(O17&lt;1," ",(O17)/$AE17))</f>
        <v>#VALUE!</v>
      </c>
      <c r="Q17" s="392"/>
      <c r="R17" s="342" t="e">
        <f>IF($AE17&lt;1," ",IF(Q17&lt;1," ",(Q17)/$AE17))</f>
        <v>#VALUE!</v>
      </c>
      <c r="S17" s="379"/>
      <c r="T17" s="341" t="e">
        <f>IF($AE17&lt;1," ",IF(S17&lt;1," ",(S17)/$AE17))</f>
        <v>#VALUE!</v>
      </c>
      <c r="U17" s="392"/>
      <c r="V17" s="341" t="e">
        <f>IF($AE17&lt;1," ",IF(U17&lt;1," ",(U17)/$AE17))</f>
        <v>#VALUE!</v>
      </c>
      <c r="W17" s="392"/>
      <c r="X17" s="341" t="e">
        <f>IF($AE17&lt;1," ",IF(W17&lt;1," ",(W17)/$AE17))</f>
        <v>#VALUE!</v>
      </c>
      <c r="Y17" s="392"/>
      <c r="Z17" s="341" t="e">
        <f>IF($AE17&lt;1," ",IF(Y17&lt;1," ",(Y17)/$AE17))</f>
        <v>#VALUE!</v>
      </c>
      <c r="AA17" s="392"/>
      <c r="AB17" s="341" t="e">
        <f>IF($AE17&lt;1," ",IF(AA17&lt;1," ",(AA17)/$AE17))</f>
        <v>#VALUE!</v>
      </c>
      <c r="AC17" s="1562" t="e">
        <f t="shared" si="0"/>
        <v>#VALUE!</v>
      </c>
      <c r="AD17" s="381" t="e">
        <f>+E17+G17+I17+K17+M17+O17+Q17+S17+U17+W17+Y17+AA17+AC17</f>
        <v>#VALUE!</v>
      </c>
      <c r="AE17" s="381" t="e">
        <f>'2nd Interim-Summary MYP'!H20</f>
        <v>#VALUE!</v>
      </c>
      <c r="AF17" s="381" t="e">
        <f>+AE17-AD17</f>
        <v>#VALUE!</v>
      </c>
      <c r="AG17" s="1203"/>
    </row>
    <row r="18" spans="1:33" ht="15.75">
      <c r="A18" s="408"/>
      <c r="B18" s="141" t="s">
        <v>311</v>
      </c>
      <c r="C18" s="279" t="s">
        <v>100</v>
      </c>
      <c r="D18" s="1068"/>
      <c r="E18" s="380"/>
      <c r="F18" s="534" t="str">
        <f>IF($AE18&lt;1," ",IF(E18&lt;1," ",(E18)/$AE18))</f>
        <v xml:space="preserve"> </v>
      </c>
      <c r="G18" s="392"/>
      <c r="H18" s="534" t="str">
        <f>IF($AE18&lt;1," ",IF(G18&lt;1," ",(G18)/$AE18))</f>
        <v xml:space="preserve"> </v>
      </c>
      <c r="I18" s="392"/>
      <c r="J18" s="534" t="str">
        <f>IF($AE18&lt;1," ",IF(I18&lt;1," ",(I18)/$AE18))</f>
        <v xml:space="preserve"> </v>
      </c>
      <c r="K18" s="392"/>
      <c r="L18" s="534" t="str">
        <f>IF($AE18&lt;1," ",IF(K18&lt;1," ",(K18)/$AE18))</f>
        <v xml:space="preserve"> </v>
      </c>
      <c r="M18" s="392"/>
      <c r="N18" s="341" t="str">
        <f>IF($AE18&lt;1," ",IF(M18&lt;1," ",(M18)/$AE18))</f>
        <v xml:space="preserve"> </v>
      </c>
      <c r="O18" s="392"/>
      <c r="P18" s="341" t="str">
        <f>IF($AE18&lt;1," ",IF(O18&lt;1," ",(O18)/$AE18))</f>
        <v xml:space="preserve"> </v>
      </c>
      <c r="Q18" s="392"/>
      <c r="R18" s="342" t="str">
        <f>IF($AE18&lt;1," ",IF(Q18&lt;1," ",(Q18)/$AE18))</f>
        <v xml:space="preserve"> </v>
      </c>
      <c r="S18" s="379"/>
      <c r="T18" s="341" t="str">
        <f>IF($AE18&lt;1," ",IF(S18&lt;1," ",(S18)/$AE18))</f>
        <v xml:space="preserve"> </v>
      </c>
      <c r="U18" s="392"/>
      <c r="V18" s="341" t="str">
        <f>IF($AE18&lt;1," ",IF(U18&lt;1," ",(U18)/$AE18))</f>
        <v xml:space="preserve"> </v>
      </c>
      <c r="W18" s="392"/>
      <c r="X18" s="341" t="str">
        <f>IF($AE18&lt;1," ",IF(W18&lt;1," ",(W18)/$AE18))</f>
        <v xml:space="preserve"> </v>
      </c>
      <c r="Y18" s="392"/>
      <c r="Z18" s="341" t="str">
        <f>IF($AE18&lt;1," ",IF(Y18&lt;1," ",(Y18)/$AE18))</f>
        <v xml:space="preserve"> </v>
      </c>
      <c r="AA18" s="392"/>
      <c r="AB18" s="341" t="str">
        <f>IF($AE18&lt;1," ",IF(AA18&lt;1," ",(AA18)/$AE18))</f>
        <v xml:space="preserve"> </v>
      </c>
      <c r="AC18" s="1562">
        <f t="shared" si="0"/>
        <v>0</v>
      </c>
      <c r="AD18" s="381">
        <f>+E18+G18+I18+K18+M18+O18+Q18+S18+U18+W18+Y18+AA18+AC18</f>
        <v>0</v>
      </c>
      <c r="AE18" s="381">
        <f>'2nd Interim-Summary MYP'!H21</f>
        <v>0</v>
      </c>
      <c r="AF18" s="381">
        <f t="shared" si="1"/>
        <v>0</v>
      </c>
      <c r="AG18" s="1203"/>
    </row>
    <row r="19" spans="1:33" ht="15.75">
      <c r="A19" s="408" t="s">
        <v>312</v>
      </c>
      <c r="B19" s="141"/>
      <c r="C19" s="141"/>
      <c r="D19" s="1068"/>
      <c r="E19" s="513"/>
      <c r="F19" s="534"/>
      <c r="G19" s="393"/>
      <c r="H19" s="534"/>
      <c r="I19" s="393"/>
      <c r="J19" s="534"/>
      <c r="K19" s="393"/>
      <c r="L19" s="534"/>
      <c r="M19" s="393"/>
      <c r="N19" s="341"/>
      <c r="O19" s="393"/>
      <c r="P19" s="341"/>
      <c r="Q19" s="393"/>
      <c r="R19" s="342"/>
      <c r="S19" s="383"/>
      <c r="T19" s="341"/>
      <c r="U19" s="393"/>
      <c r="V19" s="341"/>
      <c r="W19" s="393"/>
      <c r="X19" s="341"/>
      <c r="Y19" s="393"/>
      <c r="Z19" s="341"/>
      <c r="AA19" s="393"/>
      <c r="AB19" s="341"/>
      <c r="AC19" s="1563"/>
      <c r="AD19" s="381"/>
      <c r="AE19" s="381"/>
      <c r="AF19" s="381"/>
      <c r="AG19" s="1203"/>
    </row>
    <row r="20" spans="1:33" ht="15.75">
      <c r="A20" s="408"/>
      <c r="B20" s="141" t="s">
        <v>239</v>
      </c>
      <c r="C20" s="279">
        <v>8660</v>
      </c>
      <c r="D20" s="1068"/>
      <c r="E20" s="380"/>
      <c r="F20" s="534" t="str">
        <f>IF($AE20&lt;1," ",IF(E20&lt;1," ",(E20)/$AE20))</f>
        <v xml:space="preserve"> </v>
      </c>
      <c r="G20" s="392"/>
      <c r="H20" s="534" t="str">
        <f>IF($AE20&lt;1," ",IF(G20&lt;1," ",(G20)/$AE20))</f>
        <v xml:space="preserve"> </v>
      </c>
      <c r="I20" s="392"/>
      <c r="J20" s="534" t="str">
        <f>IF($AE20&lt;1," ",IF(I20&lt;1," ",(I20)/$AE20))</f>
        <v xml:space="preserve"> </v>
      </c>
      <c r="K20" s="392"/>
      <c r="L20" s="534" t="str">
        <f>IF($AE20&lt;1," ",IF(K20&lt;1," ",(K20)/$AE20))</f>
        <v xml:space="preserve"> </v>
      </c>
      <c r="M20" s="392"/>
      <c r="N20" s="341" t="str">
        <f>IF($AE20&lt;1," ",IF(M20&lt;1," ",(M20)/$AE20))</f>
        <v xml:space="preserve"> </v>
      </c>
      <c r="O20" s="392"/>
      <c r="P20" s="341" t="str">
        <f>IF($AE20&lt;1," ",IF(O20&lt;1," ",(O20)/$AE20))</f>
        <v xml:space="preserve"> </v>
      </c>
      <c r="Q20" s="392"/>
      <c r="R20" s="342" t="str">
        <f>IF($AE20&lt;1," ",IF(Q20&lt;1," ",(Q20)/$AE20))</f>
        <v xml:space="preserve"> </v>
      </c>
      <c r="S20" s="379"/>
      <c r="T20" s="341" t="str">
        <f>IF($AE20&lt;1," ",IF(S20&lt;1," ",(S20)/$AE20))</f>
        <v xml:space="preserve"> </v>
      </c>
      <c r="U20" s="392"/>
      <c r="V20" s="341" t="str">
        <f>IF($AE20&lt;1," ",IF(U20&lt;1," ",(U20)/$AE20))</f>
        <v xml:space="preserve"> </v>
      </c>
      <c r="W20" s="392"/>
      <c r="X20" s="341" t="str">
        <f>IF($AE20&lt;1," ",IF(W20&lt;1," ",(W20)/$AE20))</f>
        <v xml:space="preserve"> </v>
      </c>
      <c r="Y20" s="392"/>
      <c r="Z20" s="341" t="str">
        <f>IF($AE20&lt;1," ",IF(Y20&lt;1," ",(Y20)/$AE20))</f>
        <v xml:space="preserve"> </v>
      </c>
      <c r="AA20" s="392"/>
      <c r="AB20" s="341" t="str">
        <f>IF($AE20&lt;1," ",IF(AA20&lt;1," ",(AA20)/$AE20))</f>
        <v xml:space="preserve"> </v>
      </c>
      <c r="AC20" s="1562">
        <f t="shared" si="0"/>
        <v>0</v>
      </c>
      <c r="AD20" s="381">
        <f>+E20+G20+I20+K20+M20+O20+Q20+S20+U20+W20+Y20+AA20+AC20</f>
        <v>0</v>
      </c>
      <c r="AE20" s="381">
        <f>'2nd Interim-Summary MYP'!H23</f>
        <v>0</v>
      </c>
      <c r="AF20" s="381">
        <f t="shared" si="1"/>
        <v>0</v>
      </c>
      <c r="AG20" s="1203"/>
    </row>
    <row r="21" spans="1:33" ht="15.75">
      <c r="A21" s="408"/>
      <c r="B21" s="141" t="s">
        <v>313</v>
      </c>
      <c r="C21" s="279">
        <v>8792</v>
      </c>
      <c r="D21" s="1068"/>
      <c r="E21" s="380"/>
      <c r="F21" s="534" t="str">
        <f>IF($AE21&lt;1," ",IF(E21&lt;1," ",(E21)/$AE21))</f>
        <v xml:space="preserve"> </v>
      </c>
      <c r="G21" s="392"/>
      <c r="H21" s="534" t="str">
        <f>IF($AE21&lt;1," ",IF(G21&lt;1," ",(G21)/$AE21))</f>
        <v xml:space="preserve"> </v>
      </c>
      <c r="I21" s="392"/>
      <c r="J21" s="534" t="str">
        <f>IF($AE21&lt;1," ",IF(I21&lt;1," ",(I21)/$AE21))</f>
        <v xml:space="preserve"> </v>
      </c>
      <c r="K21" s="392"/>
      <c r="L21" s="534" t="str">
        <f>IF($AE21&lt;1," ",IF(K21&lt;1," ",(K21)/$AE21))</f>
        <v xml:space="preserve"> </v>
      </c>
      <c r="M21" s="392"/>
      <c r="N21" s="341" t="str">
        <f>IF($AE21&lt;1," ",IF(M21&lt;1," ",(M21)/$AE21))</f>
        <v xml:space="preserve"> </v>
      </c>
      <c r="O21" s="392"/>
      <c r="P21" s="341" t="str">
        <f>IF($AE21&lt;1," ",IF(O21&lt;1," ",(O21)/$AE21))</f>
        <v xml:space="preserve"> </v>
      </c>
      <c r="Q21" s="392"/>
      <c r="R21" s="342" t="str">
        <f>IF($AE21&lt;1," ",IF(Q21&lt;1," ",(Q21)/$AE21))</f>
        <v xml:space="preserve"> </v>
      </c>
      <c r="S21" s="379"/>
      <c r="T21" s="341" t="str">
        <f>IF($AE21&lt;1," ",IF(S21&lt;1," ",(S21)/$AE21))</f>
        <v xml:space="preserve"> </v>
      </c>
      <c r="U21" s="392"/>
      <c r="V21" s="341" t="str">
        <f>IF($AE21&lt;1," ",IF(U21&lt;1," ",(U21)/$AE21))</f>
        <v xml:space="preserve"> </v>
      </c>
      <c r="W21" s="392"/>
      <c r="X21" s="341" t="str">
        <f>IF($AE21&lt;1," ",IF(W21&lt;1," ",(W21)/$AE21))</f>
        <v xml:space="preserve"> </v>
      </c>
      <c r="Y21" s="392"/>
      <c r="Z21" s="341" t="str">
        <f>IF($AE21&lt;1," ",IF(Y21&lt;1," ",(Y21)/$AE21))</f>
        <v xml:space="preserve"> </v>
      </c>
      <c r="AA21" s="392"/>
      <c r="AB21" s="341" t="str">
        <f>IF($AE21&lt;1," ",IF(AA21&lt;1," ",(AA21)/$AE21))</f>
        <v xml:space="preserve"> </v>
      </c>
      <c r="AC21" s="1562">
        <f t="shared" si="0"/>
        <v>0</v>
      </c>
      <c r="AD21" s="381">
        <f>+E21+G21+I21+K21+M21+O21+Q21+S21+U21+W21+Y21+AA21+AC21</f>
        <v>0</v>
      </c>
      <c r="AE21" s="381">
        <f>'2nd Interim-Summary MYP'!H24</f>
        <v>0</v>
      </c>
      <c r="AF21" s="381">
        <f t="shared" si="1"/>
        <v>0</v>
      </c>
      <c r="AG21" s="1203"/>
    </row>
    <row r="22" spans="1:33" ht="15.75">
      <c r="A22" s="408"/>
      <c r="B22" s="141" t="s">
        <v>314</v>
      </c>
      <c r="C22" s="279" t="s">
        <v>101</v>
      </c>
      <c r="D22" s="1068"/>
      <c r="E22" s="380"/>
      <c r="F22" s="534" t="str">
        <f>IF($AE22&lt;1," ",IF(E22&lt;1," ",(E22)/$AE22))</f>
        <v xml:space="preserve"> </v>
      </c>
      <c r="G22" s="392"/>
      <c r="H22" s="534" t="str">
        <f>IF($AE22&lt;1," ",IF(G22&lt;1," ",(G22)/$AE22))</f>
        <v xml:space="preserve"> </v>
      </c>
      <c r="I22" s="392"/>
      <c r="J22" s="534" t="str">
        <f>IF($AE22&lt;1," ",IF(I22&lt;1," ",(I22)/$AE22))</f>
        <v xml:space="preserve"> </v>
      </c>
      <c r="K22" s="392"/>
      <c r="L22" s="534" t="str">
        <f>IF($AE22&lt;1," ",IF(K22&lt;1," ",(K22)/$AE22))</f>
        <v xml:space="preserve"> </v>
      </c>
      <c r="M22" s="392"/>
      <c r="N22" s="341" t="str">
        <f>IF($AE22&lt;1," ",IF(M22&lt;1," ",(M22)/$AE22))</f>
        <v xml:space="preserve"> </v>
      </c>
      <c r="O22" s="392"/>
      <c r="P22" s="341" t="str">
        <f>IF($AE22&lt;1," ",IF(O22&lt;1," ",(O22)/$AE22))</f>
        <v xml:space="preserve"> </v>
      </c>
      <c r="Q22" s="392"/>
      <c r="R22" s="342" t="str">
        <f>IF($AE22&lt;1," ",IF(Q22&lt;1," ",(Q22)/$AE22))</f>
        <v xml:space="preserve"> </v>
      </c>
      <c r="S22" s="379"/>
      <c r="T22" s="341" t="str">
        <f>IF($AE22&lt;1," ",IF(S22&lt;1," ",(S22)/$AE22))</f>
        <v xml:space="preserve"> </v>
      </c>
      <c r="U22" s="392"/>
      <c r="V22" s="341" t="str">
        <f>IF($AE22&lt;1," ",IF(U22&lt;1," ",(U22)/$AE22))</f>
        <v xml:space="preserve"> </v>
      </c>
      <c r="W22" s="392"/>
      <c r="X22" s="341" t="str">
        <f>IF($AE22&lt;1," ",IF(W22&lt;1," ",(W22)/$AE22))</f>
        <v xml:space="preserve"> </v>
      </c>
      <c r="Y22" s="392"/>
      <c r="Z22" s="341" t="str">
        <f>IF($AE22&lt;1," ",IF(Y22&lt;1," ",(Y22)/$AE22))</f>
        <v xml:space="preserve"> </v>
      </c>
      <c r="AA22" s="392"/>
      <c r="AB22" s="341" t="str">
        <f>IF($AE22&lt;1," ",IF(AA22&lt;1," ",(AA22)/$AE22))</f>
        <v xml:space="preserve"> </v>
      </c>
      <c r="AC22" s="1562">
        <f t="shared" si="0"/>
        <v>0</v>
      </c>
      <c r="AD22" s="381">
        <f>+E22+G22+I22+K22+M22+O22+Q22+S22+U22+W22+Y22+AA22+AC22</f>
        <v>0</v>
      </c>
      <c r="AE22" s="381">
        <f>'2nd Interim-Summary MYP'!H25</f>
        <v>0</v>
      </c>
      <c r="AF22" s="381">
        <f t="shared" si="1"/>
        <v>0</v>
      </c>
      <c r="AG22" s="1203"/>
    </row>
    <row r="23" spans="1:33" ht="16.5" thickBot="1">
      <c r="A23" s="407" t="s">
        <v>315</v>
      </c>
      <c r="B23" s="384"/>
      <c r="C23" s="385"/>
      <c r="D23" s="1073"/>
      <c r="E23" s="775">
        <f>SUM(E10:E22)</f>
        <v>0</v>
      </c>
      <c r="F23" s="536" t="e">
        <f>IF($AE23&lt;1," ",IF(E23&lt;1," ",(E23)/$AE23))</f>
        <v>#VALUE!</v>
      </c>
      <c r="G23" s="774">
        <f>SUM(G10:G22)</f>
        <v>0</v>
      </c>
      <c r="H23" s="536" t="e">
        <f>IF($AE23&lt;1," ",IF(G23&lt;1," ",(G23)/$AE23))</f>
        <v>#VALUE!</v>
      </c>
      <c r="I23" s="774">
        <f>SUM(I10:I22)</f>
        <v>0</v>
      </c>
      <c r="J23" s="536" t="e">
        <f>IF($AE23&lt;1," ",IF(I23&lt;1," ",(I23)/$AE23))</f>
        <v>#VALUE!</v>
      </c>
      <c r="K23" s="774">
        <f>SUM(K10:K22)</f>
        <v>0</v>
      </c>
      <c r="L23" s="536" t="e">
        <f>IF($AE23&lt;1," ",IF(K23&lt;1," ",(K23)/$AE23))</f>
        <v>#VALUE!</v>
      </c>
      <c r="M23" s="774">
        <f>SUM(M10:M22)</f>
        <v>0</v>
      </c>
      <c r="N23" s="386" t="e">
        <f>IF($AE23&lt;1," ",IF(M23&lt;1," ",(M23)/$AE23))</f>
        <v>#VALUE!</v>
      </c>
      <c r="O23" s="774">
        <f>SUM(O10:O22)</f>
        <v>0</v>
      </c>
      <c r="P23" s="386" t="e">
        <f>IF($AE23&lt;1," ",IF(O23&lt;1," ",(O23)/$AE23))</f>
        <v>#VALUE!</v>
      </c>
      <c r="Q23" s="774">
        <f>SUM(Q10:Q22)</f>
        <v>0</v>
      </c>
      <c r="R23" s="518" t="e">
        <f>IF($AE23&lt;1," ",IF(Q23&lt;1," ",(Q23)/$AE23))</f>
        <v>#VALUE!</v>
      </c>
      <c r="S23" s="773">
        <f>SUM(S10:S22)</f>
        <v>0</v>
      </c>
      <c r="T23" s="386" t="e">
        <f>IF($AE23&lt;1," ",IF(S23&lt;1," ",(S23)/$AE23))</f>
        <v>#VALUE!</v>
      </c>
      <c r="U23" s="774">
        <f>SUM(U10:U22)</f>
        <v>0</v>
      </c>
      <c r="V23" s="386" t="e">
        <f>IF($AE23&lt;1," ",IF(U23&lt;1," ",(U23)/$AE23))</f>
        <v>#VALUE!</v>
      </c>
      <c r="W23" s="774">
        <f>SUM(W10:W22)</f>
        <v>0</v>
      </c>
      <c r="X23" s="386" t="e">
        <f>IF($AE23&lt;1," ",IF(W23&lt;1," ",(W23)/$AE23))</f>
        <v>#VALUE!</v>
      </c>
      <c r="Y23" s="774">
        <f>SUM(Y10:Y22)</f>
        <v>0</v>
      </c>
      <c r="Z23" s="386" t="e">
        <f>IF($AE23&lt;1," ",IF(Y23&lt;1," ",(Y23)/$AE23))</f>
        <v>#VALUE!</v>
      </c>
      <c r="AA23" s="774">
        <f>SUM(AA10:AA22)</f>
        <v>0</v>
      </c>
      <c r="AB23" s="386" t="e">
        <f>IF($AE23&lt;1," ",IF(AA23&lt;1," ",(AA23)/$AE23))</f>
        <v>#VALUE!</v>
      </c>
      <c r="AC23" s="1564" t="e">
        <f>SUM(AC10:AC22)</f>
        <v>#VALUE!</v>
      </c>
      <c r="AD23" s="776" t="e">
        <f>SUM(AD10:AD22)</f>
        <v>#VALUE!</v>
      </c>
      <c r="AE23" s="776" t="e">
        <f>SUM(AE10:AE22)</f>
        <v>#VALUE!</v>
      </c>
      <c r="AF23" s="776" t="e">
        <f>SUM(AF10:AF22)</f>
        <v>#VALUE!</v>
      </c>
      <c r="AG23" s="1203"/>
    </row>
    <row r="24" spans="1:33" ht="15.75">
      <c r="A24" s="409"/>
      <c r="B24" s="372"/>
      <c r="C24" s="72"/>
      <c r="D24" s="530"/>
      <c r="E24" s="74"/>
      <c r="F24" s="196"/>
      <c r="G24" s="74"/>
      <c r="H24" s="196"/>
      <c r="I24" s="74"/>
      <c r="J24" s="196"/>
      <c r="K24" s="74"/>
      <c r="L24" s="1057"/>
      <c r="M24" s="1058"/>
      <c r="N24" s="196"/>
      <c r="O24" s="74"/>
      <c r="P24" s="196"/>
      <c r="Q24" s="74"/>
      <c r="R24" s="519"/>
      <c r="S24" s="73"/>
      <c r="T24" s="196"/>
      <c r="U24" s="74"/>
      <c r="V24" s="196"/>
      <c r="W24" s="74"/>
      <c r="X24" s="196"/>
      <c r="Y24" s="74"/>
      <c r="Z24" s="196"/>
      <c r="AA24" s="74"/>
      <c r="AB24" s="196"/>
      <c r="AC24" s="1024"/>
      <c r="AD24" s="1024"/>
      <c r="AE24" s="1024"/>
      <c r="AF24" s="1040"/>
      <c r="AG24" s="1203"/>
    </row>
    <row r="25" spans="1:33" ht="15.75">
      <c r="A25" s="67" t="s">
        <v>3</v>
      </c>
      <c r="B25" s="181"/>
      <c r="C25" s="375"/>
      <c r="D25" s="1071"/>
      <c r="E25" s="528"/>
      <c r="F25" s="484"/>
      <c r="G25" s="528"/>
      <c r="H25" s="484"/>
      <c r="I25" s="528"/>
      <c r="J25" s="484"/>
      <c r="K25" s="528"/>
      <c r="L25" s="1059"/>
      <c r="M25" s="1060"/>
      <c r="N25" s="484"/>
      <c r="O25" s="528"/>
      <c r="P25" s="484"/>
      <c r="Q25" s="528"/>
      <c r="R25" s="549"/>
      <c r="S25" s="548"/>
      <c r="T25" s="484"/>
      <c r="U25" s="528"/>
      <c r="V25" s="484"/>
      <c r="W25" s="528"/>
      <c r="X25" s="484"/>
      <c r="Y25" s="528"/>
      <c r="Z25" s="484"/>
      <c r="AA25" s="528"/>
      <c r="AB25" s="484"/>
      <c r="AC25" s="1028"/>
      <c r="AD25" s="1028"/>
      <c r="AE25" s="1028"/>
      <c r="AF25" s="1036"/>
      <c r="AG25" s="1203"/>
    </row>
    <row r="26" spans="1:33" ht="15.75">
      <c r="A26" s="408" t="s">
        <v>4</v>
      </c>
      <c r="B26" s="141"/>
      <c r="C26" s="279" t="s">
        <v>102</v>
      </c>
      <c r="D26" s="1068"/>
      <c r="E26" s="380"/>
      <c r="F26" s="534" t="str">
        <f>IF($AE$26&lt;1," ",IF(E26&lt;1," ",(E26)/$AE$26))</f>
        <v xml:space="preserve"> </v>
      </c>
      <c r="G26" s="392"/>
      <c r="H26" s="534" t="str">
        <f>IF($AE$26&lt;1," ",IF(G26&lt;1," ",(G26)/$AE$26))</f>
        <v xml:space="preserve"> </v>
      </c>
      <c r="I26" s="392"/>
      <c r="J26" s="534" t="str">
        <f>IF($AE$26&lt;1," ",IF(I26&lt;1," ",(I26)/$AE$26))</f>
        <v xml:space="preserve"> </v>
      </c>
      <c r="K26" s="392"/>
      <c r="L26" s="534" t="str">
        <f>IF($AE$26&lt;1," ",IF(K26&lt;1," ",(K26)/$AE$26))</f>
        <v xml:space="preserve"> </v>
      </c>
      <c r="M26" s="392"/>
      <c r="N26" s="341" t="str">
        <f>IF($AE$26&lt;1," ",IF(M26&lt;1," ",(M26)/$AE$26))</f>
        <v xml:space="preserve"> </v>
      </c>
      <c r="O26" s="392"/>
      <c r="P26" s="534" t="str">
        <f>IF($AE$26&lt;1," ",IF(O26&lt;1," ",(O26)/$AE$26))</f>
        <v xml:space="preserve"> </v>
      </c>
      <c r="Q26" s="392"/>
      <c r="R26" s="342" t="str">
        <f>IF($AE$26&lt;1," ",IF(Q26&lt;1," ",(Q26)/$AE$26))</f>
        <v xml:space="preserve"> </v>
      </c>
      <c r="S26" s="379"/>
      <c r="T26" s="341" t="str">
        <f>IF($AE$26&lt;1," ",IF(S26&lt;1," ",(S26)/$AE$26))</f>
        <v xml:space="preserve"> </v>
      </c>
      <c r="U26" s="392"/>
      <c r="V26" s="341" t="str">
        <f>IF($AE$26&lt;1," ",IF(U26&lt;1," ",(U26)/$AE$26))</f>
        <v xml:space="preserve"> </v>
      </c>
      <c r="W26" s="392"/>
      <c r="X26" s="341" t="str">
        <f>IF($AE$26&lt;1," ",IF(W26&lt;1," ",(W26)/$AE$26))</f>
        <v xml:space="preserve"> </v>
      </c>
      <c r="Y26" s="392"/>
      <c r="Z26" s="341" t="str">
        <f>IF($AE$26&lt;1," ",IF(Y26&lt;1," ",(Y26)/$AE$26))</f>
        <v xml:space="preserve"> </v>
      </c>
      <c r="AA26" s="392"/>
      <c r="AB26" s="341" t="str">
        <f>IF($AE$26&lt;1," ",IF(AA26&lt;1," ",(AA26)/$AE$26))</f>
        <v xml:space="preserve"> </v>
      </c>
      <c r="AC26" s="1565">
        <f t="shared" ref="AC26:AC33" si="2">AE26-(E26+G26+I26+K26+M26+O26+Q26+S26+U26+W26+Y26+AA26)</f>
        <v>0</v>
      </c>
      <c r="AD26" s="389">
        <f t="shared" ref="AD26:AD33" si="3">+E26+G26+I26+K26+M26+O26+Q26+S26+U26+W26+Y26+AA26+AC26</f>
        <v>0</v>
      </c>
      <c r="AE26" s="389">
        <f>'2nd Interim-Summary MYP'!H29</f>
        <v>0</v>
      </c>
      <c r="AF26" s="389">
        <f t="shared" ref="AF26:AF33" si="4">+AE26-AD26</f>
        <v>0</v>
      </c>
      <c r="AG26" s="1203"/>
    </row>
    <row r="27" spans="1:33" ht="15.75">
      <c r="A27" s="408" t="s">
        <v>23</v>
      </c>
      <c r="B27" s="141"/>
      <c r="C27" s="279" t="s">
        <v>103</v>
      </c>
      <c r="D27" s="1068"/>
      <c r="E27" s="380"/>
      <c r="F27" s="534" t="str">
        <f>IF($AE$27&lt;1," ",IF(E27&lt;1," ",(E27)/$AE$27))</f>
        <v xml:space="preserve"> </v>
      </c>
      <c r="G27" s="392"/>
      <c r="H27" s="534" t="str">
        <f>IF($AE$27&lt;1," ",IF(G27&lt;1," ",(G27)/$AE$27))</f>
        <v xml:space="preserve"> </v>
      </c>
      <c r="I27" s="392"/>
      <c r="J27" s="534" t="str">
        <f>IF($AE$27&lt;1," ",IF(I27&lt;1," ",(I27)/$AE$27))</f>
        <v xml:space="preserve"> </v>
      </c>
      <c r="K27" s="392"/>
      <c r="L27" s="534" t="str">
        <f>IF($AE$27&lt;1," ",IF(K27&lt;1," ",(K27)/$AE$27))</f>
        <v xml:space="preserve"> </v>
      </c>
      <c r="M27" s="392"/>
      <c r="N27" s="341" t="str">
        <f>IF($AE$27&lt;1," ",IF(M27&lt;1," ",(M27)/$AE$27))</f>
        <v xml:space="preserve"> </v>
      </c>
      <c r="O27" s="392"/>
      <c r="P27" s="534" t="str">
        <f>IF($AE$27&lt;1," ",IF(O27&lt;1," ",(O27)/$AE$27))</f>
        <v xml:space="preserve"> </v>
      </c>
      <c r="Q27" s="392"/>
      <c r="R27" s="342" t="str">
        <f>IF($AE$27&lt;1," ",IF(Q27&lt;1," ",(Q27)/$AE$27))</f>
        <v xml:space="preserve"> </v>
      </c>
      <c r="S27" s="379"/>
      <c r="T27" s="341" t="str">
        <f>IF($AE$27&lt;1," ",IF(S27&lt;1," ",(S27)/$AE$27))</f>
        <v xml:space="preserve"> </v>
      </c>
      <c r="U27" s="392"/>
      <c r="V27" s="341" t="str">
        <f>IF($AE$27&lt;1," ",IF(U27&lt;1," ",(U27)/$AE$27))</f>
        <v xml:space="preserve"> </v>
      </c>
      <c r="W27" s="392"/>
      <c r="X27" s="341" t="str">
        <f>IF($AE$27&lt;1," ",IF(W27&lt;1," ",(W27)/$AE$27))</f>
        <v xml:space="preserve"> </v>
      </c>
      <c r="Y27" s="392"/>
      <c r="Z27" s="341" t="str">
        <f>IF($AE$27&lt;1," ",IF(Y27&lt;1," ",(Y27)/$AE$27))</f>
        <v xml:space="preserve"> </v>
      </c>
      <c r="AA27" s="392"/>
      <c r="AB27" s="341" t="str">
        <f>IF($AE$27&lt;1," ",IF(AA27&lt;1," ",(AA27)/$AE$27))</f>
        <v xml:space="preserve"> </v>
      </c>
      <c r="AC27" s="1565">
        <f t="shared" si="2"/>
        <v>0</v>
      </c>
      <c r="AD27" s="389">
        <f t="shared" si="3"/>
        <v>0</v>
      </c>
      <c r="AE27" s="389">
        <f>'2nd Interim-Summary MYP'!H30</f>
        <v>0</v>
      </c>
      <c r="AF27" s="389">
        <f t="shared" si="4"/>
        <v>0</v>
      </c>
      <c r="AG27" s="1203"/>
    </row>
    <row r="28" spans="1:33" ht="15.75">
      <c r="A28" s="408" t="s">
        <v>24</v>
      </c>
      <c r="B28" s="141"/>
      <c r="C28" s="279" t="s">
        <v>104</v>
      </c>
      <c r="D28" s="1068"/>
      <c r="E28" s="380"/>
      <c r="F28" s="534" t="str">
        <f>IF($AE$28&lt;1," ",IF(E28&lt;1," ",(E28)/$AE$28))</f>
        <v xml:space="preserve"> </v>
      </c>
      <c r="G28" s="392"/>
      <c r="H28" s="534" t="str">
        <f>IF($AE$28&lt;1," ",IF(G28&lt;1," ",(G28)/$AE$28))</f>
        <v xml:space="preserve"> </v>
      </c>
      <c r="I28" s="392"/>
      <c r="J28" s="534" t="str">
        <f>IF($AE$28&lt;1," ",IF(I28&lt;1," ",(I28)/$AE$28))</f>
        <v xml:space="preserve"> </v>
      </c>
      <c r="K28" s="392"/>
      <c r="L28" s="534" t="str">
        <f>IF($AE$28&lt;1," ",IF(K28&lt;1," ",(K28)/$AE$28))</f>
        <v xml:space="preserve"> </v>
      </c>
      <c r="M28" s="392"/>
      <c r="N28" s="341" t="str">
        <f>IF($AE$28&lt;1," ",IF(M28&lt;1," ",(M28)/$AE$28))</f>
        <v xml:space="preserve"> </v>
      </c>
      <c r="O28" s="392"/>
      <c r="P28" s="534" t="str">
        <f>IF($AE$28&lt;1," ",IF(O28&lt;1," ",(O28)/$AE$28))</f>
        <v xml:space="preserve"> </v>
      </c>
      <c r="Q28" s="392"/>
      <c r="R28" s="342" t="str">
        <f>IF($AE$28&lt;1," ",IF(Q28&lt;1," ",(Q28)/$AE$28))</f>
        <v xml:space="preserve"> </v>
      </c>
      <c r="S28" s="379"/>
      <c r="T28" s="341" t="str">
        <f>IF($AE$28&lt;1," ",IF(S28&lt;1," ",(S28)/$AE$28))</f>
        <v xml:space="preserve"> </v>
      </c>
      <c r="U28" s="392"/>
      <c r="V28" s="341" t="str">
        <f>IF($AE$28&lt;1," ",IF(U28&lt;1," ",(U28)/$AE$28))</f>
        <v xml:space="preserve"> </v>
      </c>
      <c r="W28" s="392"/>
      <c r="X28" s="341" t="str">
        <f>IF($AE$28&lt;1," ",IF(W28&lt;1," ",(W28)/$AE$28))</f>
        <v xml:space="preserve"> </v>
      </c>
      <c r="Y28" s="392"/>
      <c r="Z28" s="341" t="str">
        <f>IF($AE$28&lt;1," ",IF(Y28&lt;1," ",(Y28)/$AE$28))</f>
        <v xml:space="preserve"> </v>
      </c>
      <c r="AA28" s="392"/>
      <c r="AB28" s="341" t="str">
        <f>IF($AE$28&lt;1," ",IF(AA28&lt;1," ",(AA28)/$AE$28))</f>
        <v xml:space="preserve"> </v>
      </c>
      <c r="AC28" s="1565">
        <f t="shared" si="2"/>
        <v>0</v>
      </c>
      <c r="AD28" s="389">
        <f t="shared" si="3"/>
        <v>0</v>
      </c>
      <c r="AE28" s="389">
        <f>'2nd Interim-Summary MYP'!H31</f>
        <v>0</v>
      </c>
      <c r="AF28" s="389">
        <f t="shared" si="4"/>
        <v>0</v>
      </c>
      <c r="AG28" s="1203"/>
    </row>
    <row r="29" spans="1:33" ht="15.75">
      <c r="A29" s="408" t="s">
        <v>25</v>
      </c>
      <c r="B29" s="141"/>
      <c r="C29" s="279" t="s">
        <v>105</v>
      </c>
      <c r="D29" s="1068"/>
      <c r="E29" s="380"/>
      <c r="F29" s="534" t="str">
        <f>IF($AE$29&lt;1," ",IF(E29&lt;1," ",(E29)/$AE$29))</f>
        <v xml:space="preserve"> </v>
      </c>
      <c r="G29" s="392"/>
      <c r="H29" s="534" t="str">
        <f>IF($AE$29&lt;1," ",IF(G29&lt;1," ",(G29)/$AE$29))</f>
        <v xml:space="preserve"> </v>
      </c>
      <c r="I29" s="392"/>
      <c r="J29" s="534" t="str">
        <f>IF($AE$29&lt;1," ",IF(I29&lt;1," ",(I29)/$AE$29))</f>
        <v xml:space="preserve"> </v>
      </c>
      <c r="K29" s="392"/>
      <c r="L29" s="534" t="str">
        <f>IF($AE$29&lt;1," ",IF(K29&lt;1," ",(K29)/$AE$29))</f>
        <v xml:space="preserve"> </v>
      </c>
      <c r="M29" s="392"/>
      <c r="N29" s="341" t="str">
        <f>IF($AE$29&lt;1," ",IF(M29&lt;1," ",(M29)/$AE$29))</f>
        <v xml:space="preserve"> </v>
      </c>
      <c r="O29" s="392"/>
      <c r="P29" s="534" t="str">
        <f>IF($AE$29&lt;1," ",IF(O29&lt;1," ",(O29)/$AE$29))</f>
        <v xml:space="preserve"> </v>
      </c>
      <c r="Q29" s="392"/>
      <c r="R29" s="342" t="str">
        <f>IF($AE$29&lt;1," ",IF(Q29&lt;1," ",(Q29)/$AE$29))</f>
        <v xml:space="preserve"> </v>
      </c>
      <c r="S29" s="379"/>
      <c r="T29" s="341" t="str">
        <f>IF($AE$29&lt;1," ",IF(S29&lt;1," ",(S29)/$AE$29))</f>
        <v xml:space="preserve"> </v>
      </c>
      <c r="U29" s="392"/>
      <c r="V29" s="341" t="str">
        <f>IF($AE$29&lt;1," ",IF(U29&lt;1," ",(U29)/$AE$29))</f>
        <v xml:space="preserve"> </v>
      </c>
      <c r="W29" s="392"/>
      <c r="X29" s="341" t="str">
        <f>IF($AE$29&lt;1," ",IF(W29&lt;1," ",(W29)/$AE$29))</f>
        <v xml:space="preserve"> </v>
      </c>
      <c r="Y29" s="392"/>
      <c r="Z29" s="341" t="str">
        <f>IF($AE$29&lt;1," ",IF(Y29&lt;1," ",(Y29)/$AE$29))</f>
        <v xml:space="preserve"> </v>
      </c>
      <c r="AA29" s="392"/>
      <c r="AB29" s="341" t="str">
        <f>IF($AE$29&lt;1," ",IF(AA29&lt;1," ",(AA29)/$AE$29))</f>
        <v xml:space="preserve"> </v>
      </c>
      <c r="AC29" s="1565">
        <f t="shared" si="2"/>
        <v>0</v>
      </c>
      <c r="AD29" s="389">
        <f t="shared" si="3"/>
        <v>0</v>
      </c>
      <c r="AE29" s="389">
        <f>'2nd Interim-Summary MYP'!H32</f>
        <v>0</v>
      </c>
      <c r="AF29" s="389">
        <f t="shared" si="4"/>
        <v>0</v>
      </c>
      <c r="AG29" s="1203"/>
    </row>
    <row r="30" spans="1:33" ht="15.75">
      <c r="A30" s="408" t="s">
        <v>26</v>
      </c>
      <c r="B30" s="141"/>
      <c r="C30" s="279" t="s">
        <v>106</v>
      </c>
      <c r="D30" s="1068"/>
      <c r="E30" s="380"/>
      <c r="F30" s="534" t="str">
        <f>IF($AE$30&lt;1," ",IF(E30&lt;1," ",(E30)/$AE$30))</f>
        <v xml:space="preserve"> </v>
      </c>
      <c r="G30" s="392"/>
      <c r="H30" s="534" t="str">
        <f>IF($AE$30&lt;1," ",IF(G30&lt;1," ",(G30)/$AE$30))</f>
        <v xml:space="preserve"> </v>
      </c>
      <c r="I30" s="392"/>
      <c r="J30" s="534" t="str">
        <f>IF($AE$30&lt;1," ",IF(I30&lt;1," ",(I30)/$AE$30))</f>
        <v xml:space="preserve"> </v>
      </c>
      <c r="K30" s="392"/>
      <c r="L30" s="534" t="str">
        <f>IF($AE$30&lt;1," ",IF(K30&lt;1," ",(K30)/$AE$30))</f>
        <v xml:space="preserve"> </v>
      </c>
      <c r="M30" s="392"/>
      <c r="N30" s="341" t="str">
        <f>IF($AE$30&lt;1," ",IF(M30&lt;1," ",(M30)/$AE$30))</f>
        <v xml:space="preserve"> </v>
      </c>
      <c r="O30" s="392"/>
      <c r="P30" s="534" t="str">
        <f>IF($AE$30&lt;1," ",IF(O30&lt;1," ",(O30)/$AE$30))</f>
        <v xml:space="preserve"> </v>
      </c>
      <c r="Q30" s="392"/>
      <c r="R30" s="342" t="str">
        <f>IF($AE$30&lt;1," ",IF(Q30&lt;1," ",(Q30)/$AE$30))</f>
        <v xml:space="preserve"> </v>
      </c>
      <c r="S30" s="379"/>
      <c r="T30" s="341" t="str">
        <f>IF($AE$30&lt;1," ",IF(S30&lt;1," ",(S30)/$AE$30))</f>
        <v xml:space="preserve"> </v>
      </c>
      <c r="U30" s="392"/>
      <c r="V30" s="341" t="str">
        <f>IF($AE$30&lt;1," ",IF(U30&lt;1," ",(U30)/$AE$30))</f>
        <v xml:space="preserve"> </v>
      </c>
      <c r="W30" s="392"/>
      <c r="X30" s="341" t="str">
        <f>IF($AE$30&lt;1," ",IF(W30&lt;1," ",(W30)/$AE$30))</f>
        <v xml:space="preserve"> </v>
      </c>
      <c r="Y30" s="392"/>
      <c r="Z30" s="341" t="str">
        <f>IF($AE$30&lt;1," ",IF(Y30&lt;1," ",(Y30)/$AE$30))</f>
        <v xml:space="preserve"> </v>
      </c>
      <c r="AA30" s="392"/>
      <c r="AB30" s="341" t="str">
        <f>IF($AE$30&lt;1," ",IF(AA30&lt;1," ",(AA30)/$AE$30))</f>
        <v xml:space="preserve"> </v>
      </c>
      <c r="AC30" s="1565">
        <f t="shared" si="2"/>
        <v>0</v>
      </c>
      <c r="AD30" s="389">
        <f t="shared" si="3"/>
        <v>0</v>
      </c>
      <c r="AE30" s="389">
        <f>'2nd Interim-Summary MYP'!H33</f>
        <v>0</v>
      </c>
      <c r="AF30" s="389">
        <f t="shared" si="4"/>
        <v>0</v>
      </c>
      <c r="AG30" s="1203"/>
    </row>
    <row r="31" spans="1:33" ht="15.75">
      <c r="A31" s="408" t="s">
        <v>5</v>
      </c>
      <c r="B31" s="141"/>
      <c r="C31" s="279" t="s">
        <v>107</v>
      </c>
      <c r="D31" s="1068"/>
      <c r="E31" s="380"/>
      <c r="F31" s="534" t="str">
        <f>IF($AE$31&lt;1," ",IF(E31&lt;1," ",(E31)/$AE$31))</f>
        <v xml:space="preserve"> </v>
      </c>
      <c r="G31" s="392"/>
      <c r="H31" s="534" t="str">
        <f>IF($AE$31&lt;1," ",IF(G31&lt;1," ",(G31)/$AE$31))</f>
        <v xml:space="preserve"> </v>
      </c>
      <c r="I31" s="392"/>
      <c r="J31" s="534" t="str">
        <f>IF($AE$31&lt;1," ",IF(I31&lt;1," ",(I31)/$AE$31))</f>
        <v xml:space="preserve"> </v>
      </c>
      <c r="K31" s="392"/>
      <c r="L31" s="534" t="str">
        <f>IF($AE$31&lt;1," ",IF(K31&lt;1," ",(K31)/$AE$31))</f>
        <v xml:space="preserve"> </v>
      </c>
      <c r="M31" s="392"/>
      <c r="N31" s="341" t="str">
        <f>IF($AE$31&lt;1," ",IF(M31&lt;1," ",(M31)/$AE$31))</f>
        <v xml:space="preserve"> </v>
      </c>
      <c r="O31" s="392"/>
      <c r="P31" s="534" t="str">
        <f>IF($AE$31&lt;1," ",IF(O31&lt;1," ",(O31)/$AE$31))</f>
        <v xml:space="preserve"> </v>
      </c>
      <c r="Q31" s="392"/>
      <c r="R31" s="342" t="str">
        <f>IF($AE$31&lt;1," ",IF(Q31&lt;1," ",(Q31)/$AE$31))</f>
        <v xml:space="preserve"> </v>
      </c>
      <c r="S31" s="379"/>
      <c r="T31" s="341" t="str">
        <f>IF($AE$31&lt;1," ",IF(S31&lt;1," ",(S31)/$AE$31))</f>
        <v xml:space="preserve"> </v>
      </c>
      <c r="U31" s="392"/>
      <c r="V31" s="341" t="str">
        <f>IF($AE$31&lt;1," ",IF(U31&lt;1," ",(U31)/$AE$31))</f>
        <v xml:space="preserve"> </v>
      </c>
      <c r="W31" s="392"/>
      <c r="X31" s="341" t="str">
        <f>IF($AE$31&lt;1," ",IF(W31&lt;1," ",(W31)/$AE$31))</f>
        <v xml:space="preserve"> </v>
      </c>
      <c r="Y31" s="392"/>
      <c r="Z31" s="341" t="str">
        <f>IF($AE$31&lt;1," ",IF(Y31&lt;1," ",(Y31)/$AE$31))</f>
        <v xml:space="preserve"> </v>
      </c>
      <c r="AA31" s="392"/>
      <c r="AB31" s="341" t="str">
        <f>IF($AE$31&lt;1," ",IF(AA31&lt;1," ",(AA31)/$AE$31))</f>
        <v xml:space="preserve"> </v>
      </c>
      <c r="AC31" s="1565">
        <f t="shared" si="2"/>
        <v>0</v>
      </c>
      <c r="AD31" s="389">
        <f t="shared" si="3"/>
        <v>0</v>
      </c>
      <c r="AE31" s="389">
        <f>'2nd Interim-Summary MYP'!H34</f>
        <v>0</v>
      </c>
      <c r="AF31" s="389">
        <f t="shared" si="4"/>
        <v>0</v>
      </c>
      <c r="AG31" s="1203"/>
    </row>
    <row r="32" spans="1:33" ht="15.75">
      <c r="A32" s="408" t="s">
        <v>27</v>
      </c>
      <c r="B32" s="141"/>
      <c r="C32" s="279" t="s">
        <v>108</v>
      </c>
      <c r="D32" s="1068"/>
      <c r="E32" s="380"/>
      <c r="F32" s="534" t="str">
        <f>IF($AE$32&lt;1," ",IF(E32&lt;1," ",(E32)/$AE$32))</f>
        <v xml:space="preserve"> </v>
      </c>
      <c r="G32" s="392"/>
      <c r="H32" s="534" t="str">
        <f>IF($AE$32&lt;1," ",IF(G32&lt;1," ",(G32)/$AE$32))</f>
        <v xml:space="preserve"> </v>
      </c>
      <c r="I32" s="392"/>
      <c r="J32" s="534" t="str">
        <f>IF($AE$32&lt;1," ",IF(I32&lt;1," ",(I32)/$AE$32))</f>
        <v xml:space="preserve"> </v>
      </c>
      <c r="K32" s="392"/>
      <c r="L32" s="534" t="str">
        <f>IF($AE$32&lt;1," ",IF(K32&lt;1," ",(K32)/$AE$32))</f>
        <v xml:space="preserve"> </v>
      </c>
      <c r="M32" s="392"/>
      <c r="N32" s="341" t="str">
        <f>IF($AE$32&lt;1," ",IF(M32&lt;1," ",(M32)/$AE$32))</f>
        <v xml:space="preserve"> </v>
      </c>
      <c r="O32" s="392"/>
      <c r="P32" s="534" t="str">
        <f>IF($AE$32&lt;1," ",IF(O32&lt;1," ",(O32)/$AE$32))</f>
        <v xml:space="preserve"> </v>
      </c>
      <c r="Q32" s="392"/>
      <c r="R32" s="342" t="str">
        <f>IF($AE$32&lt;1," ",IF(Q32&lt;1," ",(Q32)/$AE$32))</f>
        <v xml:space="preserve"> </v>
      </c>
      <c r="S32" s="379"/>
      <c r="T32" s="341" t="str">
        <f>IF($AE$32&lt;1," ",IF(S32&lt;1," ",(S32)/$AE$32))</f>
        <v xml:space="preserve"> </v>
      </c>
      <c r="U32" s="392"/>
      <c r="V32" s="341" t="str">
        <f>IF($AE$32&lt;1," ",IF(U32&lt;1," ",(U32)/$AE$32))</f>
        <v xml:space="preserve"> </v>
      </c>
      <c r="W32" s="392"/>
      <c r="X32" s="341" t="str">
        <f>IF($AE$32&lt;1," ",IF(W32&lt;1," ",(W32)/$AE$32))</f>
        <v xml:space="preserve"> </v>
      </c>
      <c r="Y32" s="392"/>
      <c r="Z32" s="341" t="str">
        <f>IF($AE$32&lt;1," ",IF(Y32&lt;1," ",(Y32)/$AE$32))</f>
        <v xml:space="preserve"> </v>
      </c>
      <c r="AA32" s="392"/>
      <c r="AB32" s="341" t="str">
        <f>IF($AE$32&lt;1," ",IF(AA32&lt;1," ",(AA32)/$AE$32))</f>
        <v xml:space="preserve"> </v>
      </c>
      <c r="AC32" s="1565">
        <f t="shared" si="2"/>
        <v>0</v>
      </c>
      <c r="AD32" s="389">
        <f t="shared" si="3"/>
        <v>0</v>
      </c>
      <c r="AE32" s="389">
        <f>'2nd Interim-Summary MYP'!H35</f>
        <v>0</v>
      </c>
      <c r="AF32" s="389">
        <f t="shared" si="4"/>
        <v>0</v>
      </c>
      <c r="AG32" s="1203"/>
    </row>
    <row r="33" spans="1:33" ht="15.75">
      <c r="A33" s="408" t="s">
        <v>149</v>
      </c>
      <c r="B33" s="141"/>
      <c r="C33" s="279" t="s">
        <v>114</v>
      </c>
      <c r="D33" s="1068"/>
      <c r="E33" s="380">
        <v>0</v>
      </c>
      <c r="F33" s="534" t="str">
        <f>IF($AE33&lt;1," ",IF(E33&lt;1," ",(E33)/$AE33))</f>
        <v xml:space="preserve"> </v>
      </c>
      <c r="G33" s="392"/>
      <c r="H33" s="534" t="str">
        <f>IF($AE33&lt;1," ",IF(G33&lt;1," ",(G33)/$AE33))</f>
        <v xml:space="preserve"> </v>
      </c>
      <c r="I33" s="392"/>
      <c r="J33" s="534" t="str">
        <f>IF($AE33&lt;1," ",IF(I33&lt;1," ",(I33)/$AE33))</f>
        <v xml:space="preserve"> </v>
      </c>
      <c r="K33" s="392"/>
      <c r="L33" s="534" t="str">
        <f>IF($AE33&lt;1," ",IF(K33&lt;1," ",(K33)/$AE33))</f>
        <v xml:space="preserve"> </v>
      </c>
      <c r="M33" s="392"/>
      <c r="N33" s="341" t="str">
        <f>IF($AE33&lt;1," ",IF(M33&lt;1," ",(M33)/$AE33))</f>
        <v xml:space="preserve"> </v>
      </c>
      <c r="O33" s="392"/>
      <c r="P33" s="534" t="str">
        <f>IF($AE33&lt;1," ",IF(O33&lt;1," ",(O33)/$AE33))</f>
        <v xml:space="preserve"> </v>
      </c>
      <c r="Q33" s="392"/>
      <c r="R33" s="342" t="str">
        <f>IF($AE33&lt;1," ",IF(Q33&lt;1," ",(Q33)/$AE33))</f>
        <v xml:space="preserve"> </v>
      </c>
      <c r="S33" s="379"/>
      <c r="T33" s="341" t="str">
        <f>IF($AE33&lt;1," ",IF(S33&lt;1," ",(S33)/$AE33))</f>
        <v xml:space="preserve"> </v>
      </c>
      <c r="U33" s="392"/>
      <c r="V33" s="341" t="str">
        <f>IF($AE33&lt;1," ",IF(U33&lt;1," ",(U33)/$AE33))</f>
        <v xml:space="preserve"> </v>
      </c>
      <c r="W33" s="392"/>
      <c r="X33" s="341" t="str">
        <f>IF($AE33&lt;1," ",IF(W33&lt;1," ",(W33)/$AE33))</f>
        <v xml:space="preserve"> </v>
      </c>
      <c r="Y33" s="392"/>
      <c r="Z33" s="341" t="str">
        <f>IF($AE33&lt;1," ",IF(Y33&lt;1," ",(Y33)/$AE33))</f>
        <v xml:space="preserve"> </v>
      </c>
      <c r="AA33" s="392"/>
      <c r="AB33" s="341" t="str">
        <f>IF($AE33&lt;1," ",IF(AA33&lt;1," ",(AA33)/$AE33))</f>
        <v xml:space="preserve"> </v>
      </c>
      <c r="AC33" s="1565">
        <f t="shared" si="2"/>
        <v>0</v>
      </c>
      <c r="AD33" s="389">
        <f t="shared" si="3"/>
        <v>0</v>
      </c>
      <c r="AE33" s="389">
        <f>'2nd Interim-Summary MYP'!H36</f>
        <v>0</v>
      </c>
      <c r="AF33" s="389">
        <f t="shared" si="4"/>
        <v>0</v>
      </c>
      <c r="AG33" s="1203"/>
    </row>
    <row r="34" spans="1:33" ht="16.5" thickBot="1">
      <c r="A34" s="410" t="s">
        <v>28</v>
      </c>
      <c r="B34" s="384"/>
      <c r="C34" s="385"/>
      <c r="D34" s="1073"/>
      <c r="E34" s="775">
        <f>+SUM(E26:E33)</f>
        <v>0</v>
      </c>
      <c r="F34" s="535" t="str">
        <f>IF($AE34&lt;1," ",IF(E34&lt;1," ",(E34)/$AE34))</f>
        <v xml:space="preserve"> </v>
      </c>
      <c r="G34" s="774">
        <f>+SUM(G26:G33)</f>
        <v>0</v>
      </c>
      <c r="H34" s="535" t="str">
        <f>IF($AE34&lt;1," ",IF(G34&lt;1," ",(G34)/$AE34))</f>
        <v xml:space="preserve"> </v>
      </c>
      <c r="I34" s="774">
        <f>+SUM(I26:I33)</f>
        <v>0</v>
      </c>
      <c r="J34" s="535" t="str">
        <f>IF($AE34&lt;1," ",IF(I34&lt;1," ",(I34)/$AE34))</f>
        <v xml:space="preserve"> </v>
      </c>
      <c r="K34" s="774">
        <f>+SUM(K26:K33)</f>
        <v>0</v>
      </c>
      <c r="L34" s="535" t="str">
        <f>IF($AE34&lt;1," ",IF(K34&lt;1," ",(K34)/$AE34))</f>
        <v xml:space="preserve"> </v>
      </c>
      <c r="M34" s="774">
        <f>+SUM(M26:M33)</f>
        <v>0</v>
      </c>
      <c r="N34" s="390" t="str">
        <f>IF($AE34&lt;1," ",IF(M34&lt;1," ",(M34)/$AE34))</f>
        <v xml:space="preserve"> </v>
      </c>
      <c r="O34" s="774">
        <f>+SUM(O26:O33)</f>
        <v>0</v>
      </c>
      <c r="P34" s="535" t="str">
        <f>IF($AE34&lt;1," ",IF(O34&lt;1," ",(O34)/$AE34))</f>
        <v xml:space="preserve"> </v>
      </c>
      <c r="Q34" s="774">
        <f>+SUM(Q26:Q33)</f>
        <v>0</v>
      </c>
      <c r="R34" s="520" t="str">
        <f>IF($AE34&lt;1," ",IF(Q34&lt;1," ",(Q34)/$AE34))</f>
        <v xml:space="preserve"> </v>
      </c>
      <c r="S34" s="773">
        <f>+SUM(S26:S33)</f>
        <v>0</v>
      </c>
      <c r="T34" s="390" t="str">
        <f>IF($AE34&lt;1," ",IF(S34&lt;1," ",(S34)/$AE34))</f>
        <v xml:space="preserve"> </v>
      </c>
      <c r="U34" s="774">
        <f>+SUM(U26:U33)</f>
        <v>0</v>
      </c>
      <c r="V34" s="390" t="str">
        <f>IF($AE34&lt;1," ",IF(U34&lt;1," ",(U34)/$AE34))</f>
        <v xml:space="preserve"> </v>
      </c>
      <c r="W34" s="774">
        <f>+SUM(W26:W33)</f>
        <v>0</v>
      </c>
      <c r="X34" s="390" t="str">
        <f>IF($AE34&lt;1," ",IF(W34&lt;1," ",(W34)/$AE34))</f>
        <v xml:space="preserve"> </v>
      </c>
      <c r="Y34" s="774">
        <f>+SUM(Y26:Y33)</f>
        <v>0</v>
      </c>
      <c r="Z34" s="390" t="str">
        <f>IF($AE34&lt;1," ",IF(Y34&lt;1," ",(Y34)/$AE34))</f>
        <v xml:space="preserve"> </v>
      </c>
      <c r="AA34" s="774">
        <f>+SUM(AA26:AA33)</f>
        <v>0</v>
      </c>
      <c r="AB34" s="390" t="str">
        <f>IF($AE34&lt;1," ",IF(AA34&lt;1," ",(AA34)/$AE34))</f>
        <v xml:space="preserve"> </v>
      </c>
      <c r="AC34" s="1564">
        <f>+SUM(AC26:AC33)</f>
        <v>0</v>
      </c>
      <c r="AD34" s="776">
        <f>+SUM(AD26:AD33)</f>
        <v>0</v>
      </c>
      <c r="AE34" s="776">
        <f>+SUM(AE26:AE33)</f>
        <v>0</v>
      </c>
      <c r="AF34" s="776">
        <f>+SUM(AF26:AF33)</f>
        <v>0</v>
      </c>
      <c r="AG34" s="1203"/>
    </row>
    <row r="35" spans="1:33" ht="15.75">
      <c r="A35" s="411"/>
      <c r="B35" s="373"/>
      <c r="C35" s="72"/>
      <c r="D35" s="530"/>
      <c r="E35" s="76"/>
      <c r="F35" s="197"/>
      <c r="G35" s="76"/>
      <c r="H35" s="197"/>
      <c r="I35" s="76"/>
      <c r="J35" s="197"/>
      <c r="K35" s="76"/>
      <c r="L35" s="1061"/>
      <c r="M35" s="1062"/>
      <c r="N35" s="197"/>
      <c r="O35" s="76"/>
      <c r="P35" s="197"/>
      <c r="Q35" s="76"/>
      <c r="R35" s="521"/>
      <c r="S35" s="75"/>
      <c r="T35" s="197"/>
      <c r="U35" s="76"/>
      <c r="V35" s="197"/>
      <c r="W35" s="76"/>
      <c r="X35" s="197"/>
      <c r="Y35" s="76"/>
      <c r="Z35" s="197"/>
      <c r="AA35" s="76"/>
      <c r="AB35" s="197"/>
      <c r="AC35" s="1024"/>
      <c r="AD35" s="1024"/>
      <c r="AE35" s="1024"/>
      <c r="AF35" s="1040"/>
      <c r="AG35" s="1203"/>
    </row>
    <row r="36" spans="1:33" ht="15.75">
      <c r="A36" s="67" t="s">
        <v>109</v>
      </c>
      <c r="B36" s="181"/>
      <c r="C36" s="375"/>
      <c r="D36" s="1071"/>
      <c r="E36" s="526"/>
      <c r="F36" s="484"/>
      <c r="G36" s="526"/>
      <c r="H36" s="484"/>
      <c r="I36" s="526"/>
      <c r="J36" s="484"/>
      <c r="K36" s="526"/>
      <c r="L36" s="1059"/>
      <c r="M36" s="1063"/>
      <c r="N36" s="484"/>
      <c r="O36" s="526"/>
      <c r="P36" s="484"/>
      <c r="Q36" s="526"/>
      <c r="R36" s="549"/>
      <c r="S36" s="376"/>
      <c r="T36" s="484"/>
      <c r="U36" s="526"/>
      <c r="V36" s="484"/>
      <c r="W36" s="526"/>
      <c r="X36" s="484"/>
      <c r="Y36" s="526"/>
      <c r="Z36" s="484"/>
      <c r="AA36" s="526"/>
      <c r="AB36" s="484"/>
      <c r="AC36" s="1028"/>
      <c r="AD36" s="1028"/>
      <c r="AE36" s="1028"/>
      <c r="AF36" s="1036"/>
      <c r="AG36" s="1203"/>
    </row>
    <row r="37" spans="1:33" ht="15.75">
      <c r="A37" s="408" t="s">
        <v>127</v>
      </c>
      <c r="B37" s="141"/>
      <c r="C37" s="279">
        <v>8900</v>
      </c>
      <c r="D37" s="1074"/>
      <c r="E37" s="380"/>
      <c r="F37" s="534" t="str">
        <f>IF($AE37&lt;1," ",IF(E37&lt;1," ",(E37)/$AE37))</f>
        <v xml:space="preserve"> </v>
      </c>
      <c r="G37" s="392"/>
      <c r="H37" s="534" t="str">
        <f>IF($AE37&lt;1," ",IF(G37&lt;1," ",(G37)/$AE37))</f>
        <v xml:space="preserve"> </v>
      </c>
      <c r="I37" s="392"/>
      <c r="J37" s="534" t="str">
        <f>IF($AE37&lt;1," ",IF(I37&lt;1," ",(I37)/$AE37))</f>
        <v xml:space="preserve"> </v>
      </c>
      <c r="K37" s="392"/>
      <c r="L37" s="534" t="str">
        <f>IF($AE37&lt;1," ",IF(K37&lt;1," ",(K37)/$AE37))</f>
        <v xml:space="preserve"> </v>
      </c>
      <c r="M37" s="392"/>
      <c r="N37" s="341" t="str">
        <f>IF($AE37&lt;1," ",IF(M37&lt;1," ",(M37)/$AE37))</f>
        <v xml:space="preserve"> </v>
      </c>
      <c r="O37" s="392"/>
      <c r="P37" s="341" t="str">
        <f>IF($AE37&lt;1," ",IF(O37&lt;1," ",(O37)/$AE37))</f>
        <v xml:space="preserve"> </v>
      </c>
      <c r="Q37" s="392"/>
      <c r="R37" s="342" t="str">
        <f>IF($AE37&lt;1," ",IF(Q37&lt;1," ",(Q37)/$AE37))</f>
        <v xml:space="preserve"> </v>
      </c>
      <c r="S37" s="379"/>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565">
        <f>AE37-(E37+G37+I37+K37+M37+O37+Q37+S37+U37+W37+Y37+AA37)</f>
        <v>0</v>
      </c>
      <c r="AD37" s="389">
        <f>+E37+G37+I37+K37+M37+O37+Q37+S37+U37+W37+Y37+AA37+AC37</f>
        <v>0</v>
      </c>
      <c r="AE37" s="389">
        <f>'2nd Interim-Summary MYP'!H42</f>
        <v>0</v>
      </c>
      <c r="AF37" s="389">
        <f>+AE37-AD37</f>
        <v>0</v>
      </c>
      <c r="AG37" s="1203"/>
    </row>
    <row r="38" spans="1:33" ht="15.75">
      <c r="A38" s="408" t="s">
        <v>30</v>
      </c>
      <c r="B38" s="141"/>
      <c r="C38" s="279">
        <v>7600</v>
      </c>
      <c r="D38" s="1074"/>
      <c r="E38" s="380"/>
      <c r="F38" s="534" t="str">
        <f>IF($AE38&lt;1," ",IF(E38&lt;1," ",(E38)/$AE38))</f>
        <v xml:space="preserve"> </v>
      </c>
      <c r="G38" s="392"/>
      <c r="H38" s="534" t="str">
        <f>IF($AE38&lt;1," ",IF(G38&lt;1," ",(G38)/$AE38))</f>
        <v xml:space="preserve"> </v>
      </c>
      <c r="I38" s="392"/>
      <c r="J38" s="534" t="str">
        <f>IF($AE38&lt;1," ",IF(I38&lt;1," ",(I38)/$AE38))</f>
        <v xml:space="preserve"> </v>
      </c>
      <c r="K38" s="392"/>
      <c r="L38" s="534" t="str">
        <f>IF($AE38&lt;1," ",IF(K38&lt;1," ",(K38)/$AE38))</f>
        <v xml:space="preserve"> </v>
      </c>
      <c r="M38" s="392"/>
      <c r="N38" s="341" t="str">
        <f>IF($AE38&lt;1," ",IF(M38&lt;1," ",(M38)/$AE38))</f>
        <v xml:space="preserve"> </v>
      </c>
      <c r="O38" s="392"/>
      <c r="P38" s="341" t="str">
        <f>IF($AE38&lt;1," ",IF(O38&lt;1," ",(O38)/$AE38))</f>
        <v xml:space="preserve"> </v>
      </c>
      <c r="Q38" s="392"/>
      <c r="R38" s="342" t="str">
        <f>IF($AE38&lt;1," ",IF(Q38&lt;1," ",(Q38)/$AE38))</f>
        <v xml:space="preserve"> </v>
      </c>
      <c r="S38" s="379"/>
      <c r="T38" s="341" t="str">
        <f>IF($AE38&lt;1," ",IF(S38&lt;1," ",(S38)/$AE38))</f>
        <v xml:space="preserve"> </v>
      </c>
      <c r="U38" s="392"/>
      <c r="V38" s="341" t="str">
        <f>IF($AE38&lt;1," ",IF(U38&lt;1," ",(U38)/$AE38))</f>
        <v xml:space="preserve"> </v>
      </c>
      <c r="W38" s="392"/>
      <c r="X38" s="341" t="str">
        <f>IF($AE38&lt;1," ",IF(W38&lt;1," ",(W38)/$AE38))</f>
        <v xml:space="preserve"> </v>
      </c>
      <c r="Y38" s="392"/>
      <c r="Z38" s="341" t="str">
        <f>IF($AE38&lt;1," ",IF(Y38&lt;1," ",(Y38)/$AE38))</f>
        <v xml:space="preserve"> </v>
      </c>
      <c r="AA38" s="392"/>
      <c r="AB38" s="341" t="str">
        <f>IF($AE38&lt;1," ",IF(AA38&lt;1," ",(AA38)/$AE38))</f>
        <v xml:space="preserve"> </v>
      </c>
      <c r="AC38" s="1565">
        <f>AE38-(E38+G38+I38+K38+M38+O38+Q38+S38+U38+W38+Y38+AA38)</f>
        <v>0</v>
      </c>
      <c r="AD38" s="389">
        <f>+E38+G38+I38+K38+M38+O38+Q38+S38+U38+W38+Y38+AA38+AC38</f>
        <v>0</v>
      </c>
      <c r="AE38" s="389">
        <f>'2nd Interim-Summary MYP'!H43</f>
        <v>0</v>
      </c>
      <c r="AF38" s="389">
        <f>+AE38-AD38</f>
        <v>0</v>
      </c>
      <c r="AG38" s="1203"/>
    </row>
    <row r="39" spans="1:33" ht="16.5" thickBot="1">
      <c r="A39" s="412" t="s">
        <v>31</v>
      </c>
      <c r="B39" s="384"/>
      <c r="C39" s="385"/>
      <c r="D39" s="1073"/>
      <c r="E39" s="775">
        <f>+E37-E38</f>
        <v>0</v>
      </c>
      <c r="F39" s="535" t="str">
        <f>IF($AE39&lt;1," ",IF(E39&lt;1," ",(E39)/$AE39))</f>
        <v xml:space="preserve"> </v>
      </c>
      <c r="G39" s="774">
        <f>+G37-G38</f>
        <v>0</v>
      </c>
      <c r="H39" s="535" t="str">
        <f>IF($AE39&lt;1," ",IF(G39&lt;1," ",(G39)/$AE39))</f>
        <v xml:space="preserve"> </v>
      </c>
      <c r="I39" s="774">
        <f>+I37-I38</f>
        <v>0</v>
      </c>
      <c r="J39" s="535" t="str">
        <f>IF($AE39&lt;1," ",IF(I39&lt;1," ",(I39)/$AE39))</f>
        <v xml:space="preserve"> </v>
      </c>
      <c r="K39" s="774">
        <f>+K37-K38</f>
        <v>0</v>
      </c>
      <c r="L39" s="535" t="str">
        <f>IF($AE39&lt;1," ",IF(K39&lt;1," ",(K39)/$AE39))</f>
        <v xml:space="preserve"> </v>
      </c>
      <c r="M39" s="774">
        <f>+M37-M38</f>
        <v>0</v>
      </c>
      <c r="N39" s="390" t="str">
        <f>IF($AE39&lt;1," ",IF(M39&lt;1," ",(M39)/$AE39))</f>
        <v xml:space="preserve"> </v>
      </c>
      <c r="O39" s="774">
        <f>+O37-O38</f>
        <v>0</v>
      </c>
      <c r="P39" s="390" t="str">
        <f>IF($AE39&lt;1," ",IF(O39&lt;1," ",(O39)/$AE39))</f>
        <v xml:space="preserve"> </v>
      </c>
      <c r="Q39" s="774">
        <f>+Q37-Q38</f>
        <v>0</v>
      </c>
      <c r="R39" s="520" t="str">
        <f>IF($AE39&lt;1," ",IF(Q39&lt;1," ",(Q39)/$AE39))</f>
        <v xml:space="preserve"> </v>
      </c>
      <c r="S39" s="773">
        <f>+S37-S38</f>
        <v>0</v>
      </c>
      <c r="T39" s="390" t="str">
        <f>IF($AE39&lt;1," ",IF(S39&lt;1," ",(S39)/$AE39))</f>
        <v xml:space="preserve"> </v>
      </c>
      <c r="U39" s="774">
        <f>+U37-U38</f>
        <v>0</v>
      </c>
      <c r="V39" s="390" t="str">
        <f>IF($AE39&lt;1," ",IF(U39&lt;1," ",(U39)/$AE39))</f>
        <v xml:space="preserve"> </v>
      </c>
      <c r="W39" s="774">
        <f>+W37-W38</f>
        <v>0</v>
      </c>
      <c r="X39" s="390" t="str">
        <f>IF($AE39&lt;1," ",IF(W39&lt;1," ",(W39)/$AE39))</f>
        <v xml:space="preserve"> </v>
      </c>
      <c r="Y39" s="774">
        <f>+Y37-Y38</f>
        <v>0</v>
      </c>
      <c r="Z39" s="390" t="str">
        <f>IF($AE39&lt;1," ",IF(Y39&lt;1," ",(Y39)/$AE39))</f>
        <v xml:space="preserve"> </v>
      </c>
      <c r="AA39" s="774">
        <f>+AA37-AA38</f>
        <v>0</v>
      </c>
      <c r="AB39" s="390" t="str">
        <f>IF($AE39&lt;1," ",IF(AA39&lt;1," ",(AA39)/$AE39))</f>
        <v xml:space="preserve"> </v>
      </c>
      <c r="AC39" s="1564">
        <f>+AC37-AC38</f>
        <v>0</v>
      </c>
      <c r="AD39" s="776">
        <f>+AD37-AD38</f>
        <v>0</v>
      </c>
      <c r="AE39" s="776">
        <f>+AE37-AE38</f>
        <v>0</v>
      </c>
      <c r="AF39" s="776">
        <f>+AF37-AF38</f>
        <v>0</v>
      </c>
      <c r="AG39" s="1203"/>
    </row>
    <row r="40" spans="1:33" ht="15.75" customHeight="1">
      <c r="A40" s="411"/>
      <c r="B40" s="183"/>
      <c r="C40" s="23"/>
      <c r="D40" s="1861" t="s">
        <v>213</v>
      </c>
      <c r="E40" s="1048"/>
      <c r="F40" s="538" t="s">
        <v>82</v>
      </c>
      <c r="G40" s="395"/>
      <c r="H40" s="538" t="s">
        <v>82</v>
      </c>
      <c r="I40" s="395"/>
      <c r="J40" s="538" t="s">
        <v>82</v>
      </c>
      <c r="K40" s="395"/>
      <c r="L40" s="538" t="s">
        <v>82</v>
      </c>
      <c r="M40" s="395"/>
      <c r="N40" s="1051" t="s">
        <v>82</v>
      </c>
      <c r="O40" s="395"/>
      <c r="P40" s="199" t="s">
        <v>82</v>
      </c>
      <c r="Q40" s="395"/>
      <c r="R40" s="550" t="s">
        <v>82</v>
      </c>
      <c r="S40" s="49"/>
      <c r="T40" s="199" t="s">
        <v>82</v>
      </c>
      <c r="U40" s="395"/>
      <c r="V40" s="199" t="s">
        <v>82</v>
      </c>
      <c r="W40" s="395"/>
      <c r="X40" s="199" t="s">
        <v>82</v>
      </c>
      <c r="Y40" s="395"/>
      <c r="Z40" s="199" t="s">
        <v>82</v>
      </c>
      <c r="AA40" s="395"/>
      <c r="AB40" s="199" t="s">
        <v>82</v>
      </c>
      <c r="AC40" s="1566"/>
      <c r="AD40" s="1035"/>
      <c r="AE40" s="1823" t="s">
        <v>214</v>
      </c>
      <c r="AF40" s="1041"/>
    </row>
    <row r="41" spans="1:33" ht="15.75">
      <c r="A41" s="67" t="s">
        <v>110</v>
      </c>
      <c r="B41" s="181"/>
      <c r="C41" s="23"/>
      <c r="D41" s="1862"/>
      <c r="E41" s="1048"/>
      <c r="F41" s="538" t="s">
        <v>230</v>
      </c>
      <c r="G41" s="395"/>
      <c r="H41" s="538" t="s">
        <v>230</v>
      </c>
      <c r="I41" s="395"/>
      <c r="J41" s="538" t="s">
        <v>230</v>
      </c>
      <c r="K41" s="395"/>
      <c r="L41" s="538" t="s">
        <v>230</v>
      </c>
      <c r="M41" s="395"/>
      <c r="N41" s="1051" t="s">
        <v>230</v>
      </c>
      <c r="O41" s="395"/>
      <c r="P41" s="199" t="s">
        <v>230</v>
      </c>
      <c r="Q41" s="395"/>
      <c r="R41" s="522" t="s">
        <v>230</v>
      </c>
      <c r="S41" s="49"/>
      <c r="T41" s="199" t="s">
        <v>230</v>
      </c>
      <c r="U41" s="395"/>
      <c r="V41" s="199" t="s">
        <v>230</v>
      </c>
      <c r="W41" s="395"/>
      <c r="X41" s="199" t="s">
        <v>230</v>
      </c>
      <c r="Y41" s="395"/>
      <c r="Z41" s="199" t="s">
        <v>230</v>
      </c>
      <c r="AA41" s="395"/>
      <c r="AB41" s="199" t="s">
        <v>230</v>
      </c>
      <c r="AC41" s="1566"/>
      <c r="AD41" s="1035"/>
      <c r="AE41" s="1823"/>
      <c r="AF41" s="777"/>
    </row>
    <row r="42" spans="1:33" ht="15.75">
      <c r="A42" s="69"/>
      <c r="B42" s="183"/>
      <c r="C42" s="23"/>
      <c r="D42" s="1863"/>
      <c r="E42" s="1048"/>
      <c r="F42" s="539"/>
      <c r="G42" s="395"/>
      <c r="H42" s="539"/>
      <c r="I42" s="395"/>
      <c r="J42" s="539"/>
      <c r="K42" s="395"/>
      <c r="L42" s="539"/>
      <c r="M42" s="395"/>
      <c r="N42" s="1052"/>
      <c r="O42" s="395"/>
      <c r="P42" s="195"/>
      <c r="Q42" s="395"/>
      <c r="R42" s="523"/>
      <c r="S42" s="49"/>
      <c r="T42" s="195"/>
      <c r="U42" s="395"/>
      <c r="V42" s="195"/>
      <c r="W42" s="395"/>
      <c r="X42" s="195"/>
      <c r="Y42" s="395"/>
      <c r="Z42" s="195"/>
      <c r="AA42" s="395"/>
      <c r="AB42" s="195"/>
      <c r="AC42" s="1566"/>
      <c r="AD42" s="1035"/>
      <c r="AE42" s="1823"/>
      <c r="AF42" s="777"/>
    </row>
    <row r="43" spans="1:33" ht="15.75" customHeight="1">
      <c r="A43" s="413" t="s">
        <v>330</v>
      </c>
      <c r="B43" s="398"/>
      <c r="C43" s="626">
        <v>9210</v>
      </c>
      <c r="D43" s="1075"/>
      <c r="E43" s="514"/>
      <c r="F43" s="534" t="str">
        <f>IF($D43&lt;1," ",IF(E43&lt;1," ",(E43)/$D43))</f>
        <v xml:space="preserve"> </v>
      </c>
      <c r="G43" s="400"/>
      <c r="H43" s="534" t="str">
        <f>IF($D43&lt;1," ",IF(G43&lt;1," ",(G43)/$D43))</f>
        <v xml:space="preserve"> </v>
      </c>
      <c r="I43" s="400"/>
      <c r="J43" s="534" t="str">
        <f>IF($D43&lt;1," ",IF(I43&lt;1," ",(I43)/$D43))</f>
        <v xml:space="preserve"> </v>
      </c>
      <c r="K43" s="400"/>
      <c r="L43" s="534" t="str">
        <f>IF($D43&lt;1," ",IF(K43&lt;1," ",(K43)/$D43))</f>
        <v xml:space="preserve"> </v>
      </c>
      <c r="M43" s="400"/>
      <c r="N43" s="341" t="str">
        <f>IF($D43&lt;1," ",IF(M43&lt;1," ",(M43)/$D43))</f>
        <v xml:space="preserve"> </v>
      </c>
      <c r="O43" s="400"/>
      <c r="P43" s="341" t="str">
        <f>IF($D43&lt;1," ",IF(O43&lt;1," ",(O43)/$D43))</f>
        <v xml:space="preserve"> </v>
      </c>
      <c r="Q43" s="400"/>
      <c r="R43" s="342" t="str">
        <f>IF($D43&lt;1," ",IF(Q43&lt;1," ",(Q43)/$D43))</f>
        <v xml:space="preserve"> </v>
      </c>
      <c r="S43" s="399"/>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567"/>
      <c r="AD43" s="1570">
        <f>+E43+G43+I43+K43+M43+O43+Q43+S43+U43+W43+Y43+AA43</f>
        <v>0</v>
      </c>
      <c r="AE43" s="401">
        <f>D43-AD43</f>
        <v>0</v>
      </c>
      <c r="AF43" s="777"/>
      <c r="AG43" s="1571" t="str">
        <f>IF(AD43=D43,"","Prior Year Transactions should be zero'd out by Year End")</f>
        <v/>
      </c>
    </row>
    <row r="44" spans="1:33" ht="15.75">
      <c r="A44" s="413" t="s">
        <v>11</v>
      </c>
      <c r="B44" s="398"/>
      <c r="C44" s="626">
        <v>9330</v>
      </c>
      <c r="D44" s="1075"/>
      <c r="E44" s="514"/>
      <c r="F44" s="534" t="str">
        <f>IF($D44&lt;1," ",IF(E44&lt;1," ",(E44)/$D44))</f>
        <v xml:space="preserve"> </v>
      </c>
      <c r="G44" s="400"/>
      <c r="H44" s="534" t="str">
        <f>IF($D44&lt;1," ",IF(G44&lt;1," ",(G44)/$D44))</f>
        <v xml:space="preserve"> </v>
      </c>
      <c r="I44" s="400"/>
      <c r="J44" s="534" t="str">
        <f>IF($D44&lt;1," ",IF(I44&lt;1," ",(I44)/$D44))</f>
        <v xml:space="preserve"> </v>
      </c>
      <c r="K44" s="400"/>
      <c r="L44" s="534" t="str">
        <f>IF($D44&lt;1," ",IF(K44&lt;1," ",(K44)/$D44))</f>
        <v xml:space="preserve"> </v>
      </c>
      <c r="M44" s="400"/>
      <c r="N44" s="341" t="str">
        <f>IF($D44&lt;1," ",IF(M44&lt;1," ",(M44)/$D44))</f>
        <v xml:space="preserve"> </v>
      </c>
      <c r="O44" s="400"/>
      <c r="P44" s="341" t="str">
        <f>IF($D44&lt;1," ",IF(O44&lt;1," ",(O44)/$D44))</f>
        <v xml:space="preserve"> </v>
      </c>
      <c r="Q44" s="400"/>
      <c r="R44" s="342" t="str">
        <f>IF($D44&lt;1," ",IF(Q44&lt;1," ",(Q44)/$D44))</f>
        <v xml:space="preserve"> </v>
      </c>
      <c r="S44" s="399"/>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567"/>
      <c r="AD44" s="1570">
        <f>+E44+G44+I44+K44+M44+O44+Q44+S44+U44+W44+Y44+AA44</f>
        <v>0</v>
      </c>
      <c r="AE44" s="401">
        <f>D44-AD44</f>
        <v>0</v>
      </c>
      <c r="AF44" s="777"/>
      <c r="AG44" s="1571" t="str">
        <f>IF(AD44=D44,"","Prior Year Transactions should be zero'd out by Year End")</f>
        <v/>
      </c>
    </row>
    <row r="45" spans="1:33" ht="15.75">
      <c r="A45" s="413" t="s">
        <v>499</v>
      </c>
      <c r="B45" s="398"/>
      <c r="C45" s="626">
        <v>9510</v>
      </c>
      <c r="D45" s="1075"/>
      <c r="E45" s="514"/>
      <c r="F45" s="534" t="str">
        <f>IF($D45&lt;1," ",IF(E45&lt;1," ",(E45)/$D45))</f>
        <v xml:space="preserve"> </v>
      </c>
      <c r="G45" s="400"/>
      <c r="H45" s="534" t="str">
        <f>IF($D45&lt;1," ",IF(G45&lt;1," ",(G45)/$D45))</f>
        <v xml:space="preserve"> </v>
      </c>
      <c r="I45" s="400"/>
      <c r="J45" s="534" t="str">
        <f>IF($D45&lt;1," ",IF(I45&lt;1," ",(I45)/$D45))</f>
        <v xml:space="preserve"> </v>
      </c>
      <c r="K45" s="400"/>
      <c r="L45" s="534" t="str">
        <f>IF($D45&lt;1," ",IF(K45&lt;1," ",(K45)/$D45))</f>
        <v xml:space="preserve"> </v>
      </c>
      <c r="M45" s="400"/>
      <c r="N45" s="341" t="str">
        <f>IF($D45&lt;1," ",IF(M45&lt;1," ",(M45)/$D45))</f>
        <v xml:space="preserve"> </v>
      </c>
      <c r="O45" s="400"/>
      <c r="P45" s="341" t="str">
        <f>IF($D45&lt;1," ",IF(O45&lt;1," ",(O45)/$D45))</f>
        <v xml:space="preserve"> </v>
      </c>
      <c r="Q45" s="400"/>
      <c r="R45" s="342" t="str">
        <f>IF($D45&lt;1," ",IF(Q45&lt;1," ",(Q45)/$D45))</f>
        <v xml:space="preserve"> </v>
      </c>
      <c r="S45" s="399"/>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567"/>
      <c r="AD45" s="1570">
        <f>+E45+G45+I45+K45+M45+O45+Q45+S45+U45+W45+Y45+AA45</f>
        <v>0</v>
      </c>
      <c r="AE45" s="401">
        <f>D45-AD45</f>
        <v>0</v>
      </c>
      <c r="AF45" s="777"/>
      <c r="AG45" s="1571" t="str">
        <f>IF(AD45=D45,"","Prior Year Transactions should be zero'd out by Year End")</f>
        <v/>
      </c>
    </row>
    <row r="46" spans="1:33" ht="15.75">
      <c r="A46" s="413" t="s">
        <v>500</v>
      </c>
      <c r="B46" s="398"/>
      <c r="C46" s="627">
        <v>9640</v>
      </c>
      <c r="D46" s="1076"/>
      <c r="E46" s="514"/>
      <c r="F46" s="534" t="str">
        <f>IF($D46&lt;1," ",IF(E46&lt;1," ",(E46)/$D46))</f>
        <v xml:space="preserve"> </v>
      </c>
      <c r="G46" s="400"/>
      <c r="H46" s="534" t="str">
        <f>IF($D46&lt;1," ",IF(G46&lt;1," ",(G46)/$D46))</f>
        <v xml:space="preserve"> </v>
      </c>
      <c r="I46" s="400"/>
      <c r="J46" s="534" t="str">
        <f>IF($D46&lt;1," ",IF(I46&lt;1," ",(I46)/$D46))</f>
        <v xml:space="preserve"> </v>
      </c>
      <c r="K46" s="400"/>
      <c r="L46" s="534" t="str">
        <f>IF($D46&lt;1," ",IF(K46&lt;1," ",(K46)/$D46))</f>
        <v xml:space="preserve"> </v>
      </c>
      <c r="M46" s="400"/>
      <c r="N46" s="341" t="str">
        <f>IF($D46&lt;1," ",IF(M46&lt;1," ",(M46)/$D46))</f>
        <v xml:space="preserve"> </v>
      </c>
      <c r="O46" s="400"/>
      <c r="P46" s="341" t="str">
        <f>IF($D46&lt;1," ",IF(O46&lt;1," ",(O46)/$D46))</f>
        <v xml:space="preserve"> </v>
      </c>
      <c r="Q46" s="400"/>
      <c r="R46" s="342" t="str">
        <f>IF($D46&lt;1," ",IF(Q46&lt;1," ",(Q46)/$D46))</f>
        <v xml:space="preserve"> </v>
      </c>
      <c r="S46" s="399"/>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567"/>
      <c r="AD46" s="1570">
        <f>+E46+G46+I46+K46+M46+O46+Q46+S46+U46+W46+Y46+AA46</f>
        <v>0</v>
      </c>
      <c r="AE46" s="401">
        <f>D46-AD46</f>
        <v>0</v>
      </c>
      <c r="AF46" s="777"/>
      <c r="AG46" s="1571" t="str">
        <f>IF(AD46=D46,"","Prior Year Transactions should be zero'd out by Year End")</f>
        <v/>
      </c>
    </row>
    <row r="47" spans="1:33" ht="15.75">
      <c r="A47" s="413" t="s">
        <v>501</v>
      </c>
      <c r="B47" s="398"/>
      <c r="C47" s="626">
        <v>9650</v>
      </c>
      <c r="D47" s="1075"/>
      <c r="E47" s="514"/>
      <c r="F47" s="534" t="str">
        <f>IF($D47&lt;1," ",IF(E47&lt;1," ",(E47)/$D47))</f>
        <v xml:space="preserve"> </v>
      </c>
      <c r="G47" s="400"/>
      <c r="H47" s="534" t="str">
        <f>IF($D47&lt;1," ",IF(G47&lt;1," ",(G47)/$D47))</f>
        <v xml:space="preserve"> </v>
      </c>
      <c r="I47" s="400"/>
      <c r="J47" s="534" t="str">
        <f>IF($D47&lt;1," ",IF(I47&lt;1," ",(I47)/$D47))</f>
        <v xml:space="preserve"> </v>
      </c>
      <c r="K47" s="400"/>
      <c r="L47" s="534" t="str">
        <f>IF($D47&lt;1," ",IF(K47&lt;1," ",(K47)/$D47))</f>
        <v xml:space="preserve"> </v>
      </c>
      <c r="M47" s="400"/>
      <c r="N47" s="341" t="str">
        <f>IF($D47&lt;1," ",IF(M47&lt;1," ",(M47)/$D47))</f>
        <v xml:space="preserve"> </v>
      </c>
      <c r="O47" s="400"/>
      <c r="P47" s="341" t="str">
        <f>IF($D47&lt;1," ",IF(O47&lt;1," ",(O47)/$D47))</f>
        <v xml:space="preserve"> </v>
      </c>
      <c r="Q47" s="400"/>
      <c r="R47" s="342" t="str">
        <f>IF($D47&lt;1," ",IF(Q47&lt;1," ",(Q47)/$D47))</f>
        <v xml:space="preserve"> </v>
      </c>
      <c r="S47" s="399"/>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567"/>
      <c r="AD47" s="1570">
        <f>+E47+G47+I47+K47+M47+O47+Q47+S47+U47+W47+Y47+AA47</f>
        <v>0</v>
      </c>
      <c r="AE47" s="401">
        <f>D47-AD47</f>
        <v>0</v>
      </c>
      <c r="AF47" s="777"/>
      <c r="AG47" s="1571" t="str">
        <f>IF(AD47=D47,"","Prior Year Transactions should be zero'd out by Year End")</f>
        <v/>
      </c>
    </row>
    <row r="48" spans="1:33" ht="16.5" thickBot="1">
      <c r="A48" s="70" t="s">
        <v>111</v>
      </c>
      <c r="B48" s="371"/>
      <c r="C48" s="71"/>
      <c r="D48" s="1077">
        <f>+D43+D44-D45-D46-D47</f>
        <v>0</v>
      </c>
      <c r="E48" s="1045">
        <f>+E43+E44-E45-E46-E47</f>
        <v>0</v>
      </c>
      <c r="F48" s="540"/>
      <c r="G48" s="1054">
        <f>+G43+G44-G45-G46-G47</f>
        <v>0</v>
      </c>
      <c r="H48" s="540"/>
      <c r="I48" s="1054">
        <f>+I43+I44-I45-I46-I47</f>
        <v>0</v>
      </c>
      <c r="J48" s="540"/>
      <c r="K48" s="1054">
        <f>+K43+K44-K45-K46-K47</f>
        <v>0</v>
      </c>
      <c r="L48" s="540"/>
      <c r="M48" s="1054">
        <f>+M43+M44-M45-M46-M47</f>
        <v>0</v>
      </c>
      <c r="N48" s="198"/>
      <c r="O48" s="1054">
        <f>+O43+O44-O45-O46-O47</f>
        <v>0</v>
      </c>
      <c r="P48" s="198"/>
      <c r="Q48" s="1054">
        <f>+Q43+Q44-Q45-Q46-Q47</f>
        <v>0</v>
      </c>
      <c r="R48" s="524"/>
      <c r="S48" s="1050">
        <f>+S43+S44-S45-S46-S47</f>
        <v>0</v>
      </c>
      <c r="T48" s="198"/>
      <c r="U48" s="1054">
        <f>+U43+U44-U45-U46-U47</f>
        <v>0</v>
      </c>
      <c r="V48" s="198"/>
      <c r="W48" s="1054">
        <f>+W43+W44-W45-W46-W47</f>
        <v>0</v>
      </c>
      <c r="X48" s="198"/>
      <c r="Y48" s="1054">
        <f>+Y43+Y44-Y45-Y46-Y47</f>
        <v>0</v>
      </c>
      <c r="Z48" s="198"/>
      <c r="AA48" s="1054">
        <f>+AA43+AA44-AA45-AA46-AA47</f>
        <v>0</v>
      </c>
      <c r="AB48" s="198"/>
      <c r="AC48" s="1564"/>
      <c r="AD48" s="776">
        <f>+AD43+AD44-AD45-AD46-AD47</f>
        <v>0</v>
      </c>
      <c r="AE48" s="776">
        <f>+AE43+AE44-AE45-AE46-AE47</f>
        <v>0</v>
      </c>
      <c r="AF48" s="1042"/>
    </row>
    <row r="49" spans="1:33" ht="15.75">
      <c r="A49" s="409"/>
      <c r="B49" s="372"/>
      <c r="C49" s="72"/>
      <c r="D49" s="530"/>
      <c r="E49" s="193"/>
      <c r="F49" s="197"/>
      <c r="G49" s="193"/>
      <c r="H49" s="197"/>
      <c r="I49" s="193"/>
      <c r="J49" s="197"/>
      <c r="K49" s="193"/>
      <c r="L49" s="1061"/>
      <c r="M49" s="1064"/>
      <c r="N49" s="197"/>
      <c r="O49" s="193"/>
      <c r="P49" s="197"/>
      <c r="Q49" s="193"/>
      <c r="R49" s="521"/>
      <c r="S49" s="77"/>
      <c r="T49" s="197"/>
      <c r="U49" s="193"/>
      <c r="V49" s="197"/>
      <c r="W49" s="193"/>
      <c r="X49" s="197"/>
      <c r="Y49" s="193"/>
      <c r="Z49" s="197"/>
      <c r="AA49" s="193"/>
      <c r="AB49" s="197"/>
      <c r="AC49" s="1024"/>
      <c r="AD49" s="1024"/>
      <c r="AE49" s="1024"/>
      <c r="AF49" s="1040"/>
    </row>
    <row r="50" spans="1:33" ht="15.75">
      <c r="A50" s="67" t="s">
        <v>116</v>
      </c>
      <c r="B50" s="181"/>
      <c r="C50" s="375"/>
      <c r="D50" s="1071"/>
      <c r="E50" s="528"/>
      <c r="F50" s="533"/>
      <c r="G50" s="528"/>
      <c r="H50" s="533"/>
      <c r="I50" s="528"/>
      <c r="J50" s="533"/>
      <c r="K50" s="528"/>
      <c r="L50" s="1065"/>
      <c r="M50" s="1060"/>
      <c r="N50" s="533"/>
      <c r="O50" s="528"/>
      <c r="P50" s="533"/>
      <c r="Q50" s="528"/>
      <c r="R50" s="551"/>
      <c r="S50" s="548"/>
      <c r="T50" s="533"/>
      <c r="U50" s="528"/>
      <c r="V50" s="533"/>
      <c r="W50" s="528"/>
      <c r="X50" s="533"/>
      <c r="Y50" s="528"/>
      <c r="Z50" s="533"/>
      <c r="AA50" s="528"/>
      <c r="AB50" s="533"/>
      <c r="AC50" s="1028"/>
      <c r="AD50" s="1028"/>
      <c r="AE50" s="1028"/>
      <c r="AF50" s="1036"/>
    </row>
    <row r="51" spans="1:33" ht="15.75">
      <c r="A51" s="1816" t="s">
        <v>514</v>
      </c>
      <c r="B51" s="1817"/>
      <c r="C51" s="378"/>
      <c r="D51" s="1599"/>
      <c r="E51" s="399"/>
      <c r="F51" s="341" t="str">
        <f>IF($AE51&lt;1," ",IF(E51&lt;1," ",(E51)/$AE51))</f>
        <v xml:space="preserve"> </v>
      </c>
      <c r="G51" s="400"/>
      <c r="H51" s="341" t="str">
        <f>IF($AE51&lt;1," ",IF(G51&lt;1," ",(G51)/$AE51))</f>
        <v xml:space="preserve"> </v>
      </c>
      <c r="I51" s="400"/>
      <c r="J51" s="341" t="str">
        <f>IF($AE51&lt;1," ",IF(I51&lt;1," ",(I51)/$AE51))</f>
        <v xml:space="preserve"> </v>
      </c>
      <c r="K51" s="400"/>
      <c r="L51" s="341" t="str">
        <f>IF($AE51&lt;1," ",IF(K51&lt;1," ",(K51)/$AE51))</f>
        <v xml:space="preserve"> </v>
      </c>
      <c r="M51" s="400"/>
      <c r="N51" s="534" t="str">
        <f>IF($AE51&lt;1," ",IF(M51&lt;1," ",(M51)/$AE51))</f>
        <v xml:space="preserve"> </v>
      </c>
      <c r="O51" s="400"/>
      <c r="P51" s="341" t="str">
        <f>IF($AE51&lt;1," ",IF(O51&lt;1," ",(O51)/$AE51))</f>
        <v xml:space="preserve"> </v>
      </c>
      <c r="Q51" s="400"/>
      <c r="R51" s="534" t="str">
        <f>IF($AE51&lt;1," ",IF(Q51&lt;1," ",(Q51)/$AE51))</f>
        <v xml:space="preserve"> </v>
      </c>
      <c r="S51" s="514"/>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400"/>
      <c r="AD51" s="381">
        <f>D51+E51+G51+I51+K51+M51+O51+Q51+S51+U51+W51+Y51+AA51+AC51</f>
        <v>0</v>
      </c>
      <c r="AE51" s="778"/>
      <c r="AF51" s="779"/>
      <c r="AG51" s="1203"/>
    </row>
    <row r="52" spans="1:33" ht="15.75">
      <c r="A52" s="1816"/>
      <c r="B52" s="1817"/>
      <c r="C52" s="397"/>
      <c r="D52" s="1599"/>
      <c r="E52" s="399"/>
      <c r="F52" s="341" t="str">
        <f>IF($AE52&lt;1," ",IF(E52&lt;1," ",(E52)/$AE52))</f>
        <v xml:space="preserve"> </v>
      </c>
      <c r="G52" s="400"/>
      <c r="H52" s="341" t="str">
        <f>IF($AE52&lt;1," ",IF(G52&lt;1," ",(G52)/$AE52))</f>
        <v xml:space="preserve"> </v>
      </c>
      <c r="I52" s="400"/>
      <c r="J52" s="341" t="str">
        <f>IF($AE52&lt;1," ",IF(I52&lt;1," ",(I52)/$AE52))</f>
        <v xml:space="preserve"> </v>
      </c>
      <c r="K52" s="400"/>
      <c r="L52" s="341" t="str">
        <f>IF($AE52&lt;1," ",IF(K52&lt;1," ",(K52)/$AE52))</f>
        <v xml:space="preserve"> </v>
      </c>
      <c r="M52" s="400"/>
      <c r="N52" s="534" t="str">
        <f>IF($AE52&lt;1," ",IF(M52&lt;1," ",(M52)/$AE52))</f>
        <v xml:space="preserve"> </v>
      </c>
      <c r="O52" s="400"/>
      <c r="P52" s="341" t="str">
        <f>IF($AE52&lt;1," ",IF(O52&lt;1," ",(O52)/$AE52))</f>
        <v xml:space="preserve"> </v>
      </c>
      <c r="Q52" s="400"/>
      <c r="R52" s="534" t="str">
        <f>IF($AE52&lt;1," ",IF(Q52&lt;1," ",(Q52)/$AE52))</f>
        <v xml:space="preserve"> </v>
      </c>
      <c r="S52" s="514"/>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400"/>
      <c r="AD52" s="381">
        <f>+E52+G52+I52+K52+M52+O52+Q52+S52+U52+W52+Y52+AA52+AC52</f>
        <v>0</v>
      </c>
      <c r="AE52" s="780"/>
      <c r="AF52" s="781"/>
      <c r="AG52" s="1223"/>
    </row>
    <row r="53" spans="1:33" ht="15.75">
      <c r="A53" s="1816"/>
      <c r="B53" s="1817"/>
      <c r="C53" s="378"/>
      <c r="D53" s="1599"/>
      <c r="E53" s="399"/>
      <c r="F53" s="341" t="str">
        <f>IF($AE53&lt;1," ",IF(E53&lt;1," ",(E53)/$AE53))</f>
        <v xml:space="preserve"> </v>
      </c>
      <c r="G53" s="400"/>
      <c r="H53" s="341" t="str">
        <f>IF($AE53&lt;1," ",IF(G53&lt;1," ",(G53)/$AE53))</f>
        <v xml:space="preserve"> </v>
      </c>
      <c r="I53" s="400"/>
      <c r="J53" s="341" t="str">
        <f>IF($AE53&lt;1," ",IF(I53&lt;1," ",(I53)/$AE53))</f>
        <v xml:space="preserve"> </v>
      </c>
      <c r="K53" s="400"/>
      <c r="L53" s="341" t="str">
        <f>IF($AE53&lt;1," ",IF(K53&lt;1," ",(K53)/$AE53))</f>
        <v xml:space="preserve"> </v>
      </c>
      <c r="M53" s="400"/>
      <c r="N53" s="534" t="str">
        <f>IF($AE53&lt;1," ",IF(M53&lt;1," ",(M53)/$AE53))</f>
        <v xml:space="preserve"> </v>
      </c>
      <c r="O53" s="400"/>
      <c r="P53" s="341" t="str">
        <f>IF($AE53&lt;1," ",IF(O53&lt;1," ",(O53)/$AE53))</f>
        <v xml:space="preserve"> </v>
      </c>
      <c r="Q53" s="400"/>
      <c r="R53" s="534" t="str">
        <f>IF($AE53&lt;1," ",IF(Q53&lt;1," ",(Q53)/$AE53))</f>
        <v xml:space="preserve"> </v>
      </c>
      <c r="S53" s="514"/>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400"/>
      <c r="AD53" s="381">
        <f>+E53+G53+I53+K53+M53+O53+Q53+S53+U53+W53+Y53+AA53+AC53</f>
        <v>0</v>
      </c>
      <c r="AE53" s="780"/>
      <c r="AF53" s="781"/>
      <c r="AG53" s="1223"/>
    </row>
    <row r="54" spans="1:33" ht="15.75">
      <c r="A54" s="1816"/>
      <c r="B54" s="1817"/>
      <c r="C54" s="378"/>
      <c r="D54" s="1599"/>
      <c r="E54" s="399"/>
      <c r="F54" s="341" t="str">
        <f>IF($AE54&lt;1," ",IF(E54&lt;1," ",(E54)/$AE54))</f>
        <v xml:space="preserve"> </v>
      </c>
      <c r="G54" s="400"/>
      <c r="H54" s="341" t="str">
        <f>IF($AE54&lt;1," ",IF(G54&lt;1," ",(G54)/$AE54))</f>
        <v xml:space="preserve"> </v>
      </c>
      <c r="I54" s="400"/>
      <c r="J54" s="341" t="str">
        <f>IF($AE54&lt;1," ",IF(I54&lt;1," ",(I54)/$AE54))</f>
        <v xml:space="preserve"> </v>
      </c>
      <c r="K54" s="400"/>
      <c r="L54" s="341" t="str">
        <f>IF($AE54&lt;1," ",IF(K54&lt;1," ",(K54)/$AE54))</f>
        <v xml:space="preserve"> </v>
      </c>
      <c r="M54" s="400"/>
      <c r="N54" s="534" t="str">
        <f>IF($AE54&lt;1," ",IF(M54&lt;1," ",(M54)/$AE54))</f>
        <v xml:space="preserve"> </v>
      </c>
      <c r="O54" s="400"/>
      <c r="P54" s="341" t="str">
        <f>IF($AE54&lt;1," ",IF(O54&lt;1," ",(O54)/$AE54))</f>
        <v xml:space="preserve"> </v>
      </c>
      <c r="Q54" s="400"/>
      <c r="R54" s="534" t="str">
        <f>IF($AE54&lt;1," ",IF(Q54&lt;1," ",(Q54)/$AE54))</f>
        <v xml:space="preserve"> </v>
      </c>
      <c r="S54" s="514"/>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400"/>
      <c r="AD54" s="381">
        <f>+E54+G54+I54+K54+M54+O54+Q54+S54+U54+W54+Y54+AA54+AC54</f>
        <v>0</v>
      </c>
      <c r="AE54" s="780"/>
      <c r="AF54" s="781"/>
      <c r="AG54" s="1203"/>
    </row>
    <row r="55" spans="1:33" ht="15.75">
      <c r="A55" s="1816"/>
      <c r="B55" s="1817"/>
      <c r="C55" s="378"/>
      <c r="D55" s="1599"/>
      <c r="E55" s="399"/>
      <c r="F55" s="341" t="str">
        <f>IF($AE55&lt;1," ",IF(E55&lt;1," ",(E55)/$AE55))</f>
        <v xml:space="preserve"> </v>
      </c>
      <c r="G55" s="400"/>
      <c r="H55" s="341" t="str">
        <f>IF($AE55&lt;1," ",IF(G55&lt;1," ",(G55)/$AE55))</f>
        <v xml:space="preserve"> </v>
      </c>
      <c r="I55" s="400"/>
      <c r="J55" s="341" t="str">
        <f>IF($AE55&lt;1," ",IF(I55&lt;1," ",(I55)/$AE55))</f>
        <v xml:space="preserve"> </v>
      </c>
      <c r="K55" s="400"/>
      <c r="L55" s="341" t="str">
        <f>IF($AE55&lt;1," ",IF(K55&lt;1," ",(K55)/$AE55))</f>
        <v xml:space="preserve"> </v>
      </c>
      <c r="M55" s="400"/>
      <c r="N55" s="534" t="str">
        <f>IF($AE55&lt;1," ",IF(M55&lt;1," ",(M55)/$AE55))</f>
        <v xml:space="preserve"> </v>
      </c>
      <c r="O55" s="400"/>
      <c r="P55" s="341" t="str">
        <f>IF($AE55&lt;1," ",IF(O55&lt;1," ",(O55)/$AE55))</f>
        <v xml:space="preserve"> </v>
      </c>
      <c r="Q55" s="400"/>
      <c r="R55" s="534" t="str">
        <f>IF($AE55&lt;1," ",IF(Q55&lt;1," ",(Q55)/$AE55))</f>
        <v xml:space="preserve"> </v>
      </c>
      <c r="S55" s="514"/>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400"/>
      <c r="AD55" s="381">
        <f>+E55+G55+I55+K55+M55+O55+Q55+S55+U55+W55+Y55+AA55+AC55</f>
        <v>0</v>
      </c>
      <c r="AE55" s="780"/>
      <c r="AF55" s="781"/>
      <c r="AG55" s="1203"/>
    </row>
    <row r="56" spans="1:33" ht="16.5" thickBot="1">
      <c r="A56" s="70" t="s">
        <v>112</v>
      </c>
      <c r="B56" s="371"/>
      <c r="C56" s="71"/>
      <c r="D56" s="1077">
        <f>SUM(D51:D55)</f>
        <v>0</v>
      </c>
      <c r="E56" s="773">
        <f>SUM(E51:E55)</f>
        <v>0</v>
      </c>
      <c r="F56" s="386" t="s">
        <v>2</v>
      </c>
      <c r="G56" s="774">
        <f>SUM(G51:G55)</f>
        <v>0</v>
      </c>
      <c r="H56" s="386" t="s">
        <v>2</v>
      </c>
      <c r="I56" s="774">
        <f>SUM(I51:I55)</f>
        <v>0</v>
      </c>
      <c r="J56" s="386" t="s">
        <v>2</v>
      </c>
      <c r="K56" s="774">
        <f>SUM(K51:K55)</f>
        <v>0</v>
      </c>
      <c r="L56" s="386" t="s">
        <v>2</v>
      </c>
      <c r="M56" s="774">
        <f>SUM(M51:M55)</f>
        <v>0</v>
      </c>
      <c r="N56" s="536" t="s">
        <v>2</v>
      </c>
      <c r="O56" s="774">
        <f>SUM(O51:O55)</f>
        <v>0</v>
      </c>
      <c r="P56" s="386" t="s">
        <v>2</v>
      </c>
      <c r="Q56" s="774">
        <f>SUM(Q51:Q55)</f>
        <v>0</v>
      </c>
      <c r="R56" s="536" t="s">
        <v>2</v>
      </c>
      <c r="S56" s="775">
        <f>SUM(S51:S55)</f>
        <v>0</v>
      </c>
      <c r="T56" s="386" t="s">
        <v>2</v>
      </c>
      <c r="U56" s="774">
        <f>SUM(U51:U55)</f>
        <v>0</v>
      </c>
      <c r="V56" s="386" t="s">
        <v>2</v>
      </c>
      <c r="W56" s="774">
        <f>SUM(W51:W55)</f>
        <v>0</v>
      </c>
      <c r="X56" s="386" t="s">
        <v>2</v>
      </c>
      <c r="Y56" s="774">
        <f>SUM(Y51:Y55)</f>
        <v>0</v>
      </c>
      <c r="Z56" s="386" t="s">
        <v>2</v>
      </c>
      <c r="AA56" s="774">
        <f>SUM(AA51:AA55)</f>
        <v>0</v>
      </c>
      <c r="AB56" s="386" t="s">
        <v>2</v>
      </c>
      <c r="AC56" s="774">
        <f>SUM(AC51:AC55)</f>
        <v>0</v>
      </c>
      <c r="AD56" s="776">
        <f>SUM(AD51:AD55)</f>
        <v>0</v>
      </c>
      <c r="AE56" s="782"/>
      <c r="AF56" s="783"/>
      <c r="AG56" s="1203"/>
    </row>
    <row r="57" spans="1:33" ht="15.75">
      <c r="A57" s="69"/>
      <c r="B57" s="183"/>
      <c r="C57" s="23"/>
      <c r="D57" s="531"/>
      <c r="E57" s="1049"/>
      <c r="F57" s="541"/>
      <c r="G57" s="394"/>
      <c r="H57" s="541"/>
      <c r="I57" s="394"/>
      <c r="J57" s="541"/>
      <c r="K57" s="394"/>
      <c r="L57" s="541"/>
      <c r="M57" s="394"/>
      <c r="N57" s="1053"/>
      <c r="O57" s="394"/>
      <c r="P57" s="52"/>
      <c r="Q57" s="394"/>
      <c r="R57" s="313"/>
      <c r="S57" s="24"/>
      <c r="T57" s="52"/>
      <c r="U57" s="394"/>
      <c r="V57" s="52"/>
      <c r="W57" s="394"/>
      <c r="X57" s="52"/>
      <c r="Y57" s="394"/>
      <c r="Z57" s="52"/>
      <c r="AA57" s="394"/>
      <c r="AB57" s="52"/>
      <c r="AC57" s="1568"/>
      <c r="AD57" s="1036"/>
      <c r="AE57" s="1037"/>
      <c r="AF57" s="1043"/>
      <c r="AG57" s="1203"/>
    </row>
    <row r="58" spans="1:33" ht="16.5" thickBot="1">
      <c r="A58" s="402" t="s">
        <v>115</v>
      </c>
      <c r="B58" s="403"/>
      <c r="C58" s="378"/>
      <c r="D58" s="1068"/>
      <c r="E58" s="775">
        <f>+E23-E34+E39+E48+E56</f>
        <v>0</v>
      </c>
      <c r="F58" s="536"/>
      <c r="G58" s="774">
        <f>+G23-G34+G39+G48+G56</f>
        <v>0</v>
      </c>
      <c r="H58" s="536"/>
      <c r="I58" s="774">
        <f>+I23-I34+I39+I48+I56</f>
        <v>0</v>
      </c>
      <c r="J58" s="536"/>
      <c r="K58" s="774">
        <f>+K23-K34+K39+K48+K56</f>
        <v>0</v>
      </c>
      <c r="L58" s="536"/>
      <c r="M58" s="774">
        <f>+M23-M34+M39+M48+M56</f>
        <v>0</v>
      </c>
      <c r="N58" s="386"/>
      <c r="O58" s="774">
        <f>+O23-O34+O39+O48+O56</f>
        <v>0</v>
      </c>
      <c r="P58" s="386"/>
      <c r="Q58" s="774">
        <f>+Q23-Q34+Q39+Q48+Q56</f>
        <v>0</v>
      </c>
      <c r="R58" s="518"/>
      <c r="S58" s="773">
        <f>+S23-S34+S39+S48+S56</f>
        <v>0</v>
      </c>
      <c r="T58" s="386"/>
      <c r="U58" s="774">
        <f>+U23-U34+U39+U48+U56</f>
        <v>0</v>
      </c>
      <c r="V58" s="386"/>
      <c r="W58" s="774">
        <f>+W23-W34+W39+W48+W56</f>
        <v>0</v>
      </c>
      <c r="X58" s="386"/>
      <c r="Y58" s="774">
        <f>+Y23-Y34+Y39+Y48+Y56</f>
        <v>0</v>
      </c>
      <c r="Z58" s="386"/>
      <c r="AA58" s="774">
        <f>+AA23-AA34+AA39+AA48+AA56</f>
        <v>0</v>
      </c>
      <c r="AB58" s="386"/>
      <c r="AC58" s="1564" t="e">
        <f>+AC23-AC34+AC39+AC48+AC56</f>
        <v>#VALUE!</v>
      </c>
      <c r="AD58" s="776" t="e">
        <f>+AD23-AD34+AD39+AD48+AD56</f>
        <v>#VALUE!</v>
      </c>
      <c r="AE58" s="782"/>
      <c r="AF58" s="783"/>
      <c r="AG58" s="1203"/>
    </row>
    <row r="59" spans="1:33" ht="16.5" thickBot="1">
      <c r="A59" s="70"/>
      <c r="B59" s="371"/>
      <c r="C59" s="71"/>
      <c r="D59" s="1078"/>
      <c r="E59" s="22"/>
      <c r="F59" s="540"/>
      <c r="G59" s="396"/>
      <c r="H59" s="540"/>
      <c r="I59" s="396"/>
      <c r="J59" s="540"/>
      <c r="K59" s="396"/>
      <c r="L59" s="540"/>
      <c r="M59" s="396"/>
      <c r="N59" s="198"/>
      <c r="O59" s="396"/>
      <c r="P59" s="198"/>
      <c r="Q59" s="396"/>
      <c r="R59" s="524"/>
      <c r="S59" s="48"/>
      <c r="T59" s="198"/>
      <c r="U59" s="396"/>
      <c r="V59" s="198"/>
      <c r="W59" s="396"/>
      <c r="X59" s="198"/>
      <c r="Y59" s="396"/>
      <c r="Z59" s="198"/>
      <c r="AA59" s="396"/>
      <c r="AB59" s="198"/>
      <c r="AC59" s="1569"/>
      <c r="AD59" s="192"/>
      <c r="AE59" s="782"/>
      <c r="AF59" s="783"/>
      <c r="AG59" s="1203"/>
    </row>
    <row r="60" spans="1:33" ht="16.5" thickBot="1">
      <c r="A60" s="70" t="s">
        <v>113</v>
      </c>
      <c r="B60" s="371"/>
      <c r="C60" s="71"/>
      <c r="D60" s="1078"/>
      <c r="E60" s="1045">
        <f>+E6+E58</f>
        <v>0</v>
      </c>
      <c r="F60" s="540"/>
      <c r="G60" s="1054">
        <f>+G6+G58</f>
        <v>0</v>
      </c>
      <c r="H60" s="540"/>
      <c r="I60" s="1054">
        <f>+I6+I58</f>
        <v>0</v>
      </c>
      <c r="J60" s="540"/>
      <c r="K60" s="1054">
        <f>+K6+K58</f>
        <v>0</v>
      </c>
      <c r="L60" s="540"/>
      <c r="M60" s="1054">
        <f>+M6+M58</f>
        <v>0</v>
      </c>
      <c r="N60" s="198"/>
      <c r="O60" s="1054">
        <f>+O6+O58</f>
        <v>0</v>
      </c>
      <c r="P60" s="198"/>
      <c r="Q60" s="1054">
        <f>+Q6+Q58</f>
        <v>0</v>
      </c>
      <c r="R60" s="524"/>
      <c r="S60" s="1050">
        <f>+S6+S58</f>
        <v>0</v>
      </c>
      <c r="T60" s="198"/>
      <c r="U60" s="1054">
        <f>+U6+U58</f>
        <v>0</v>
      </c>
      <c r="V60" s="198"/>
      <c r="W60" s="1054">
        <f>+W6+W58</f>
        <v>0</v>
      </c>
      <c r="X60" s="198"/>
      <c r="Y60" s="1054">
        <f>+Y6+Y58</f>
        <v>0</v>
      </c>
      <c r="Z60" s="198"/>
      <c r="AA60" s="1054">
        <f>+AA6+AA58</f>
        <v>0</v>
      </c>
      <c r="AB60" s="198"/>
      <c r="AC60" s="1564" t="e">
        <f>+AC6+AC58</f>
        <v>#VALUE!</v>
      </c>
      <c r="AD60" s="1241"/>
      <c r="AE60" s="1038"/>
      <c r="AF60" s="1044"/>
      <c r="AG60" s="1203"/>
    </row>
    <row r="62" spans="1:33" ht="16.5">
      <c r="AB62" s="1573"/>
      <c r="AC62" s="1574" t="e">
        <f>'2nd Interim-Summary MYP'!H55</f>
        <v>#VALUE!</v>
      </c>
    </row>
    <row r="63" spans="1:33" ht="17.25" thickBot="1">
      <c r="AB63" s="1575" t="s">
        <v>503</v>
      </c>
      <c r="AC63" s="1577" t="e">
        <f>AC60-AC62</f>
        <v>#VALUE!</v>
      </c>
    </row>
    <row r="64" spans="1:33" ht="13.5" thickTop="1"/>
  </sheetData>
  <sheetProtection password="D94D" sheet="1" objects="1" scenarios="1"/>
  <mergeCells count="12">
    <mergeCell ref="U2:AA2"/>
    <mergeCell ref="F1:L1"/>
    <mergeCell ref="U1:AA1"/>
    <mergeCell ref="AE40:AE42"/>
    <mergeCell ref="A51:B51"/>
    <mergeCell ref="A54:B54"/>
    <mergeCell ref="A55:B55"/>
    <mergeCell ref="G2:K2"/>
    <mergeCell ref="E7:R7"/>
    <mergeCell ref="D40:D42"/>
    <mergeCell ref="A52:B52"/>
    <mergeCell ref="A53:B53"/>
  </mergeCells>
  <conditionalFormatting sqref="F1">
    <cfRule type="containsText" dxfId="15" priority="7" stopIfTrue="1" operator="containsText" text="Enter">
      <formula>NOT(ISERROR(SEARCH("Enter",F1)))</formula>
    </cfRule>
  </conditionalFormatting>
  <conditionalFormatting sqref="U1">
    <cfRule type="containsText" dxfId="14" priority="6" stopIfTrue="1" operator="containsText" text="Enter">
      <formula>NOT(ISERROR(SEARCH("Enter",U1)))</formula>
    </cfRule>
  </conditionalFormatting>
  <conditionalFormatting sqref="AD47">
    <cfRule type="cellIs" dxfId="13" priority="1" stopIfTrue="1" operator="notEqual">
      <formula>$D$47</formula>
    </cfRule>
  </conditionalFormatting>
  <conditionalFormatting sqref="AD43">
    <cfRule type="cellIs" dxfId="12" priority="5" stopIfTrue="1" operator="notEqual">
      <formula>$D$43</formula>
    </cfRule>
  </conditionalFormatting>
  <conditionalFormatting sqref="AD44">
    <cfRule type="cellIs" dxfId="11" priority="4" stopIfTrue="1" operator="notEqual">
      <formula>$D$44</formula>
    </cfRule>
  </conditionalFormatting>
  <conditionalFormatting sqref="AD45">
    <cfRule type="cellIs" dxfId="10" priority="3" stopIfTrue="1" operator="notEqual">
      <formula>$D$45</formula>
    </cfRule>
  </conditionalFormatting>
  <conditionalFormatting sqref="AD46">
    <cfRule type="cellIs" dxfId="9" priority="2" stopIfTrue="1" operator="notEqual">
      <formula>$D$46</formula>
    </cfRule>
  </conditionalFormatting>
  <pageMargins left="0.7" right="0.7" top="0.75" bottom="0.75" header="0.3" footer="0.3"/>
  <pageSetup scale="51" fitToWidth="2" orientation="landscape" r:id="rId1"/>
  <headerFooter>
    <oddHeader>&amp;RPage &amp;P of &amp;N</oddHeader>
  </headerFooter>
  <colBreaks count="1" manualBreakCount="1">
    <brk id="18" max="1048575" man="1"/>
  </colBreaks>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tabColor theme="5"/>
  </sheetPr>
  <dimension ref="A1:AG64"/>
  <sheetViews>
    <sheetView showGridLines="0" zoomScale="70" zoomScaleNormal="70" workbookViewId="0">
      <pane xSplit="4" ySplit="7" topLeftCell="E8" activePane="bottomRight" state="frozen"/>
      <selection pane="topRight" activeCell="E1" sqref="E1"/>
      <selection pane="bottomLeft" activeCell="A8" sqref="A8"/>
      <selection pane="bottomRight" activeCell="C2" sqref="C2"/>
    </sheetView>
  </sheetViews>
  <sheetFormatPr defaultRowHeight="12.75"/>
  <cols>
    <col min="1" max="1" width="2.5703125" customWidth="1"/>
    <col min="2" max="2" width="45.7109375" customWidth="1"/>
    <col min="3" max="3" width="14.7109375" customWidth="1"/>
    <col min="4" max="4" width="12.7109375" customWidth="1"/>
    <col min="5" max="5" width="13.42578125" customWidth="1"/>
    <col min="6" max="6" width="9" bestFit="1" customWidth="1"/>
    <col min="7" max="7" width="13.42578125" customWidth="1"/>
    <col min="8" max="8" width="8.7109375" customWidth="1"/>
    <col min="9" max="9" width="13.42578125" customWidth="1"/>
    <col min="10" max="10" width="8.7109375" customWidth="1"/>
    <col min="11" max="11" width="13.28515625" customWidth="1"/>
    <col min="12" max="12" width="8.7109375" customWidth="1"/>
    <col min="13" max="13" width="13.42578125" customWidth="1"/>
    <col min="14" max="14" width="8.7109375" customWidth="1"/>
    <col min="15" max="15" width="13.7109375" customWidth="1"/>
    <col min="16" max="16" width="8.7109375" customWidth="1"/>
    <col min="17" max="17" width="13.7109375" customWidth="1"/>
    <col min="18" max="18" width="8.7109375" customWidth="1"/>
    <col min="19" max="19" width="13.42578125" customWidth="1"/>
    <col min="20" max="20" width="9.28515625" customWidth="1"/>
    <col min="21" max="21" width="13.42578125" customWidth="1"/>
    <col min="22" max="22" width="9.28515625" customWidth="1"/>
    <col min="23" max="23" width="13.42578125" customWidth="1"/>
    <col min="24" max="24" width="9.28515625" customWidth="1"/>
    <col min="25" max="25" width="13.42578125" customWidth="1"/>
    <col min="26" max="26" width="9.28515625" customWidth="1"/>
    <col min="27" max="27" width="13.7109375" customWidth="1"/>
    <col min="28" max="28" width="9.28515625" customWidth="1"/>
    <col min="29" max="29" width="13.42578125" style="175" customWidth="1"/>
    <col min="30" max="30" width="17.28515625" style="175" customWidth="1"/>
    <col min="31" max="32" width="13.7109375" customWidth="1"/>
    <col min="33" max="33" width="70.5703125" customWidth="1"/>
  </cols>
  <sheetData>
    <row r="1" spans="1:33" ht="16.5" thickBot="1">
      <c r="A1" s="177"/>
      <c r="B1" s="177"/>
      <c r="C1" s="177"/>
      <c r="D1" s="177"/>
      <c r="E1" s="178"/>
      <c r="F1" s="1825" t="str">
        <f>IF('INTERIM-CERTIFICATION'!$M$1="","CHARTER NAME: Enter Charter Name on INTERIM-CERTIFICATION Worksheet",(CONCATENATE("CHARTER NAME: ",'INTERIM-CERTIFICATION'!$M$1)))</f>
        <v>CHARTER NAME: Elite Academic Academy - Virtual Prep Lucerne</v>
      </c>
      <c r="G1" s="1825" t="str">
        <f>IF('INTERIM-CERTIFICATION'!$H$1="","CHARTER NAME: Enter Charter Name on INTERIM-CERTIFICATION Worksheet",(CONCATENATE("CHARTER NAME: ",'INTERIM-CERTIFICATION'!$H$1)))</f>
        <v>CHARTER NAME: Enter Charter Name on INTERIM-CERTIFICATION Worksheet</v>
      </c>
      <c r="H1" s="1825" t="str">
        <f>IF('INTERIM-CERTIFICATION'!$H$1="","CHARTER NAME: Enter Charter Name on INTERIM-CERTIFICATION Worksheet",(CONCATENATE("CHARTER NAME: ",'INTERIM-CERTIFICATION'!$H$1)))</f>
        <v>CHARTER NAME: Enter Charter Name on INTERIM-CERTIFICATION Worksheet</v>
      </c>
      <c r="I1" s="1825"/>
      <c r="J1" s="1825"/>
      <c r="K1" s="1825"/>
      <c r="L1" s="1825"/>
      <c r="M1" s="180"/>
      <c r="N1" s="179"/>
      <c r="O1" s="177"/>
      <c r="P1" s="179"/>
      <c r="Q1" s="179"/>
      <c r="R1" s="179"/>
      <c r="S1" s="182"/>
      <c r="T1" s="1825" t="str">
        <f>F1</f>
        <v>CHARTER NAME: Elite Academic Academy - Virtual Prep Lucerne</v>
      </c>
      <c r="U1" s="1825" t="str">
        <f>IF('INTERIM-CERTIFICATION'!$H$1="","CHARTER NAME: Enter Charter Name on INTERIM-CERTIFICATION Worksheet",(CONCATENATE("CHARTER NAME: ",'INTERIM-CERTIFICATION'!$H$1)))</f>
        <v>CHARTER NAME: Enter Charter Name on INTERIM-CERTIFICATION Worksheet</v>
      </c>
      <c r="V1" s="1825" t="str">
        <f>IF('INTERIM-CERTIFICATION'!$H$1="","CHARTER NAME: Enter Charter Name on INTERIM-CERTIFICATION Worksheet",(CONCATENATE("CHARTER NAME: ",'INTERIM-CERTIFICATION'!$H$1)))</f>
        <v>CHARTER NAME: Enter Charter Name on INTERIM-CERTIFICATION Worksheet</v>
      </c>
      <c r="W1" s="1825"/>
      <c r="X1" s="1825"/>
      <c r="Y1" s="1825"/>
      <c r="Z1" s="1825"/>
      <c r="AA1" s="180"/>
      <c r="AB1" s="179"/>
      <c r="AD1" s="1024"/>
      <c r="AE1" s="27"/>
      <c r="AF1" s="27"/>
      <c r="AG1" s="1203"/>
    </row>
    <row r="2" spans="1:33" ht="15.75">
      <c r="A2" t="s">
        <v>117</v>
      </c>
      <c r="B2" s="184"/>
      <c r="C2" s="97"/>
      <c r="D2" s="185"/>
      <c r="G2" s="1860" t="str">
        <f>""&amp;'Budget-ADA'!N7&amp;"  Second Interim Cash Flow"</f>
        <v>2023-24  Second Interim Cash Flow</v>
      </c>
      <c r="H2" s="1860" t="str">
        <f>""&amp;'Budget-ADA'!N7&amp;"  First Interim Cash Flow"</f>
        <v>2023-24  First Interim Cash Flow</v>
      </c>
      <c r="I2" s="1860"/>
      <c r="J2" s="1860"/>
      <c r="K2" s="1860"/>
      <c r="M2" s="180"/>
      <c r="O2" s="179"/>
      <c r="Q2" s="27"/>
      <c r="T2" s="1860" t="str">
        <f>G2</f>
        <v>2023-24  Second Interim Cash Flow</v>
      </c>
      <c r="U2" s="1860"/>
      <c r="V2" s="1860"/>
      <c r="W2" s="1860"/>
      <c r="X2" s="1860"/>
      <c r="Y2" s="1860"/>
      <c r="Z2" s="1860"/>
      <c r="AA2" s="180"/>
      <c r="AC2" s="1024"/>
      <c r="AD2" s="1024"/>
      <c r="AE2" s="27"/>
      <c r="AF2" s="27"/>
      <c r="AG2" s="1203"/>
    </row>
    <row r="3" spans="1:33" ht="16.5" thickBot="1">
      <c r="A3" s="1586" t="str">
        <f>Instructions!H1</f>
        <v>Form Orignated 5/16/2022</v>
      </c>
      <c r="B3" s="183"/>
      <c r="C3" s="23"/>
      <c r="D3" s="23"/>
      <c r="E3" s="26"/>
      <c r="F3" s="25"/>
      <c r="G3" s="27"/>
      <c r="H3" s="25"/>
      <c r="I3" s="27"/>
      <c r="J3" s="25"/>
      <c r="K3" s="27"/>
      <c r="L3" s="25"/>
      <c r="M3" s="27"/>
      <c r="N3" s="25"/>
      <c r="O3" s="27"/>
      <c r="P3" s="25"/>
      <c r="Q3" s="27"/>
      <c r="R3" s="25"/>
      <c r="S3" s="27"/>
      <c r="T3" s="25"/>
      <c r="U3" s="27"/>
      <c r="V3" s="25"/>
      <c r="W3" s="27"/>
      <c r="X3" s="25"/>
      <c r="Y3" s="27"/>
      <c r="Z3" s="25"/>
      <c r="AA3" s="27"/>
      <c r="AB3" s="25"/>
      <c r="AC3" s="1024"/>
      <c r="AD3" s="1024"/>
      <c r="AE3" s="27"/>
      <c r="AF3" s="27"/>
      <c r="AG3" s="1203"/>
    </row>
    <row r="4" spans="1:33" ht="15.75">
      <c r="A4" s="404"/>
      <c r="B4" s="72"/>
      <c r="C4" s="72"/>
      <c r="D4" s="72"/>
      <c r="E4" s="628" t="s">
        <v>79</v>
      </c>
      <c r="F4" s="405" t="s">
        <v>80</v>
      </c>
      <c r="G4" s="543" t="s">
        <v>81</v>
      </c>
      <c r="H4" s="405" t="s">
        <v>82</v>
      </c>
      <c r="I4" s="543" t="s">
        <v>83</v>
      </c>
      <c r="J4" s="405" t="s">
        <v>82</v>
      </c>
      <c r="K4" s="543" t="s">
        <v>84</v>
      </c>
      <c r="L4" s="405" t="s">
        <v>82</v>
      </c>
      <c r="M4" s="543" t="s">
        <v>85</v>
      </c>
      <c r="N4" s="405" t="s">
        <v>82</v>
      </c>
      <c r="O4" s="543" t="s">
        <v>86</v>
      </c>
      <c r="P4" s="405" t="s">
        <v>82</v>
      </c>
      <c r="Q4" s="543" t="s">
        <v>87</v>
      </c>
      <c r="R4" s="405" t="s">
        <v>82</v>
      </c>
      <c r="S4" s="543" t="s">
        <v>88</v>
      </c>
      <c r="T4" s="405" t="s">
        <v>82</v>
      </c>
      <c r="U4" s="543" t="s">
        <v>89</v>
      </c>
      <c r="V4" s="405" t="s">
        <v>82</v>
      </c>
      <c r="W4" s="543" t="s">
        <v>90</v>
      </c>
      <c r="X4" s="405" t="s">
        <v>82</v>
      </c>
      <c r="Y4" s="543" t="s">
        <v>91</v>
      </c>
      <c r="Z4" s="405" t="s">
        <v>82</v>
      </c>
      <c r="AA4" s="543" t="s">
        <v>92</v>
      </c>
      <c r="AB4" s="405" t="s">
        <v>82</v>
      </c>
      <c r="AC4" s="1025" t="s">
        <v>93</v>
      </c>
      <c r="AD4" s="1033"/>
      <c r="AE4" s="1033" t="s">
        <v>19</v>
      </c>
      <c r="AF4" s="1033"/>
      <c r="AG4" s="1203"/>
    </row>
    <row r="5" spans="1:33" ht="16.5" thickBot="1">
      <c r="A5" s="187"/>
      <c r="B5" s="23"/>
      <c r="C5" s="23"/>
      <c r="D5" s="23"/>
      <c r="E5" s="220" t="s">
        <v>93</v>
      </c>
      <c r="F5" s="1046" t="s">
        <v>94</v>
      </c>
      <c r="G5" s="188" t="s">
        <v>93</v>
      </c>
      <c r="H5" s="1046" t="s">
        <v>94</v>
      </c>
      <c r="I5" s="188" t="s">
        <v>93</v>
      </c>
      <c r="J5" s="1046" t="s">
        <v>94</v>
      </c>
      <c r="K5" s="188" t="s">
        <v>93</v>
      </c>
      <c r="L5" s="1046" t="s">
        <v>94</v>
      </c>
      <c r="M5" s="188" t="s">
        <v>93</v>
      </c>
      <c r="N5" s="1046" t="s">
        <v>94</v>
      </c>
      <c r="O5" s="188" t="s">
        <v>93</v>
      </c>
      <c r="P5" s="61" t="s">
        <v>94</v>
      </c>
      <c r="Q5" s="188" t="s">
        <v>93</v>
      </c>
      <c r="R5" s="1046" t="s">
        <v>94</v>
      </c>
      <c r="S5" s="188" t="s">
        <v>93</v>
      </c>
      <c r="T5" s="61" t="s">
        <v>94</v>
      </c>
      <c r="U5" s="188" t="s">
        <v>93</v>
      </c>
      <c r="V5" s="61" t="s">
        <v>94</v>
      </c>
      <c r="W5" s="188" t="s">
        <v>93</v>
      </c>
      <c r="X5" s="61" t="s">
        <v>94</v>
      </c>
      <c r="Y5" s="188" t="s">
        <v>93</v>
      </c>
      <c r="Z5" s="61" t="s">
        <v>94</v>
      </c>
      <c r="AA5" s="188" t="s">
        <v>93</v>
      </c>
      <c r="AB5" s="61" t="s">
        <v>94</v>
      </c>
      <c r="AC5" s="1026" t="s">
        <v>95</v>
      </c>
      <c r="AD5" s="1034" t="s">
        <v>0</v>
      </c>
      <c r="AE5" s="1034" t="s">
        <v>16</v>
      </c>
      <c r="AF5" s="1034" t="s">
        <v>96</v>
      </c>
      <c r="AG5" s="1203"/>
    </row>
    <row r="6" spans="1:33" ht="17.25" thickTop="1" thickBot="1">
      <c r="A6" s="190" t="s">
        <v>97</v>
      </c>
      <c r="B6" s="181"/>
      <c r="D6" s="414" t="s">
        <v>118</v>
      </c>
      <c r="E6" s="1405">
        <f>'2nd Interim-Cash Flow Year 1'!AA60</f>
        <v>0</v>
      </c>
      <c r="F6" s="62"/>
      <c r="G6" s="191">
        <f>E60</f>
        <v>0</v>
      </c>
      <c r="H6" s="62"/>
      <c r="I6" s="191">
        <f>G60</f>
        <v>0</v>
      </c>
      <c r="J6" s="62"/>
      <c r="K6" s="191">
        <f>I60</f>
        <v>0</v>
      </c>
      <c r="L6" s="62"/>
      <c r="M6" s="191">
        <f>K60</f>
        <v>0</v>
      </c>
      <c r="N6" s="62"/>
      <c r="O6" s="516">
        <f>M60</f>
        <v>0</v>
      </c>
      <c r="P6" s="62"/>
      <c r="Q6" s="516">
        <f>O60</f>
        <v>0</v>
      </c>
      <c r="R6" s="62"/>
      <c r="S6" s="516">
        <f>Q60</f>
        <v>0</v>
      </c>
      <c r="T6" s="62"/>
      <c r="U6" s="191">
        <f>S60</f>
        <v>0</v>
      </c>
      <c r="V6" s="62"/>
      <c r="W6" s="191">
        <f>U60</f>
        <v>0</v>
      </c>
      <c r="X6" s="62"/>
      <c r="Y6" s="191">
        <f>W60</f>
        <v>0</v>
      </c>
      <c r="Z6" s="62"/>
      <c r="AA6" s="191">
        <f>Y60</f>
        <v>0</v>
      </c>
      <c r="AB6" s="62"/>
      <c r="AC6" s="391">
        <f>+AA60</f>
        <v>0</v>
      </c>
      <c r="AD6" s="58"/>
      <c r="AE6" s="58"/>
      <c r="AF6" s="58"/>
      <c r="AG6" s="1203"/>
    </row>
    <row r="7" spans="1:33" ht="16.5" thickTop="1">
      <c r="A7" s="406"/>
      <c r="B7" s="370"/>
      <c r="C7" s="65"/>
      <c r="D7" s="65"/>
      <c r="E7" s="1881"/>
      <c r="F7" s="1882"/>
      <c r="G7" s="1882"/>
      <c r="H7" s="1882"/>
      <c r="I7" s="1882"/>
      <c r="J7" s="1882"/>
      <c r="K7" s="1882"/>
      <c r="L7" s="1882"/>
      <c r="M7" s="1882"/>
      <c r="N7" s="1882"/>
      <c r="O7" s="66"/>
      <c r="P7" s="63"/>
      <c r="Q7" s="66"/>
      <c r="R7" s="63"/>
      <c r="S7" s="66"/>
      <c r="T7" s="63"/>
      <c r="U7" s="66"/>
      <c r="V7" s="63"/>
      <c r="W7" s="66"/>
      <c r="X7" s="63"/>
      <c r="Y7" s="66"/>
      <c r="Z7" s="63"/>
      <c r="AA7" s="66"/>
      <c r="AB7" s="63"/>
      <c r="AC7" s="1027"/>
      <c r="AD7" s="1027"/>
      <c r="AE7" s="66"/>
      <c r="AF7" s="555"/>
      <c r="AG7" s="1203"/>
    </row>
    <row r="8" spans="1:33" ht="15.75">
      <c r="A8" s="67" t="s">
        <v>98</v>
      </c>
      <c r="B8" s="525"/>
      <c r="C8" s="375"/>
      <c r="D8" s="375"/>
      <c r="E8" s="376"/>
      <c r="F8" s="166"/>
      <c r="G8" s="377"/>
      <c r="H8" s="166"/>
      <c r="I8" s="377"/>
      <c r="J8" s="166"/>
      <c r="K8" s="377"/>
      <c r="L8" s="166"/>
      <c r="M8" s="377"/>
      <c r="N8" s="166"/>
      <c r="O8" s="377"/>
      <c r="P8" s="166"/>
      <c r="Q8" s="377"/>
      <c r="R8" s="166"/>
      <c r="S8" s="377"/>
      <c r="T8" s="166"/>
      <c r="U8" s="377"/>
      <c r="V8" s="166"/>
      <c r="W8" s="377"/>
      <c r="X8" s="166"/>
      <c r="Y8" s="377"/>
      <c r="Z8" s="166"/>
      <c r="AA8" s="377"/>
      <c r="AB8" s="166"/>
      <c r="AC8" s="1028"/>
      <c r="AD8" s="1028"/>
      <c r="AE8" s="377"/>
      <c r="AF8" s="527"/>
      <c r="AG8" s="1203"/>
    </row>
    <row r="9" spans="1:33" ht="15.75">
      <c r="A9" s="407" t="s">
        <v>306</v>
      </c>
      <c r="B9" s="147"/>
      <c r="C9" s="141"/>
      <c r="D9" s="1068"/>
      <c r="E9" s="784"/>
      <c r="F9" s="388"/>
      <c r="G9" s="512"/>
      <c r="H9" s="388"/>
      <c r="I9" s="512"/>
      <c r="J9" s="388"/>
      <c r="K9" s="512"/>
      <c r="L9" s="388"/>
      <c r="M9" s="512"/>
      <c r="N9" s="388"/>
      <c r="O9" s="512"/>
      <c r="P9" s="388"/>
      <c r="Q9" s="512"/>
      <c r="R9" s="388"/>
      <c r="S9" s="512"/>
      <c r="T9" s="388"/>
      <c r="U9" s="512"/>
      <c r="V9" s="388"/>
      <c r="W9" s="512"/>
      <c r="X9" s="388"/>
      <c r="Y9" s="512"/>
      <c r="Z9" s="388"/>
      <c r="AA9" s="512"/>
      <c r="AB9" s="388"/>
      <c r="AC9" s="1029"/>
      <c r="AD9" s="1032"/>
      <c r="AE9" s="1032"/>
      <c r="AF9" s="389"/>
      <c r="AG9" s="1203"/>
    </row>
    <row r="10" spans="1:33" ht="15.75">
      <c r="A10" s="408"/>
      <c r="B10" s="141" t="s">
        <v>155</v>
      </c>
      <c r="C10" s="279">
        <v>8011</v>
      </c>
      <c r="D10" s="1068"/>
      <c r="E10" s="380"/>
      <c r="F10" s="534" t="str">
        <f>IF($AE10&lt;1," ",IF(E10&lt;1," ",(E10)/$AE10))</f>
        <v xml:space="preserve"> </v>
      </c>
      <c r="G10" s="392"/>
      <c r="H10" s="534" t="str">
        <f>IF($AE10&lt;1," ",IF(G10&lt;1," ",(G10)/$AE10))</f>
        <v xml:space="preserve"> </v>
      </c>
      <c r="I10" s="392"/>
      <c r="J10" s="534" t="str">
        <f>IF($AE10&lt;1," ",IF(I10&lt;1," ",(I10)/$AE10))</f>
        <v xml:space="preserve"> </v>
      </c>
      <c r="K10" s="392"/>
      <c r="L10" s="534" t="str">
        <f>IF($AE10&lt;1," ",IF(K10&lt;1," ",(K10)/$AE10))</f>
        <v xml:space="preserve"> </v>
      </c>
      <c r="M10" s="392"/>
      <c r="N10" s="341" t="str">
        <f>IF($AE10&lt;1," ",IF(M10&lt;1," ",(M10)/$AE10))</f>
        <v xml:space="preserve"> </v>
      </c>
      <c r="O10" s="392"/>
      <c r="P10" s="341" t="str">
        <f>IF($AE10&lt;1," ",IF(O10&lt;1," ",(O10)/$AE10))</f>
        <v xml:space="preserve"> </v>
      </c>
      <c r="Q10" s="392"/>
      <c r="R10" s="534" t="str">
        <f>IF($AE10&lt;1," ",IF(Q10&lt;1," ",(Q10)/$AE10))</f>
        <v xml:space="preserve"> </v>
      </c>
      <c r="S10" s="392"/>
      <c r="T10" s="341" t="str">
        <f>IF($AE10&lt;1," ",IF(S10&lt;1," ",(S10)/$AE10))</f>
        <v xml:space="preserve"> </v>
      </c>
      <c r="U10" s="392"/>
      <c r="V10" s="341" t="str">
        <f>IF($AE10&lt;1," ",IF(U10&lt;1," ",(U10)/$AE10))</f>
        <v xml:space="preserve"> </v>
      </c>
      <c r="W10" s="392"/>
      <c r="X10" s="341" t="str">
        <f>IF($AE10&lt;1," ",IF(W10&lt;1," ",(W10)/$AE10))</f>
        <v xml:space="preserve"> </v>
      </c>
      <c r="Y10" s="392"/>
      <c r="Z10" s="341" t="str">
        <f>IF($AE10&lt;1," ",IF(Y10&lt;1," ",(Y10)/$AE10))</f>
        <v xml:space="preserve"> </v>
      </c>
      <c r="AA10" s="392"/>
      <c r="AB10" s="341" t="str">
        <f>IF($AE10&lt;1," ",IF(AA10&lt;1," ",(AA10)/$AE10))</f>
        <v xml:space="preserve"> </v>
      </c>
      <c r="AC10" s="1562">
        <f>AE10-(E10+G10+I10+K10+M10+O10+Q10+S10+U10+W10+Y10+AA10)</f>
        <v>0</v>
      </c>
      <c r="AD10" s="381">
        <f>+E10+G10+I10+K10+M10+O10+Q10+S10+U10+W10+Y10+AA10+AC10</f>
        <v>0</v>
      </c>
      <c r="AE10" s="381">
        <f>'2nd Interim-Summary MYP'!J13</f>
        <v>0</v>
      </c>
      <c r="AF10" s="381">
        <f>+AE10-AD10</f>
        <v>0</v>
      </c>
      <c r="AG10" s="1203"/>
    </row>
    <row r="11" spans="1:33" ht="15.75">
      <c r="A11" s="408"/>
      <c r="B11" s="141" t="s">
        <v>156</v>
      </c>
      <c r="C11" s="279">
        <v>8012</v>
      </c>
      <c r="D11" s="1068"/>
      <c r="E11" s="380"/>
      <c r="F11" s="534" t="str">
        <f>IF($AE11&lt;1," ",IF(E11&lt;1," ",(E11)/$AE11))</f>
        <v xml:space="preserve"> </v>
      </c>
      <c r="G11" s="392"/>
      <c r="H11" s="534" t="str">
        <f>IF($AE11&lt;1," ",IF(G11&lt;1," ",(G11)/$AE11))</f>
        <v xml:space="preserve"> </v>
      </c>
      <c r="I11" s="392"/>
      <c r="J11" s="534" t="str">
        <f>IF($AE11&lt;1," ",IF(I11&lt;1," ",(I11)/$AE11))</f>
        <v xml:space="preserve"> </v>
      </c>
      <c r="K11" s="392"/>
      <c r="L11" s="534" t="str">
        <f>IF($AE11&lt;1," ",IF(K11&lt;1," ",(K11)/$AE11))</f>
        <v xml:space="preserve"> </v>
      </c>
      <c r="M11" s="392"/>
      <c r="N11" s="341" t="str">
        <f>IF($AE11&lt;1," ",IF(M11&lt;1," ",(M11)/$AE11))</f>
        <v xml:space="preserve"> </v>
      </c>
      <c r="O11" s="392"/>
      <c r="P11" s="341" t="str">
        <f>IF($AE11&lt;1," ",IF(O11&lt;1," ",(O11)/$AE11))</f>
        <v xml:space="preserve"> </v>
      </c>
      <c r="Q11" s="392"/>
      <c r="R11" s="534" t="str">
        <f>IF($AE11&lt;1," ",IF(Q11&lt;1," ",(Q11)/$AE11))</f>
        <v xml:space="preserve"> </v>
      </c>
      <c r="S11" s="392"/>
      <c r="T11" s="341" t="str">
        <f>IF($AE11&lt;1," ",IF(S11&lt;1," ",(S11)/$AE11))</f>
        <v xml:space="preserve"> </v>
      </c>
      <c r="U11" s="392"/>
      <c r="V11" s="341" t="str">
        <f>IF($AE11&lt;1," ",IF(U11&lt;1," ",(U11)/$AE11))</f>
        <v xml:space="preserve"> </v>
      </c>
      <c r="W11" s="392"/>
      <c r="X11" s="341" t="str">
        <f>IF($AE11&lt;1," ",IF(W11&lt;1," ",(W11)/$AE11))</f>
        <v xml:space="preserve"> </v>
      </c>
      <c r="Y11" s="392"/>
      <c r="Z11" s="341" t="str">
        <f>IF($AE11&lt;1," ",IF(Y11&lt;1," ",(Y11)/$AE11))</f>
        <v xml:space="preserve"> </v>
      </c>
      <c r="AA11" s="392"/>
      <c r="AB11" s="341" t="str">
        <f>IF($AE11&lt;1," ",IF(AA11&lt;1," ",(AA11)/$AE11))</f>
        <v xml:space="preserve"> </v>
      </c>
      <c r="AC11" s="1562">
        <f t="shared" ref="AC11:AC22" si="0">AE11-(E11+G11+I11+K11+M11+O11+Q11+S11+U11+W11+Y11+AA11)</f>
        <v>0</v>
      </c>
      <c r="AD11" s="381">
        <f>+E11+G11+I11+K11+M11+O11+Q11+S11+U11+W11+Y11+AA11+AC11</f>
        <v>0</v>
      </c>
      <c r="AE11" s="381">
        <f>'2nd Interim-Summary MYP'!J14</f>
        <v>0</v>
      </c>
      <c r="AF11" s="381">
        <f>+AE11-AD11</f>
        <v>0</v>
      </c>
      <c r="AG11" s="1203"/>
    </row>
    <row r="12" spans="1:33" ht="15.75">
      <c r="A12" s="408"/>
      <c r="B12" s="141" t="s">
        <v>304</v>
      </c>
      <c r="C12" s="279">
        <v>8019</v>
      </c>
      <c r="D12" s="1072"/>
      <c r="E12" s="380"/>
      <c r="F12" s="534" t="str">
        <f>IF($AE12&lt;1," ",IF(E12&lt;1," ",(E12)/$AE12))</f>
        <v xml:space="preserve"> </v>
      </c>
      <c r="G12" s="392"/>
      <c r="H12" s="534" t="str">
        <f>IF($AE12&lt;1," ",IF(G12&lt;1," ",(G12)/$AE12))</f>
        <v xml:space="preserve"> </v>
      </c>
      <c r="I12" s="392"/>
      <c r="J12" s="534" t="str">
        <f>IF($AE12&lt;1," ",IF(I12&lt;1," ",(I12)/$AE12))</f>
        <v xml:space="preserve"> </v>
      </c>
      <c r="K12" s="392"/>
      <c r="L12" s="534" t="str">
        <f>IF($AE12&lt;1," ",IF(K12&lt;1," ",(K12)/$AE12))</f>
        <v xml:space="preserve"> </v>
      </c>
      <c r="M12" s="392"/>
      <c r="N12" s="341" t="str">
        <f>IF($AE12&lt;1," ",IF(M12&lt;1," ",(M12)/$AE12))</f>
        <v xml:space="preserve"> </v>
      </c>
      <c r="O12" s="392"/>
      <c r="P12" s="341" t="str">
        <f>IF($AE12&lt;1," ",IF(O12&lt;1," ",(O12)/$AE12))</f>
        <v xml:space="preserve"> </v>
      </c>
      <c r="Q12" s="392"/>
      <c r="R12" s="534" t="str">
        <f>IF($AE12&lt;1," ",IF(Q12&lt;1," ",(Q12)/$AE12))</f>
        <v xml:space="preserve"> </v>
      </c>
      <c r="S12" s="392"/>
      <c r="T12" s="341" t="str">
        <f>IF($AE12&lt;1," ",IF(S12&lt;1," ",(S12)/$AE12))</f>
        <v xml:space="preserve"> </v>
      </c>
      <c r="U12" s="392"/>
      <c r="V12" s="341" t="str">
        <f>IF($AE12&lt;1," ",IF(U12&lt;1," ",(U12)/$AE12))</f>
        <v xml:space="preserve"> </v>
      </c>
      <c r="W12" s="392"/>
      <c r="X12" s="341" t="str">
        <f>IF($AE12&lt;1," ",IF(W12&lt;1," ",(W12)/$AE12))</f>
        <v xml:space="preserve"> </v>
      </c>
      <c r="Y12" s="392"/>
      <c r="Z12" s="341" t="str">
        <f>IF($AE12&lt;1," ",IF(Y12&lt;1," ",(Y12)/$AE12))</f>
        <v xml:space="preserve"> </v>
      </c>
      <c r="AA12" s="392"/>
      <c r="AB12" s="341" t="str">
        <f>IF($AE12&lt;1," ",IF(AA12&lt;1," ",(AA12)/$AE12))</f>
        <v xml:space="preserve"> </v>
      </c>
      <c r="AC12" s="1562">
        <f t="shared" si="0"/>
        <v>0</v>
      </c>
      <c r="AD12" s="381">
        <f>+E12+G12+I12+K12+M12+O12+Q12+S12+U12+W12+Y12+AA12+AC12</f>
        <v>0</v>
      </c>
      <c r="AE12" s="382">
        <f>'2nd Interim-Summary MYP'!J15</f>
        <v>0</v>
      </c>
      <c r="AF12" s="381">
        <f>+AE12-AD12</f>
        <v>0</v>
      </c>
      <c r="AG12" s="1203"/>
    </row>
    <row r="13" spans="1:33" ht="15.75">
      <c r="A13" s="408"/>
      <c r="B13" s="141" t="s">
        <v>305</v>
      </c>
      <c r="C13" s="279">
        <v>8096</v>
      </c>
      <c r="D13" s="1072"/>
      <c r="E13" s="380"/>
      <c r="F13" s="534" t="str">
        <f>IF($AE13&lt;1," ",IF(E13&lt;1," ",(E13)/$AE13))</f>
        <v xml:space="preserve"> </v>
      </c>
      <c r="G13" s="392"/>
      <c r="H13" s="534" t="str">
        <f>IF($AE13&lt;1," ",IF(G13&lt;1," ",(G13)/$AE13))</f>
        <v xml:space="preserve"> </v>
      </c>
      <c r="I13" s="392"/>
      <c r="J13" s="534" t="str">
        <f>IF($AE13&lt;1," ",IF(I13&lt;1," ",(I13)/$AE13))</f>
        <v xml:space="preserve"> </v>
      </c>
      <c r="K13" s="392"/>
      <c r="L13" s="534" t="str">
        <f>IF($AE13&lt;1," ",IF(K13&lt;1," ",(K13)/$AE13))</f>
        <v xml:space="preserve"> </v>
      </c>
      <c r="M13" s="392"/>
      <c r="N13" s="341" t="str">
        <f>IF($AE13&lt;1," ",IF(M13&lt;1," ",(M13)/$AE13))</f>
        <v xml:space="preserve"> </v>
      </c>
      <c r="O13" s="392"/>
      <c r="P13" s="341" t="str">
        <f>IF($AE13&lt;1," ",IF(O13&lt;1," ",(O13)/$AE13))</f>
        <v xml:space="preserve"> </v>
      </c>
      <c r="Q13" s="392"/>
      <c r="R13" s="534" t="str">
        <f>IF($AE13&lt;1," ",IF(Q13&lt;1," ",(Q13)/$AE13))</f>
        <v xml:space="preserve"> </v>
      </c>
      <c r="S13" s="392"/>
      <c r="T13" s="341" t="str">
        <f>IF($AE13&lt;1," ",IF(S13&lt;1," ",(S13)/$AE13))</f>
        <v xml:space="preserve"> </v>
      </c>
      <c r="U13" s="392"/>
      <c r="V13" s="341" t="str">
        <f>IF($AE13&lt;1," ",IF(U13&lt;1," ",(U13)/$AE13))</f>
        <v xml:space="preserve"> </v>
      </c>
      <c r="W13" s="392"/>
      <c r="X13" s="341" t="str">
        <f>IF($AE13&lt;1," ",IF(W13&lt;1," ",(W13)/$AE13))</f>
        <v xml:space="preserve"> </v>
      </c>
      <c r="Y13" s="392"/>
      <c r="Z13" s="341" t="str">
        <f>IF($AE13&lt;1," ",IF(Y13&lt;1," ",(Y13)/$AE13))</f>
        <v xml:space="preserve"> </v>
      </c>
      <c r="AA13" s="392"/>
      <c r="AB13" s="341" t="str">
        <f>IF($AE13&lt;1," ",IF(AA13&lt;1," ",(AA13)/$AE13))</f>
        <v xml:space="preserve"> </v>
      </c>
      <c r="AC13" s="1562">
        <f t="shared" si="0"/>
        <v>0</v>
      </c>
      <c r="AD13" s="381">
        <f>+E13+G13+I13+K13+M13+O13+Q13+S13+U13+W13+Y13+AA13+AC13</f>
        <v>0</v>
      </c>
      <c r="AE13" s="381">
        <f>'2nd Interim-Summary MYP'!J16</f>
        <v>0</v>
      </c>
      <c r="AF13" s="381">
        <f>+AE13-AD13</f>
        <v>0</v>
      </c>
      <c r="AG13" s="1203"/>
    </row>
    <row r="14" spans="1:33" ht="15.75">
      <c r="A14" s="407" t="s">
        <v>307</v>
      </c>
      <c r="B14" s="147"/>
      <c r="C14" s="279" t="s">
        <v>99</v>
      </c>
      <c r="D14" s="1068"/>
      <c r="E14" s="380"/>
      <c r="F14" s="534" t="str">
        <f>IF($AE14&lt;1," ",IF(E14&lt;1," ",(E14)/$AE14))</f>
        <v xml:space="preserve"> </v>
      </c>
      <c r="G14" s="392"/>
      <c r="H14" s="534" t="str">
        <f>IF($AE14&lt;1," ",IF(G14&lt;1," ",(G14)/$AE14))</f>
        <v xml:space="preserve"> </v>
      </c>
      <c r="I14" s="392"/>
      <c r="J14" s="534" t="str">
        <f>IF($AE14&lt;1," ",IF(I14&lt;1," ",(I14)/$AE14))</f>
        <v xml:space="preserve"> </v>
      </c>
      <c r="K14" s="392"/>
      <c r="L14" s="534" t="str">
        <f>IF($AE14&lt;1," ",IF(K14&lt;1," ",(K14)/$AE14))</f>
        <v xml:space="preserve"> </v>
      </c>
      <c r="M14" s="392"/>
      <c r="N14" s="341" t="str">
        <f>IF($AE14&lt;1," ",IF(M14&lt;1," ",(M14)/$AE14))</f>
        <v xml:space="preserve"> </v>
      </c>
      <c r="O14" s="392"/>
      <c r="P14" s="341" t="str">
        <f>IF($AE14&lt;1," ",IF(O14&lt;1," ",(O14)/$AE14))</f>
        <v xml:space="preserve"> </v>
      </c>
      <c r="Q14" s="392"/>
      <c r="R14" s="534" t="str">
        <f>IF($AE14&lt;1," ",IF(Q14&lt;1," ",(Q14)/$AE14))</f>
        <v xml:space="preserve"> </v>
      </c>
      <c r="S14" s="392"/>
      <c r="T14" s="341" t="str">
        <f>IF($AE14&lt;1," ",IF(S14&lt;1," ",(S14)/$AE14))</f>
        <v xml:space="preserve"> </v>
      </c>
      <c r="U14" s="392"/>
      <c r="V14" s="341" t="str">
        <f>IF($AE14&lt;1," ",IF(U14&lt;1," ",(U14)/$AE14))</f>
        <v xml:space="preserve"> </v>
      </c>
      <c r="W14" s="392"/>
      <c r="X14" s="341" t="str">
        <f>IF($AE14&lt;1," ",IF(W14&lt;1," ",(W14)/$AE14))</f>
        <v xml:space="preserve"> </v>
      </c>
      <c r="Y14" s="392"/>
      <c r="Z14" s="341" t="str">
        <f>IF($AE14&lt;1," ",IF(Y14&lt;1," ",(Y14)/$AE14))</f>
        <v xml:space="preserve"> </v>
      </c>
      <c r="AA14" s="392"/>
      <c r="AB14" s="341" t="str">
        <f>IF($AE14&lt;1," ",IF(AA14&lt;1," ",(AA14)/$AE14))</f>
        <v xml:space="preserve"> </v>
      </c>
      <c r="AC14" s="1562">
        <f t="shared" si="0"/>
        <v>0</v>
      </c>
      <c r="AD14" s="381">
        <f>+E14+G14+I14+K14+M14+O14+Q14+S14+U14+W14+Y14+AA14+AC14</f>
        <v>0</v>
      </c>
      <c r="AE14" s="381">
        <f>'2nd Interim-Summary MYP'!J17</f>
        <v>0</v>
      </c>
      <c r="AF14" s="381">
        <f t="shared" ref="AF14:AF22" si="1">+AE14-AD14</f>
        <v>0</v>
      </c>
      <c r="AG14" s="1203"/>
    </row>
    <row r="15" spans="1:33" ht="15.75">
      <c r="A15" s="408" t="s">
        <v>308</v>
      </c>
      <c r="B15" s="141"/>
      <c r="C15" s="141"/>
      <c r="D15" s="1068"/>
      <c r="E15" s="513"/>
      <c r="F15" s="534"/>
      <c r="G15" s="393"/>
      <c r="H15" s="534"/>
      <c r="I15" s="393"/>
      <c r="J15" s="534"/>
      <c r="K15" s="393"/>
      <c r="L15" s="534"/>
      <c r="M15" s="393"/>
      <c r="N15" s="341"/>
      <c r="O15" s="393"/>
      <c r="P15" s="341"/>
      <c r="Q15" s="393"/>
      <c r="R15" s="534"/>
      <c r="S15" s="393"/>
      <c r="T15" s="341"/>
      <c r="U15" s="393"/>
      <c r="V15" s="341"/>
      <c r="W15" s="393"/>
      <c r="X15" s="341"/>
      <c r="Y15" s="393"/>
      <c r="Z15" s="341"/>
      <c r="AA15" s="393"/>
      <c r="AB15" s="341"/>
      <c r="AC15" s="1563"/>
      <c r="AD15" s="381"/>
      <c r="AE15" s="381"/>
      <c r="AF15" s="381"/>
      <c r="AG15" s="1203"/>
    </row>
    <row r="16" spans="1:33" ht="15.75">
      <c r="A16" s="408"/>
      <c r="B16" s="141" t="s">
        <v>309</v>
      </c>
      <c r="C16" s="279">
        <v>8560</v>
      </c>
      <c r="D16" s="1068"/>
      <c r="E16" s="380"/>
      <c r="F16" s="534" t="e">
        <f>IF($AE16&lt;1," ",IF(E16&lt;1," ",(E16)/$AE16))</f>
        <v>#VALUE!</v>
      </c>
      <c r="G16" s="392"/>
      <c r="H16" s="534" t="e">
        <f>IF($AE16&lt;1," ",IF(G16&lt;1," ",(G16)/$AE16))</f>
        <v>#VALUE!</v>
      </c>
      <c r="I16" s="392"/>
      <c r="J16" s="534" t="e">
        <f>IF($AE16&lt;1," ",IF(I16&lt;1," ",(I16)/$AE16))</f>
        <v>#VALUE!</v>
      </c>
      <c r="K16" s="392"/>
      <c r="L16" s="534" t="e">
        <f>IF($AE16&lt;1," ",IF(K16&lt;1," ",(K16)/$AE16))</f>
        <v>#VALUE!</v>
      </c>
      <c r="M16" s="392"/>
      <c r="N16" s="341" t="e">
        <f>IF($AE16&lt;1," ",IF(M16&lt;1," ",(M16)/$AE16))</f>
        <v>#VALUE!</v>
      </c>
      <c r="O16" s="392"/>
      <c r="P16" s="341" t="e">
        <f>IF($AE16&lt;1," ",IF(O16&lt;1," ",(O16)/$AE16))</f>
        <v>#VALUE!</v>
      </c>
      <c r="Q16" s="392"/>
      <c r="R16" s="534" t="e">
        <f>IF($AE16&lt;1," ",IF(Q16&lt;1," ",(Q16)/$AE16))</f>
        <v>#VALUE!</v>
      </c>
      <c r="S16" s="392"/>
      <c r="T16" s="341" t="e">
        <f>IF($AE16&lt;1," ",IF(S16&lt;1," ",(S16)/$AE16))</f>
        <v>#VALUE!</v>
      </c>
      <c r="U16" s="392"/>
      <c r="V16" s="341" t="e">
        <f>IF($AE16&lt;1," ",IF(U16&lt;1," ",(U16)/$AE16))</f>
        <v>#VALUE!</v>
      </c>
      <c r="W16" s="392"/>
      <c r="X16" s="341" t="e">
        <f>IF($AE16&lt;1," ",IF(W16&lt;1," ",(W16)/$AE16))</f>
        <v>#VALUE!</v>
      </c>
      <c r="Y16" s="392"/>
      <c r="Z16" s="341" t="e">
        <f>IF($AE16&lt;1," ",IF(Y16&lt;1," ",(Y16)/$AE16))</f>
        <v>#VALUE!</v>
      </c>
      <c r="AA16" s="392"/>
      <c r="AB16" s="341" t="e">
        <f>IF($AE16&lt;1," ",IF(AA16&lt;1," ",(AA16)/$AE16))</f>
        <v>#VALUE!</v>
      </c>
      <c r="AC16" s="1562" t="e">
        <f t="shared" si="0"/>
        <v>#VALUE!</v>
      </c>
      <c r="AD16" s="381" t="e">
        <f>+E16+G16+I16+K16+M16+O16+Q16+S16+U16+W16+Y16+AA16+AC16</f>
        <v>#VALUE!</v>
      </c>
      <c r="AE16" s="381" t="e">
        <f>'2nd Interim-Summary MYP'!J19</f>
        <v>#VALUE!</v>
      </c>
      <c r="AF16" s="381" t="e">
        <f t="shared" si="1"/>
        <v>#VALUE!</v>
      </c>
      <c r="AG16" s="1203"/>
    </row>
    <row r="17" spans="1:33" ht="15.75">
      <c r="A17" s="408"/>
      <c r="B17" s="141" t="s">
        <v>310</v>
      </c>
      <c r="C17" s="279">
        <v>8560</v>
      </c>
      <c r="D17" s="1068"/>
      <c r="E17" s="380"/>
      <c r="F17" s="534" t="e">
        <f>IF($AE17&lt;1," ",IF(E17&lt;1," ",(E17)/$AE17))</f>
        <v>#VALUE!</v>
      </c>
      <c r="G17" s="392"/>
      <c r="H17" s="534" t="e">
        <f>IF($AE17&lt;1," ",IF(G17&lt;1," ",(G17)/$AE17))</f>
        <v>#VALUE!</v>
      </c>
      <c r="I17" s="392"/>
      <c r="J17" s="534" t="e">
        <f>IF($AE17&lt;1," ",IF(I17&lt;1," ",(I17)/$AE17))</f>
        <v>#VALUE!</v>
      </c>
      <c r="K17" s="392"/>
      <c r="L17" s="534" t="e">
        <f>IF($AE17&lt;1," ",IF(K17&lt;1," ",(K17)/$AE17))</f>
        <v>#VALUE!</v>
      </c>
      <c r="M17" s="392"/>
      <c r="N17" s="341" t="e">
        <f>IF($AE17&lt;1," ",IF(M17&lt;1," ",(M17)/$AE17))</f>
        <v>#VALUE!</v>
      </c>
      <c r="O17" s="392"/>
      <c r="P17" s="341" t="e">
        <f>IF($AE17&lt;1," ",IF(O17&lt;1," ",(O17)/$AE17))</f>
        <v>#VALUE!</v>
      </c>
      <c r="Q17" s="392"/>
      <c r="R17" s="534" t="e">
        <f>IF($AE17&lt;1," ",IF(Q17&lt;1," ",(Q17)/$AE17))</f>
        <v>#VALUE!</v>
      </c>
      <c r="S17" s="392"/>
      <c r="T17" s="341" t="e">
        <f>IF($AE17&lt;1," ",IF(S17&lt;1," ",(S17)/$AE17))</f>
        <v>#VALUE!</v>
      </c>
      <c r="U17" s="392"/>
      <c r="V17" s="341" t="e">
        <f>IF($AE17&lt;1," ",IF(U17&lt;1," ",(U17)/$AE17))</f>
        <v>#VALUE!</v>
      </c>
      <c r="W17" s="392"/>
      <c r="X17" s="341" t="e">
        <f>IF($AE17&lt;1," ",IF(W17&lt;1," ",(W17)/$AE17))</f>
        <v>#VALUE!</v>
      </c>
      <c r="Y17" s="392"/>
      <c r="Z17" s="341" t="e">
        <f>IF($AE17&lt;1," ",IF(Y17&lt;1," ",(Y17)/$AE17))</f>
        <v>#VALUE!</v>
      </c>
      <c r="AA17" s="392"/>
      <c r="AB17" s="341" t="e">
        <f>IF($AE17&lt;1," ",IF(AA17&lt;1," ",(AA17)/$AE17))</f>
        <v>#VALUE!</v>
      </c>
      <c r="AC17" s="1562" t="e">
        <f t="shared" si="0"/>
        <v>#VALUE!</v>
      </c>
      <c r="AD17" s="381" t="e">
        <f>+E17+G17+I17+K17+M17+O17+Q17+S17+U17+W17+Y17+AA17+AC17</f>
        <v>#VALUE!</v>
      </c>
      <c r="AE17" s="381" t="e">
        <f>'2nd Interim-Summary MYP'!J20</f>
        <v>#VALUE!</v>
      </c>
      <c r="AF17" s="381" t="e">
        <f>+AE17-AD17</f>
        <v>#VALUE!</v>
      </c>
      <c r="AG17" s="1203"/>
    </row>
    <row r="18" spans="1:33" ht="15.75">
      <c r="A18" s="408"/>
      <c r="B18" s="141" t="s">
        <v>311</v>
      </c>
      <c r="C18" s="279" t="s">
        <v>100</v>
      </c>
      <c r="D18" s="1068"/>
      <c r="E18" s="380"/>
      <c r="F18" s="534" t="str">
        <f>IF($AE18&lt;1," ",IF(E18&lt;1," ",(E18)/$AE18))</f>
        <v xml:space="preserve"> </v>
      </c>
      <c r="G18" s="392"/>
      <c r="H18" s="534" t="str">
        <f>IF($AE18&lt;1," ",IF(G18&lt;1," ",(G18)/$AE18))</f>
        <v xml:space="preserve"> </v>
      </c>
      <c r="I18" s="392"/>
      <c r="J18" s="534" t="str">
        <f>IF($AE18&lt;1," ",IF(I18&lt;1," ",(I18)/$AE18))</f>
        <v xml:space="preserve"> </v>
      </c>
      <c r="K18" s="392"/>
      <c r="L18" s="534" t="str">
        <f>IF($AE18&lt;1," ",IF(K18&lt;1," ",(K18)/$AE18))</f>
        <v xml:space="preserve"> </v>
      </c>
      <c r="M18" s="392"/>
      <c r="N18" s="341" t="str">
        <f>IF($AE18&lt;1," ",IF(M18&lt;1," ",(M18)/$AE18))</f>
        <v xml:space="preserve"> </v>
      </c>
      <c r="O18" s="392"/>
      <c r="P18" s="341" t="str">
        <f>IF($AE18&lt;1," ",IF(O18&lt;1," ",(O18)/$AE18))</f>
        <v xml:space="preserve"> </v>
      </c>
      <c r="Q18" s="392"/>
      <c r="R18" s="534" t="str">
        <f>IF($AE18&lt;1," ",IF(Q18&lt;1," ",(Q18)/$AE18))</f>
        <v xml:space="preserve"> </v>
      </c>
      <c r="S18" s="392"/>
      <c r="T18" s="341" t="str">
        <f>IF($AE18&lt;1," ",IF(S18&lt;1," ",(S18)/$AE18))</f>
        <v xml:space="preserve"> </v>
      </c>
      <c r="U18" s="392"/>
      <c r="V18" s="341" t="str">
        <f>IF($AE18&lt;1," ",IF(U18&lt;1," ",(U18)/$AE18))</f>
        <v xml:space="preserve"> </v>
      </c>
      <c r="W18" s="392"/>
      <c r="X18" s="341" t="str">
        <f>IF($AE18&lt;1," ",IF(W18&lt;1," ",(W18)/$AE18))</f>
        <v xml:space="preserve"> </v>
      </c>
      <c r="Y18" s="392"/>
      <c r="Z18" s="341" t="str">
        <f>IF($AE18&lt;1," ",IF(Y18&lt;1," ",(Y18)/$AE18))</f>
        <v xml:space="preserve"> </v>
      </c>
      <c r="AA18" s="392"/>
      <c r="AB18" s="341" t="str">
        <f>IF($AE18&lt;1," ",IF(AA18&lt;1," ",(AA18)/$AE18))</f>
        <v xml:space="preserve"> </v>
      </c>
      <c r="AC18" s="1562">
        <f t="shared" si="0"/>
        <v>0</v>
      </c>
      <c r="AD18" s="381">
        <f>+E18+G18+I18+K18+M18+O18+Q18+S18+U18+W18+Y18+AA18+AC18</f>
        <v>0</v>
      </c>
      <c r="AE18" s="381">
        <f>'2nd Interim-Summary MYP'!J21</f>
        <v>0</v>
      </c>
      <c r="AF18" s="381">
        <f t="shared" si="1"/>
        <v>0</v>
      </c>
      <c r="AG18" s="1203"/>
    </row>
    <row r="19" spans="1:33" ht="15.75">
      <c r="A19" s="408" t="s">
        <v>312</v>
      </c>
      <c r="B19" s="141"/>
      <c r="C19" s="141"/>
      <c r="D19" s="1068"/>
      <c r="E19" s="513"/>
      <c r="F19" s="534"/>
      <c r="G19" s="393"/>
      <c r="H19" s="534"/>
      <c r="I19" s="393"/>
      <c r="J19" s="534"/>
      <c r="K19" s="393"/>
      <c r="L19" s="534"/>
      <c r="M19" s="393"/>
      <c r="N19" s="341"/>
      <c r="O19" s="393"/>
      <c r="P19" s="341"/>
      <c r="Q19" s="393"/>
      <c r="R19" s="534"/>
      <c r="S19" s="393"/>
      <c r="T19" s="341"/>
      <c r="U19" s="393"/>
      <c r="V19" s="341"/>
      <c r="W19" s="393"/>
      <c r="X19" s="341"/>
      <c r="Y19" s="393"/>
      <c r="Z19" s="341"/>
      <c r="AA19" s="393"/>
      <c r="AB19" s="341"/>
      <c r="AC19" s="1563"/>
      <c r="AD19" s="381"/>
      <c r="AE19" s="381"/>
      <c r="AF19" s="381"/>
      <c r="AG19" s="1203"/>
    </row>
    <row r="20" spans="1:33" ht="15.75">
      <c r="A20" s="408"/>
      <c r="B20" s="141" t="s">
        <v>239</v>
      </c>
      <c r="C20" s="279">
        <v>8660</v>
      </c>
      <c r="D20" s="1068"/>
      <c r="E20" s="380"/>
      <c r="F20" s="534" t="str">
        <f>IF($AE20&lt;1," ",IF(E20&lt;1," ",(E20)/$AE20))</f>
        <v xml:space="preserve"> </v>
      </c>
      <c r="G20" s="392"/>
      <c r="H20" s="534" t="str">
        <f>IF($AE20&lt;1," ",IF(G20&lt;1," ",(G20)/$AE20))</f>
        <v xml:space="preserve"> </v>
      </c>
      <c r="I20" s="392"/>
      <c r="J20" s="534" t="str">
        <f>IF($AE20&lt;1," ",IF(I20&lt;1," ",(I20)/$AE20))</f>
        <v xml:space="preserve"> </v>
      </c>
      <c r="K20" s="392"/>
      <c r="L20" s="534" t="str">
        <f>IF($AE20&lt;1," ",IF(K20&lt;1," ",(K20)/$AE20))</f>
        <v xml:space="preserve"> </v>
      </c>
      <c r="M20" s="392"/>
      <c r="N20" s="341" t="str">
        <f>IF($AE20&lt;1," ",IF(M20&lt;1," ",(M20)/$AE20))</f>
        <v xml:space="preserve"> </v>
      </c>
      <c r="O20" s="392"/>
      <c r="P20" s="341" t="str">
        <f>IF($AE20&lt;1," ",IF(O20&lt;1," ",(O20)/$AE20))</f>
        <v xml:space="preserve"> </v>
      </c>
      <c r="Q20" s="392"/>
      <c r="R20" s="534" t="str">
        <f>IF($AE20&lt;1," ",IF(Q20&lt;1," ",(Q20)/$AE20))</f>
        <v xml:space="preserve"> </v>
      </c>
      <c r="S20" s="392"/>
      <c r="T20" s="341" t="str">
        <f>IF($AE20&lt;1," ",IF(S20&lt;1," ",(S20)/$AE20))</f>
        <v xml:space="preserve"> </v>
      </c>
      <c r="U20" s="392"/>
      <c r="V20" s="341" t="str">
        <f>IF($AE20&lt;1," ",IF(U20&lt;1," ",(U20)/$AE20))</f>
        <v xml:space="preserve"> </v>
      </c>
      <c r="W20" s="392"/>
      <c r="X20" s="341" t="str">
        <f>IF($AE20&lt;1," ",IF(W20&lt;1," ",(W20)/$AE20))</f>
        <v xml:space="preserve"> </v>
      </c>
      <c r="Y20" s="392"/>
      <c r="Z20" s="341" t="str">
        <f>IF($AE20&lt;1," ",IF(Y20&lt;1," ",(Y20)/$AE20))</f>
        <v xml:space="preserve"> </v>
      </c>
      <c r="AA20" s="392"/>
      <c r="AB20" s="341" t="str">
        <f>IF($AE20&lt;1," ",IF(AA20&lt;1," ",(AA20)/$AE20))</f>
        <v xml:space="preserve"> </v>
      </c>
      <c r="AC20" s="1562">
        <f t="shared" si="0"/>
        <v>0</v>
      </c>
      <c r="AD20" s="381">
        <f>+E20+G20+I20+K20+M20+O20+Q20+S20+U20+W20+Y20+AA20+AC20</f>
        <v>0</v>
      </c>
      <c r="AE20" s="381">
        <f>'2nd Interim-Summary MYP'!J23</f>
        <v>0</v>
      </c>
      <c r="AF20" s="381">
        <f t="shared" si="1"/>
        <v>0</v>
      </c>
      <c r="AG20" s="1203"/>
    </row>
    <row r="21" spans="1:33" ht="15.75">
      <c r="A21" s="408"/>
      <c r="B21" s="141" t="s">
        <v>313</v>
      </c>
      <c r="C21" s="279">
        <v>8792</v>
      </c>
      <c r="D21" s="1068"/>
      <c r="E21" s="380"/>
      <c r="F21" s="534" t="str">
        <f>IF($AE21&lt;1," ",IF(E21&lt;1," ",(E21)/$AE21))</f>
        <v xml:space="preserve"> </v>
      </c>
      <c r="G21" s="392"/>
      <c r="H21" s="534" t="str">
        <f>IF($AE21&lt;1," ",IF(G21&lt;1," ",(G21)/$AE21))</f>
        <v xml:space="preserve"> </v>
      </c>
      <c r="I21" s="392"/>
      <c r="J21" s="534" t="str">
        <f>IF($AE21&lt;1," ",IF(I21&lt;1," ",(I21)/$AE21))</f>
        <v xml:space="preserve"> </v>
      </c>
      <c r="K21" s="392"/>
      <c r="L21" s="534" t="str">
        <f>IF($AE21&lt;1," ",IF(K21&lt;1," ",(K21)/$AE21))</f>
        <v xml:space="preserve"> </v>
      </c>
      <c r="M21" s="392"/>
      <c r="N21" s="341" t="str">
        <f>IF($AE21&lt;1," ",IF(M21&lt;1," ",(M21)/$AE21))</f>
        <v xml:space="preserve"> </v>
      </c>
      <c r="O21" s="392"/>
      <c r="P21" s="341" t="str">
        <f>IF($AE21&lt;1," ",IF(O21&lt;1," ",(O21)/$AE21))</f>
        <v xml:space="preserve"> </v>
      </c>
      <c r="Q21" s="392"/>
      <c r="R21" s="534" t="str">
        <f>IF($AE21&lt;1," ",IF(Q21&lt;1," ",(Q21)/$AE21))</f>
        <v xml:space="preserve"> </v>
      </c>
      <c r="S21" s="392"/>
      <c r="T21" s="341" t="str">
        <f>IF($AE21&lt;1," ",IF(S21&lt;1," ",(S21)/$AE21))</f>
        <v xml:space="preserve"> </v>
      </c>
      <c r="U21" s="392"/>
      <c r="V21" s="341" t="str">
        <f>IF($AE21&lt;1," ",IF(U21&lt;1," ",(U21)/$AE21))</f>
        <v xml:space="preserve"> </v>
      </c>
      <c r="W21" s="392"/>
      <c r="X21" s="341" t="str">
        <f>IF($AE21&lt;1," ",IF(W21&lt;1," ",(W21)/$AE21))</f>
        <v xml:space="preserve"> </v>
      </c>
      <c r="Y21" s="392"/>
      <c r="Z21" s="341" t="str">
        <f>IF($AE21&lt;1," ",IF(Y21&lt;1," ",(Y21)/$AE21))</f>
        <v xml:space="preserve"> </v>
      </c>
      <c r="AA21" s="392"/>
      <c r="AB21" s="341" t="str">
        <f>IF($AE21&lt;1," ",IF(AA21&lt;1," ",(AA21)/$AE21))</f>
        <v xml:space="preserve"> </v>
      </c>
      <c r="AC21" s="1562">
        <f t="shared" si="0"/>
        <v>0</v>
      </c>
      <c r="AD21" s="381">
        <f>+E21+G21+I21+K21+M21+O21+Q21+S21+U21+W21+Y21+AA21+AC21</f>
        <v>0</v>
      </c>
      <c r="AE21" s="381">
        <f>'2nd Interim-Summary MYP'!J24</f>
        <v>0</v>
      </c>
      <c r="AF21" s="381">
        <f t="shared" si="1"/>
        <v>0</v>
      </c>
      <c r="AG21" s="1203"/>
    </row>
    <row r="22" spans="1:33" ht="15.75">
      <c r="A22" s="408"/>
      <c r="B22" s="141" t="s">
        <v>314</v>
      </c>
      <c r="C22" s="279" t="s">
        <v>101</v>
      </c>
      <c r="D22" s="1068"/>
      <c r="E22" s="380"/>
      <c r="F22" s="534" t="str">
        <f>IF($AE22&lt;1," ",IF(E22&lt;1," ",(E22)/$AE22))</f>
        <v xml:space="preserve"> </v>
      </c>
      <c r="G22" s="392"/>
      <c r="H22" s="534" t="str">
        <f>IF($AE22&lt;1," ",IF(G22&lt;1," ",(G22)/$AE22))</f>
        <v xml:space="preserve"> </v>
      </c>
      <c r="I22" s="392"/>
      <c r="J22" s="534" t="str">
        <f>IF($AE22&lt;1," ",IF(I22&lt;1," ",(I22)/$AE22))</f>
        <v xml:space="preserve"> </v>
      </c>
      <c r="K22" s="392"/>
      <c r="L22" s="534" t="str">
        <f>IF($AE22&lt;1," ",IF(K22&lt;1," ",(K22)/$AE22))</f>
        <v xml:space="preserve"> </v>
      </c>
      <c r="M22" s="392"/>
      <c r="N22" s="341" t="str">
        <f>IF($AE22&lt;1," ",IF(M22&lt;1," ",(M22)/$AE22))</f>
        <v xml:space="preserve"> </v>
      </c>
      <c r="O22" s="392"/>
      <c r="P22" s="341" t="str">
        <f>IF($AE22&lt;1," ",IF(O22&lt;1," ",(O22)/$AE22))</f>
        <v xml:space="preserve"> </v>
      </c>
      <c r="Q22" s="392"/>
      <c r="R22" s="534" t="str">
        <f>IF($AE22&lt;1," ",IF(Q22&lt;1," ",(Q22)/$AE22))</f>
        <v xml:space="preserve"> </v>
      </c>
      <c r="S22" s="392"/>
      <c r="T22" s="341" t="str">
        <f>IF($AE22&lt;1," ",IF(S22&lt;1," ",(S22)/$AE22))</f>
        <v xml:space="preserve"> </v>
      </c>
      <c r="U22" s="392"/>
      <c r="V22" s="341" t="str">
        <f>IF($AE22&lt;1," ",IF(U22&lt;1," ",(U22)/$AE22))</f>
        <v xml:space="preserve"> </v>
      </c>
      <c r="W22" s="392"/>
      <c r="X22" s="341" t="str">
        <f>IF($AE22&lt;1," ",IF(W22&lt;1," ",(W22)/$AE22))</f>
        <v xml:space="preserve"> </v>
      </c>
      <c r="Y22" s="392"/>
      <c r="Z22" s="341" t="str">
        <f>IF($AE22&lt;1," ",IF(Y22&lt;1," ",(Y22)/$AE22))</f>
        <v xml:space="preserve"> </v>
      </c>
      <c r="AA22" s="392"/>
      <c r="AB22" s="341" t="str">
        <f>IF($AE22&lt;1," ",IF(AA22&lt;1," ",(AA22)/$AE22))</f>
        <v xml:space="preserve"> </v>
      </c>
      <c r="AC22" s="1562">
        <f t="shared" si="0"/>
        <v>0</v>
      </c>
      <c r="AD22" s="381">
        <f>+E22+G22+I22+K22+M22+O22+Q22+S22+U22+W22+Y22+AA22+AC22</f>
        <v>0</v>
      </c>
      <c r="AE22" s="381">
        <f>'2nd Interim-Summary MYP'!J25</f>
        <v>0</v>
      </c>
      <c r="AF22" s="381">
        <f t="shared" si="1"/>
        <v>0</v>
      </c>
      <c r="AG22" s="1203"/>
    </row>
    <row r="23" spans="1:33" ht="16.5" thickBot="1">
      <c r="A23" s="1067" t="s">
        <v>315</v>
      </c>
      <c r="B23" s="371"/>
      <c r="C23" s="71"/>
      <c r="D23" s="1073"/>
      <c r="E23" s="775">
        <f>SUM(E10:E22)</f>
        <v>0</v>
      </c>
      <c r="F23" s="536" t="e">
        <f>IF($AE23&lt;1," ",IF(E23&lt;1," ",(E23)/$AE23))</f>
        <v>#VALUE!</v>
      </c>
      <c r="G23" s="774">
        <f>SUM(G10:G22)</f>
        <v>0</v>
      </c>
      <c r="H23" s="536" t="e">
        <f>IF($AE23&lt;1," ",IF(G23&lt;1," ",(G23)/$AE23))</f>
        <v>#VALUE!</v>
      </c>
      <c r="I23" s="774">
        <f>SUM(I10:I22)</f>
        <v>0</v>
      </c>
      <c r="J23" s="536" t="e">
        <f>IF($AE23&lt;1," ",IF(I23&lt;1," ",(I23)/$AE23))</f>
        <v>#VALUE!</v>
      </c>
      <c r="K23" s="774">
        <f>SUM(K10:K22)</f>
        <v>0</v>
      </c>
      <c r="L23" s="536" t="e">
        <f>IF($AE23&lt;1," ",IF(K23&lt;1," ",(K23)/$AE23))</f>
        <v>#VALUE!</v>
      </c>
      <c r="M23" s="774">
        <f>SUM(M10:M22)</f>
        <v>0</v>
      </c>
      <c r="N23" s="386" t="e">
        <f>IF($AE23&lt;1," ",IF(M23&lt;1," ",(M23)/$AE23))</f>
        <v>#VALUE!</v>
      </c>
      <c r="O23" s="774">
        <f>SUM(O10:O22)</f>
        <v>0</v>
      </c>
      <c r="P23" s="386" t="e">
        <f>IF($AE23&lt;1," ",IF(O23&lt;1," ",(O23)/$AE23))</f>
        <v>#VALUE!</v>
      </c>
      <c r="Q23" s="774">
        <f>SUM(Q10:Q22)</f>
        <v>0</v>
      </c>
      <c r="R23" s="536" t="e">
        <f>IF($AE23&lt;1," ",IF(Q23&lt;1," ",(Q23)/$AE23))</f>
        <v>#VALUE!</v>
      </c>
      <c r="S23" s="774">
        <f>SUM(S10:S22)</f>
        <v>0</v>
      </c>
      <c r="T23" s="386" t="e">
        <f>IF($AE23&lt;1," ",IF(S23&lt;1," ",(S23)/$AE23))</f>
        <v>#VALUE!</v>
      </c>
      <c r="U23" s="774">
        <f>SUM(U10:U22)</f>
        <v>0</v>
      </c>
      <c r="V23" s="386" t="e">
        <f>IF($AE23&lt;1," ",IF(U23&lt;1," ",(U23)/$AE23))</f>
        <v>#VALUE!</v>
      </c>
      <c r="W23" s="774">
        <f>SUM(W10:W22)</f>
        <v>0</v>
      </c>
      <c r="X23" s="386" t="e">
        <f>IF($AE23&lt;1," ",IF(W23&lt;1," ",(W23)/$AE23))</f>
        <v>#VALUE!</v>
      </c>
      <c r="Y23" s="774">
        <f>SUM(Y10:Y22)</f>
        <v>0</v>
      </c>
      <c r="Z23" s="386" t="e">
        <f>IF($AE23&lt;1," ",IF(Y23&lt;1," ",(Y23)/$AE23))</f>
        <v>#VALUE!</v>
      </c>
      <c r="AA23" s="774">
        <f>SUM(AA10:AA22)</f>
        <v>0</v>
      </c>
      <c r="AB23" s="386" t="e">
        <f>IF($AE23&lt;1," ",IF(AA23&lt;1," ",(AA23)/$AE23))</f>
        <v>#VALUE!</v>
      </c>
      <c r="AC23" s="1564" t="e">
        <f>SUM(AC10:AC22)</f>
        <v>#VALUE!</v>
      </c>
      <c r="AD23" s="776" t="e">
        <f>SUM(AD10:AD22)</f>
        <v>#VALUE!</v>
      </c>
      <c r="AE23" s="776" t="e">
        <f>SUM(AE10:AE22)</f>
        <v>#VALUE!</v>
      </c>
      <c r="AF23" s="776" t="e">
        <f>SUM(AF10:AF22)</f>
        <v>#VALUE!</v>
      </c>
      <c r="AG23" s="1203"/>
    </row>
    <row r="24" spans="1:33" ht="15.75">
      <c r="A24" s="69"/>
      <c r="B24" s="183"/>
      <c r="C24" s="23"/>
      <c r="D24" s="530"/>
      <c r="E24" s="74"/>
      <c r="F24" s="196"/>
      <c r="G24" s="74"/>
      <c r="H24" s="196"/>
      <c r="I24" s="74"/>
      <c r="J24" s="196"/>
      <c r="K24" s="74"/>
      <c r="L24" s="1057"/>
      <c r="M24" s="1058"/>
      <c r="N24" s="196"/>
      <c r="O24" s="74"/>
      <c r="P24" s="196"/>
      <c r="Q24" s="74"/>
      <c r="R24" s="1057"/>
      <c r="S24" s="1058"/>
      <c r="T24" s="196"/>
      <c r="U24" s="74"/>
      <c r="V24" s="196"/>
      <c r="W24" s="74"/>
      <c r="X24" s="196"/>
      <c r="Y24" s="74"/>
      <c r="Z24" s="196"/>
      <c r="AA24" s="74"/>
      <c r="AB24" s="196"/>
      <c r="AC24" s="1024"/>
      <c r="AD24" s="1024"/>
      <c r="AE24" s="1024"/>
      <c r="AF24" s="1040"/>
      <c r="AG24" s="1203"/>
    </row>
    <row r="25" spans="1:33" ht="15.75">
      <c r="A25" s="67" t="s">
        <v>3</v>
      </c>
      <c r="B25" s="181"/>
      <c r="C25" s="375"/>
      <c r="D25" s="1071"/>
      <c r="E25" s="528"/>
      <c r="F25" s="484"/>
      <c r="G25" s="528"/>
      <c r="H25" s="484"/>
      <c r="I25" s="528"/>
      <c r="J25" s="484"/>
      <c r="K25" s="528"/>
      <c r="L25" s="1059"/>
      <c r="M25" s="1060"/>
      <c r="N25" s="484"/>
      <c r="O25" s="528"/>
      <c r="P25" s="484"/>
      <c r="Q25" s="528"/>
      <c r="R25" s="1059"/>
      <c r="S25" s="1060"/>
      <c r="T25" s="484"/>
      <c r="U25" s="528"/>
      <c r="V25" s="484"/>
      <c r="W25" s="528"/>
      <c r="X25" s="484"/>
      <c r="Y25" s="528"/>
      <c r="Z25" s="484"/>
      <c r="AA25" s="528"/>
      <c r="AB25" s="484"/>
      <c r="AC25" s="1028"/>
      <c r="AD25" s="1028"/>
      <c r="AE25" s="1028"/>
      <c r="AF25" s="1036"/>
      <c r="AG25" s="1203"/>
    </row>
    <row r="26" spans="1:33" ht="15.75">
      <c r="A26" s="408" t="s">
        <v>4</v>
      </c>
      <c r="B26" s="141"/>
      <c r="C26" s="279" t="s">
        <v>102</v>
      </c>
      <c r="D26" s="1068"/>
      <c r="E26" s="380"/>
      <c r="F26" s="534" t="str">
        <f>IF($AE$26&lt;1," ",IF(E26&lt;1," ",(E26)/$AE$26))</f>
        <v xml:space="preserve"> </v>
      </c>
      <c r="G26" s="392"/>
      <c r="H26" s="534" t="str">
        <f>IF($AE$26&lt;1," ",IF(G26&lt;1," ",(G26)/$AE$26))</f>
        <v xml:space="preserve"> </v>
      </c>
      <c r="I26" s="392"/>
      <c r="J26" s="534" t="str">
        <f>IF($AE$26&lt;1," ",IF(I26&lt;1," ",(I26)/$AE$26))</f>
        <v xml:space="preserve"> </v>
      </c>
      <c r="K26" s="392"/>
      <c r="L26" s="534" t="str">
        <f>IF($AE$26&lt;1," ",IF(K26&lt;1," ",(K26)/$AE$26))</f>
        <v xml:space="preserve"> </v>
      </c>
      <c r="M26" s="392"/>
      <c r="N26" s="341" t="str">
        <f>IF($AE$26&lt;1," ",IF(M26&lt;1," ",(M26)/$AE$26))</f>
        <v xml:space="preserve"> </v>
      </c>
      <c r="O26" s="392"/>
      <c r="P26" s="534" t="str">
        <f>IF($AE$26&lt;1," ",IF(O26&lt;1," ",(O26)/$AE$26))</f>
        <v xml:space="preserve"> </v>
      </c>
      <c r="Q26" s="392"/>
      <c r="R26" s="534" t="str">
        <f>IF($AE$26&lt;1," ",IF(Q26&lt;1," ",(Q26)/$AE$26))</f>
        <v xml:space="preserve"> </v>
      </c>
      <c r="S26" s="392"/>
      <c r="T26" s="341" t="str">
        <f>IF($AE$26&lt;1," ",IF(S26&lt;1," ",(S26)/$AE$26))</f>
        <v xml:space="preserve"> </v>
      </c>
      <c r="U26" s="392"/>
      <c r="V26" s="341" t="str">
        <f>IF($AE$26&lt;1," ",IF(U26&lt;1," ",(U26)/$AE$26))</f>
        <v xml:space="preserve"> </v>
      </c>
      <c r="W26" s="392"/>
      <c r="X26" s="341" t="str">
        <f>IF($AE$26&lt;1," ",IF(W26&lt;1," ",(W26)/$AE$26))</f>
        <v xml:space="preserve"> </v>
      </c>
      <c r="Y26" s="392"/>
      <c r="Z26" s="341" t="str">
        <f>IF($AE$26&lt;1," ",IF(Y26&lt;1," ",(Y26)/$AE$26))</f>
        <v xml:space="preserve"> </v>
      </c>
      <c r="AA26" s="392"/>
      <c r="AB26" s="341" t="str">
        <f>IF($AE$26&lt;1," ",IF(AA26&lt;1," ",(AA26)/$AE$26))</f>
        <v xml:space="preserve"> </v>
      </c>
      <c r="AC26" s="1565">
        <f t="shared" ref="AC26:AC33" si="2">AE26-(E26+G26+I26+K26+M26+O26+Q26+S26+U26+W26+Y26+AA26)</f>
        <v>0</v>
      </c>
      <c r="AD26" s="389">
        <f t="shared" ref="AD26:AD33" si="3">+E26+G26+I26+K26+M26+O26+Q26+S26+U26+W26+Y26+AA26+AC26</f>
        <v>0</v>
      </c>
      <c r="AE26" s="389">
        <f>'2nd Interim-Summary MYP'!J29</f>
        <v>0</v>
      </c>
      <c r="AF26" s="389">
        <f t="shared" ref="AF26:AF33" si="4">+AE26-AD26</f>
        <v>0</v>
      </c>
      <c r="AG26" s="1203"/>
    </row>
    <row r="27" spans="1:33" ht="15.75">
      <c r="A27" s="408" t="s">
        <v>23</v>
      </c>
      <c r="B27" s="141"/>
      <c r="C27" s="279" t="s">
        <v>103</v>
      </c>
      <c r="D27" s="1068"/>
      <c r="E27" s="380"/>
      <c r="F27" s="534" t="str">
        <f>IF($AE$27&lt;1," ",IF(E27&lt;1," ",(E27)/$AE$27))</f>
        <v xml:space="preserve"> </v>
      </c>
      <c r="G27" s="392"/>
      <c r="H27" s="534" t="str">
        <f>IF($AE$27&lt;1," ",IF(G27&lt;1," ",(G27)/$AE$27))</f>
        <v xml:space="preserve"> </v>
      </c>
      <c r="I27" s="392"/>
      <c r="J27" s="534" t="str">
        <f>IF($AE$27&lt;1," ",IF(I27&lt;1," ",(I27)/$AE$27))</f>
        <v xml:space="preserve"> </v>
      </c>
      <c r="K27" s="392"/>
      <c r="L27" s="534" t="str">
        <f>IF($AE$27&lt;1," ",IF(K27&lt;1," ",(K27)/$AE$27))</f>
        <v xml:space="preserve"> </v>
      </c>
      <c r="M27" s="392"/>
      <c r="N27" s="341" t="str">
        <f>IF($AE$27&lt;1," ",IF(M27&lt;1," ",(M27)/$AE$27))</f>
        <v xml:space="preserve"> </v>
      </c>
      <c r="O27" s="392"/>
      <c r="P27" s="534" t="str">
        <f>IF($AE$27&lt;1," ",IF(O27&lt;1," ",(O27)/$AE$27))</f>
        <v xml:space="preserve"> </v>
      </c>
      <c r="Q27" s="392"/>
      <c r="R27" s="534" t="str">
        <f>IF($AE$27&lt;1," ",IF(Q27&lt;1," ",(Q27)/$AE$27))</f>
        <v xml:space="preserve"> </v>
      </c>
      <c r="S27" s="392"/>
      <c r="T27" s="341" t="str">
        <f>IF($AE$27&lt;1," ",IF(S27&lt;1," ",(S27)/$AE$27))</f>
        <v xml:space="preserve"> </v>
      </c>
      <c r="U27" s="392"/>
      <c r="V27" s="341" t="str">
        <f>IF($AE$27&lt;1," ",IF(U27&lt;1," ",(U27)/$AE$27))</f>
        <v xml:space="preserve"> </v>
      </c>
      <c r="W27" s="392"/>
      <c r="X27" s="341" t="str">
        <f>IF($AE$27&lt;1," ",IF(W27&lt;1," ",(W27)/$AE$27))</f>
        <v xml:space="preserve"> </v>
      </c>
      <c r="Y27" s="392"/>
      <c r="Z27" s="341" t="str">
        <f>IF($AE$27&lt;1," ",IF(Y27&lt;1," ",(Y27)/$AE$27))</f>
        <v xml:space="preserve"> </v>
      </c>
      <c r="AA27" s="392"/>
      <c r="AB27" s="341" t="str">
        <f>IF($AE$27&lt;1," ",IF(AA27&lt;1," ",(AA27)/$AE$27))</f>
        <v xml:space="preserve"> </v>
      </c>
      <c r="AC27" s="1565">
        <f t="shared" si="2"/>
        <v>0</v>
      </c>
      <c r="AD27" s="389">
        <f t="shared" si="3"/>
        <v>0</v>
      </c>
      <c r="AE27" s="389">
        <f>'2nd Interim-Summary MYP'!J30</f>
        <v>0</v>
      </c>
      <c r="AF27" s="389">
        <f t="shared" si="4"/>
        <v>0</v>
      </c>
      <c r="AG27" s="1203"/>
    </row>
    <row r="28" spans="1:33" ht="15.75">
      <c r="A28" s="408" t="s">
        <v>24</v>
      </c>
      <c r="B28" s="141"/>
      <c r="C28" s="279" t="s">
        <v>104</v>
      </c>
      <c r="D28" s="1068"/>
      <c r="E28" s="380"/>
      <c r="F28" s="534" t="str">
        <f>IF($AE$28&lt;1," ",IF(E28&lt;1," ",(E28)/$AE$28))</f>
        <v xml:space="preserve"> </v>
      </c>
      <c r="G28" s="392"/>
      <c r="H28" s="534" t="str">
        <f>IF($AE$28&lt;1," ",IF(G28&lt;1," ",(G28)/$AE$28))</f>
        <v xml:space="preserve"> </v>
      </c>
      <c r="I28" s="392"/>
      <c r="J28" s="534" t="str">
        <f>IF($AE$28&lt;1," ",IF(I28&lt;1," ",(I28)/$AE$28))</f>
        <v xml:space="preserve"> </v>
      </c>
      <c r="K28" s="392"/>
      <c r="L28" s="534" t="str">
        <f>IF($AE$28&lt;1," ",IF(K28&lt;1," ",(K28)/$AE$28))</f>
        <v xml:space="preserve"> </v>
      </c>
      <c r="M28" s="392"/>
      <c r="N28" s="341" t="str">
        <f>IF($AE$28&lt;1," ",IF(M28&lt;1," ",(M28)/$AE$28))</f>
        <v xml:space="preserve"> </v>
      </c>
      <c r="O28" s="392"/>
      <c r="P28" s="534" t="str">
        <f>IF($AE$28&lt;1," ",IF(O28&lt;1," ",(O28)/$AE$28))</f>
        <v xml:space="preserve"> </v>
      </c>
      <c r="Q28" s="392"/>
      <c r="R28" s="534" t="str">
        <f>IF($AE$28&lt;1," ",IF(Q28&lt;1," ",(Q28)/$AE$28))</f>
        <v xml:space="preserve"> </v>
      </c>
      <c r="S28" s="392"/>
      <c r="T28" s="341" t="str">
        <f>IF($AE$28&lt;1," ",IF(S28&lt;1," ",(S28)/$AE$28))</f>
        <v xml:space="preserve"> </v>
      </c>
      <c r="U28" s="392"/>
      <c r="V28" s="341" t="str">
        <f>IF($AE$28&lt;1," ",IF(U28&lt;1," ",(U28)/$AE$28))</f>
        <v xml:space="preserve"> </v>
      </c>
      <c r="W28" s="392"/>
      <c r="X28" s="341" t="str">
        <f>IF($AE$28&lt;1," ",IF(W28&lt;1," ",(W28)/$AE$28))</f>
        <v xml:space="preserve"> </v>
      </c>
      <c r="Y28" s="392"/>
      <c r="Z28" s="341" t="str">
        <f>IF($AE$28&lt;1," ",IF(Y28&lt;1," ",(Y28)/$AE$28))</f>
        <v xml:space="preserve"> </v>
      </c>
      <c r="AA28" s="392"/>
      <c r="AB28" s="341" t="str">
        <f>IF($AE$28&lt;1," ",IF(AA28&lt;1," ",(AA28)/$AE$28))</f>
        <v xml:space="preserve"> </v>
      </c>
      <c r="AC28" s="1565">
        <f t="shared" si="2"/>
        <v>0</v>
      </c>
      <c r="AD28" s="389">
        <f t="shared" si="3"/>
        <v>0</v>
      </c>
      <c r="AE28" s="389">
        <f>'2nd Interim-Summary MYP'!J31</f>
        <v>0</v>
      </c>
      <c r="AF28" s="389">
        <f t="shared" si="4"/>
        <v>0</v>
      </c>
      <c r="AG28" s="1203"/>
    </row>
    <row r="29" spans="1:33" ht="15.75">
      <c r="A29" s="408" t="s">
        <v>25</v>
      </c>
      <c r="B29" s="141"/>
      <c r="C29" s="279" t="s">
        <v>105</v>
      </c>
      <c r="D29" s="1068"/>
      <c r="E29" s="380"/>
      <c r="F29" s="534" t="str">
        <f>IF($AE$29&lt;1," ",IF(E29&lt;1," ",(E29)/$AE$29))</f>
        <v xml:space="preserve"> </v>
      </c>
      <c r="G29" s="392"/>
      <c r="H29" s="534" t="str">
        <f>IF($AE$29&lt;1," ",IF(G29&lt;1," ",(G29)/$AE$29))</f>
        <v xml:space="preserve"> </v>
      </c>
      <c r="I29" s="392"/>
      <c r="J29" s="534" t="str">
        <f>IF($AE$29&lt;1," ",IF(I29&lt;1," ",(I29)/$AE$29))</f>
        <v xml:space="preserve"> </v>
      </c>
      <c r="K29" s="392"/>
      <c r="L29" s="534" t="str">
        <f>IF($AE$29&lt;1," ",IF(K29&lt;1," ",(K29)/$AE$29))</f>
        <v xml:space="preserve"> </v>
      </c>
      <c r="M29" s="392"/>
      <c r="N29" s="341" t="str">
        <f>IF($AE$29&lt;1," ",IF(M29&lt;1," ",(M29)/$AE$29))</f>
        <v xml:space="preserve"> </v>
      </c>
      <c r="O29" s="392"/>
      <c r="P29" s="534" t="str">
        <f>IF($AE$29&lt;1," ",IF(O29&lt;1," ",(O29)/$AE$29))</f>
        <v xml:space="preserve"> </v>
      </c>
      <c r="Q29" s="392"/>
      <c r="R29" s="534" t="str">
        <f>IF($AE$29&lt;1," ",IF(Q29&lt;1," ",(Q29)/$AE$29))</f>
        <v xml:space="preserve"> </v>
      </c>
      <c r="S29" s="392"/>
      <c r="T29" s="341" t="str">
        <f>IF($AE$29&lt;1," ",IF(S29&lt;1," ",(S29)/$AE$29))</f>
        <v xml:space="preserve"> </v>
      </c>
      <c r="U29" s="392"/>
      <c r="V29" s="341" t="str">
        <f>IF($AE$29&lt;1," ",IF(U29&lt;1," ",(U29)/$AE$29))</f>
        <v xml:space="preserve"> </v>
      </c>
      <c r="W29" s="392"/>
      <c r="X29" s="341" t="str">
        <f>IF($AE$29&lt;1," ",IF(W29&lt;1," ",(W29)/$AE$29))</f>
        <v xml:space="preserve"> </v>
      </c>
      <c r="Y29" s="392"/>
      <c r="Z29" s="341" t="str">
        <f>IF($AE$29&lt;1," ",IF(Y29&lt;1," ",(Y29)/$AE$29))</f>
        <v xml:space="preserve"> </v>
      </c>
      <c r="AA29" s="392"/>
      <c r="AB29" s="341" t="str">
        <f>IF($AE$29&lt;1," ",IF(AA29&lt;1," ",(AA29)/$AE$29))</f>
        <v xml:space="preserve"> </v>
      </c>
      <c r="AC29" s="1565">
        <f t="shared" si="2"/>
        <v>0</v>
      </c>
      <c r="AD29" s="389">
        <f t="shared" si="3"/>
        <v>0</v>
      </c>
      <c r="AE29" s="389">
        <f>'2nd Interim-Summary MYP'!J32</f>
        <v>0</v>
      </c>
      <c r="AF29" s="389">
        <f t="shared" si="4"/>
        <v>0</v>
      </c>
      <c r="AG29" s="1203"/>
    </row>
    <row r="30" spans="1:33" ht="15.75">
      <c r="A30" s="408" t="s">
        <v>26</v>
      </c>
      <c r="B30" s="141"/>
      <c r="C30" s="279" t="s">
        <v>106</v>
      </c>
      <c r="D30" s="1068"/>
      <c r="E30" s="380"/>
      <c r="F30" s="534" t="str">
        <f>IF($AE$30&lt;1," ",IF(E30&lt;1," ",(E30)/$AE$30))</f>
        <v xml:space="preserve"> </v>
      </c>
      <c r="G30" s="392"/>
      <c r="H30" s="534" t="str">
        <f>IF($AE$30&lt;1," ",IF(G30&lt;1," ",(G30)/$AE$30))</f>
        <v xml:space="preserve"> </v>
      </c>
      <c r="I30" s="392"/>
      <c r="J30" s="534" t="str">
        <f>IF($AE$30&lt;1," ",IF(I30&lt;1," ",(I30)/$AE$30))</f>
        <v xml:space="preserve"> </v>
      </c>
      <c r="K30" s="392"/>
      <c r="L30" s="534" t="str">
        <f>IF($AE$30&lt;1," ",IF(K30&lt;1," ",(K30)/$AE$30))</f>
        <v xml:space="preserve"> </v>
      </c>
      <c r="M30" s="392"/>
      <c r="N30" s="341" t="str">
        <f>IF($AE$30&lt;1," ",IF(M30&lt;1," ",(M30)/$AE$30))</f>
        <v xml:space="preserve"> </v>
      </c>
      <c r="O30" s="392"/>
      <c r="P30" s="534" t="str">
        <f>IF($AE$30&lt;1," ",IF(O30&lt;1," ",(O30)/$AE$30))</f>
        <v xml:space="preserve"> </v>
      </c>
      <c r="Q30" s="392"/>
      <c r="R30" s="534" t="str">
        <f>IF($AE$30&lt;1," ",IF(Q30&lt;1," ",(Q30)/$AE$30))</f>
        <v xml:space="preserve"> </v>
      </c>
      <c r="S30" s="392"/>
      <c r="T30" s="341" t="str">
        <f>IF($AE$30&lt;1," ",IF(S30&lt;1," ",(S30)/$AE$30))</f>
        <v xml:space="preserve"> </v>
      </c>
      <c r="U30" s="392"/>
      <c r="V30" s="341" t="str">
        <f>IF($AE$30&lt;1," ",IF(U30&lt;1," ",(U30)/$AE$30))</f>
        <v xml:space="preserve"> </v>
      </c>
      <c r="W30" s="392"/>
      <c r="X30" s="341" t="str">
        <f>IF($AE$30&lt;1," ",IF(W30&lt;1," ",(W30)/$AE$30))</f>
        <v xml:space="preserve"> </v>
      </c>
      <c r="Y30" s="392"/>
      <c r="Z30" s="341" t="str">
        <f>IF($AE$30&lt;1," ",IF(Y30&lt;1," ",(Y30)/$AE$30))</f>
        <v xml:space="preserve"> </v>
      </c>
      <c r="AA30" s="392"/>
      <c r="AB30" s="341" t="str">
        <f>IF($AE$30&lt;1," ",IF(AA30&lt;1," ",(AA30)/$AE$30))</f>
        <v xml:space="preserve"> </v>
      </c>
      <c r="AC30" s="1565">
        <f t="shared" si="2"/>
        <v>0</v>
      </c>
      <c r="AD30" s="389">
        <f t="shared" si="3"/>
        <v>0</v>
      </c>
      <c r="AE30" s="389">
        <f>'2nd Interim-Summary MYP'!J33</f>
        <v>0</v>
      </c>
      <c r="AF30" s="389">
        <f t="shared" si="4"/>
        <v>0</v>
      </c>
      <c r="AG30" s="1203"/>
    </row>
    <row r="31" spans="1:33" ht="15.75">
      <c r="A31" s="408" t="s">
        <v>5</v>
      </c>
      <c r="B31" s="141"/>
      <c r="C31" s="279" t="s">
        <v>107</v>
      </c>
      <c r="D31" s="1068"/>
      <c r="E31" s="380"/>
      <c r="F31" s="534" t="str">
        <f>IF($AE$31&lt;1," ",IF(E31&lt;1," ",(E31)/$AE$31))</f>
        <v xml:space="preserve"> </v>
      </c>
      <c r="G31" s="392"/>
      <c r="H31" s="534" t="str">
        <f>IF($AE$31&lt;1," ",IF(G31&lt;1," ",(G31)/$AE$31))</f>
        <v xml:space="preserve"> </v>
      </c>
      <c r="I31" s="392"/>
      <c r="J31" s="534" t="str">
        <f>IF($AE$31&lt;1," ",IF(I31&lt;1," ",(I31)/$AE$31))</f>
        <v xml:space="preserve"> </v>
      </c>
      <c r="K31" s="392"/>
      <c r="L31" s="534" t="str">
        <f>IF($AE$31&lt;1," ",IF(K31&lt;1," ",(K31)/$AE$31))</f>
        <v xml:space="preserve"> </v>
      </c>
      <c r="M31" s="392"/>
      <c r="N31" s="341" t="str">
        <f>IF($AE$31&lt;1," ",IF(M31&lt;1," ",(M31)/$AE$31))</f>
        <v xml:space="preserve"> </v>
      </c>
      <c r="O31" s="392"/>
      <c r="P31" s="534" t="str">
        <f>IF($AE$31&lt;1," ",IF(O31&lt;1," ",(O31)/$AE$31))</f>
        <v xml:space="preserve"> </v>
      </c>
      <c r="Q31" s="392"/>
      <c r="R31" s="534" t="str">
        <f>IF($AE$31&lt;1," ",IF(Q31&lt;1," ",(Q31)/$AE$31))</f>
        <v xml:space="preserve"> </v>
      </c>
      <c r="S31" s="392"/>
      <c r="T31" s="341" t="str">
        <f>IF($AE$31&lt;1," ",IF(S31&lt;1," ",(S31)/$AE$31))</f>
        <v xml:space="preserve"> </v>
      </c>
      <c r="U31" s="392"/>
      <c r="V31" s="341" t="str">
        <f>IF($AE$31&lt;1," ",IF(U31&lt;1," ",(U31)/$AE$31))</f>
        <v xml:space="preserve"> </v>
      </c>
      <c r="W31" s="392"/>
      <c r="X31" s="341" t="str">
        <f>IF($AE$31&lt;1," ",IF(W31&lt;1," ",(W31)/$AE$31))</f>
        <v xml:space="preserve"> </v>
      </c>
      <c r="Y31" s="392"/>
      <c r="Z31" s="341" t="str">
        <f>IF($AE$31&lt;1," ",IF(Y31&lt;1," ",(Y31)/$AE$31))</f>
        <v xml:space="preserve"> </v>
      </c>
      <c r="AA31" s="392"/>
      <c r="AB31" s="341" t="str">
        <f>IF($AE$31&lt;1," ",IF(AA31&lt;1," ",(AA31)/$AE$31))</f>
        <v xml:space="preserve"> </v>
      </c>
      <c r="AC31" s="1565">
        <f t="shared" si="2"/>
        <v>0</v>
      </c>
      <c r="AD31" s="389">
        <f t="shared" si="3"/>
        <v>0</v>
      </c>
      <c r="AE31" s="389">
        <f>'2nd Interim-Summary MYP'!J34</f>
        <v>0</v>
      </c>
      <c r="AF31" s="389">
        <f t="shared" si="4"/>
        <v>0</v>
      </c>
      <c r="AG31" s="1203"/>
    </row>
    <row r="32" spans="1:33" ht="15.75">
      <c r="A32" s="408" t="s">
        <v>27</v>
      </c>
      <c r="B32" s="141"/>
      <c r="C32" s="279" t="s">
        <v>108</v>
      </c>
      <c r="D32" s="1068"/>
      <c r="E32" s="380"/>
      <c r="F32" s="534" t="str">
        <f>IF($AE$32&lt;1," ",IF(E32&lt;1," ",(E32)/$AE$32))</f>
        <v xml:space="preserve"> </v>
      </c>
      <c r="G32" s="392"/>
      <c r="H32" s="534" t="str">
        <f>IF($AE$32&lt;1," ",IF(G32&lt;1," ",(G32)/$AE$32))</f>
        <v xml:space="preserve"> </v>
      </c>
      <c r="I32" s="392"/>
      <c r="J32" s="534" t="str">
        <f>IF($AE$32&lt;1," ",IF(I32&lt;1," ",(I32)/$AE$32))</f>
        <v xml:space="preserve"> </v>
      </c>
      <c r="K32" s="392"/>
      <c r="L32" s="534" t="str">
        <f>IF($AE$32&lt;1," ",IF(K32&lt;1," ",(K32)/$AE$32))</f>
        <v xml:space="preserve"> </v>
      </c>
      <c r="M32" s="392"/>
      <c r="N32" s="341" t="str">
        <f>IF($AE$32&lt;1," ",IF(M32&lt;1," ",(M32)/$AE$32))</f>
        <v xml:space="preserve"> </v>
      </c>
      <c r="O32" s="392"/>
      <c r="P32" s="534" t="str">
        <f>IF($AE$32&lt;1," ",IF(O32&lt;1," ",(O32)/$AE$32))</f>
        <v xml:space="preserve"> </v>
      </c>
      <c r="Q32" s="392"/>
      <c r="R32" s="534" t="str">
        <f>IF($AE$32&lt;1," ",IF(Q32&lt;1," ",(Q32)/$AE$32))</f>
        <v xml:space="preserve"> </v>
      </c>
      <c r="S32" s="392"/>
      <c r="T32" s="341" t="str">
        <f>IF($AE$32&lt;1," ",IF(S32&lt;1," ",(S32)/$AE$32))</f>
        <v xml:space="preserve"> </v>
      </c>
      <c r="U32" s="392"/>
      <c r="V32" s="341" t="str">
        <f>IF($AE$32&lt;1," ",IF(U32&lt;1," ",(U32)/$AE$32))</f>
        <v xml:space="preserve"> </v>
      </c>
      <c r="W32" s="392"/>
      <c r="X32" s="341" t="str">
        <f>IF($AE$32&lt;1," ",IF(W32&lt;1," ",(W32)/$AE$32))</f>
        <v xml:space="preserve"> </v>
      </c>
      <c r="Y32" s="392"/>
      <c r="Z32" s="341" t="str">
        <f>IF($AE$32&lt;1," ",IF(Y32&lt;1," ",(Y32)/$AE$32))</f>
        <v xml:space="preserve"> </v>
      </c>
      <c r="AA32" s="392"/>
      <c r="AB32" s="341" t="str">
        <f>IF($AE$32&lt;1," ",IF(AA32&lt;1," ",(AA32)/$AE$32))</f>
        <v xml:space="preserve"> </v>
      </c>
      <c r="AC32" s="1565">
        <f t="shared" si="2"/>
        <v>0</v>
      </c>
      <c r="AD32" s="389">
        <f t="shared" si="3"/>
        <v>0</v>
      </c>
      <c r="AE32" s="389">
        <f>'2nd Interim-Summary MYP'!J35</f>
        <v>0</v>
      </c>
      <c r="AF32" s="389">
        <f t="shared" si="4"/>
        <v>0</v>
      </c>
      <c r="AG32" s="1203"/>
    </row>
    <row r="33" spans="1:33" ht="15.75">
      <c r="A33" s="408" t="s">
        <v>149</v>
      </c>
      <c r="B33" s="141"/>
      <c r="C33" s="279" t="s">
        <v>114</v>
      </c>
      <c r="D33" s="1068"/>
      <c r="E33" s="380"/>
      <c r="F33" s="534" t="str">
        <f>IF($AE33&lt;1," ",IF(E33&lt;1," ",(E33)/$AE33))</f>
        <v xml:space="preserve"> </v>
      </c>
      <c r="G33" s="392"/>
      <c r="H33" s="534" t="str">
        <f>IF($AE33&lt;1," ",IF(G33&lt;1," ",(G33)/$AE33))</f>
        <v xml:space="preserve"> </v>
      </c>
      <c r="I33" s="392"/>
      <c r="J33" s="534" t="str">
        <f>IF($AE33&lt;1," ",IF(I33&lt;1," ",(I33)/$AE33))</f>
        <v xml:space="preserve"> </v>
      </c>
      <c r="K33" s="392"/>
      <c r="L33" s="534" t="str">
        <f>IF($AE33&lt;1," ",IF(K33&lt;1," ",(K33)/$AE33))</f>
        <v xml:space="preserve"> </v>
      </c>
      <c r="M33" s="392"/>
      <c r="N33" s="341" t="str">
        <f>IF($AE33&lt;1," ",IF(M33&lt;1," ",(M33)/$AE33))</f>
        <v xml:space="preserve"> </v>
      </c>
      <c r="O33" s="392"/>
      <c r="P33" s="534" t="str">
        <f>IF($AE33&lt;1," ",IF(O33&lt;1," ",(O33)/$AE33))</f>
        <v xml:space="preserve"> </v>
      </c>
      <c r="Q33" s="392"/>
      <c r="R33" s="534" t="str">
        <f>IF($AE33&lt;1," ",IF(Q33&lt;1," ",(Q33)/$AE33))</f>
        <v xml:space="preserve"> </v>
      </c>
      <c r="S33" s="392"/>
      <c r="T33" s="341" t="str">
        <f>IF($AE33&lt;1," ",IF(S33&lt;1," ",(S33)/$AE33))</f>
        <v xml:space="preserve"> </v>
      </c>
      <c r="U33" s="392"/>
      <c r="V33" s="341" t="str">
        <f>IF($AE33&lt;1," ",IF(U33&lt;1," ",(U33)/$AE33))</f>
        <v xml:space="preserve"> </v>
      </c>
      <c r="W33" s="392"/>
      <c r="X33" s="341" t="str">
        <f>IF($AE33&lt;1," ",IF(W33&lt;1," ",(W33)/$AE33))</f>
        <v xml:space="preserve"> </v>
      </c>
      <c r="Y33" s="392"/>
      <c r="Z33" s="341" t="str">
        <f>IF($AE33&lt;1," ",IF(Y33&lt;1," ",(Y33)/$AE33))</f>
        <v xml:space="preserve"> </v>
      </c>
      <c r="AA33" s="392"/>
      <c r="AB33" s="341" t="str">
        <f>IF($AE33&lt;1," ",IF(AA33&lt;1," ",(AA33)/$AE33))</f>
        <v xml:space="preserve"> </v>
      </c>
      <c r="AC33" s="1565">
        <f t="shared" si="2"/>
        <v>0</v>
      </c>
      <c r="AD33" s="389">
        <f t="shared" si="3"/>
        <v>0</v>
      </c>
      <c r="AE33" s="389">
        <f>'2nd Interim-Summary MYP'!J36</f>
        <v>0</v>
      </c>
      <c r="AF33" s="389">
        <f t="shared" si="4"/>
        <v>0</v>
      </c>
      <c r="AG33" s="1203"/>
    </row>
    <row r="34" spans="1:33" ht="16.5" thickBot="1">
      <c r="A34" s="410" t="s">
        <v>28</v>
      </c>
      <c r="B34" s="384"/>
      <c r="C34" s="385"/>
      <c r="D34" s="1073"/>
      <c r="E34" s="775">
        <f>+SUM(E26:E33)</f>
        <v>0</v>
      </c>
      <c r="F34" s="535" t="str">
        <f>IF($AE34&lt;1," ",IF(E34&lt;1," ",(E34)/$AE34))</f>
        <v xml:space="preserve"> </v>
      </c>
      <c r="G34" s="774">
        <f>+SUM(G26:G33)</f>
        <v>0</v>
      </c>
      <c r="H34" s="535" t="str">
        <f>IF($AE34&lt;1," ",IF(G34&lt;1," ",(G34)/$AE34))</f>
        <v xml:space="preserve"> </v>
      </c>
      <c r="I34" s="774">
        <f>+SUM(I26:I33)</f>
        <v>0</v>
      </c>
      <c r="J34" s="535" t="str">
        <f>IF($AE34&lt;1," ",IF(I34&lt;1," ",(I34)/$AE34))</f>
        <v xml:space="preserve"> </v>
      </c>
      <c r="K34" s="774">
        <f>+SUM(K26:K33)</f>
        <v>0</v>
      </c>
      <c r="L34" s="535" t="str">
        <f>IF($AE34&lt;1," ",IF(K34&lt;1," ",(K34)/$AE34))</f>
        <v xml:space="preserve"> </v>
      </c>
      <c r="M34" s="774">
        <f>+SUM(M26:M33)</f>
        <v>0</v>
      </c>
      <c r="N34" s="390" t="str">
        <f>IF($AE34&lt;1," ",IF(M34&lt;1," ",(M34)/$AE34))</f>
        <v xml:space="preserve"> </v>
      </c>
      <c r="O34" s="774">
        <f>+SUM(O26:O33)</f>
        <v>0</v>
      </c>
      <c r="P34" s="535" t="str">
        <f>IF($AE34&lt;1," ",IF(O34&lt;1," ",(O34)/$AE34))</f>
        <v xml:space="preserve"> </v>
      </c>
      <c r="Q34" s="774">
        <f>+SUM(Q26:Q33)</f>
        <v>0</v>
      </c>
      <c r="R34" s="535" t="str">
        <f>IF($AE34&lt;1," ",IF(Q34&lt;1," ",(Q34)/$AE34))</f>
        <v xml:space="preserve"> </v>
      </c>
      <c r="S34" s="774">
        <f>+SUM(S26:S33)</f>
        <v>0</v>
      </c>
      <c r="T34" s="390" t="str">
        <f>IF($AE34&lt;1," ",IF(S34&lt;1," ",(S34)/$AE34))</f>
        <v xml:space="preserve"> </v>
      </c>
      <c r="U34" s="774">
        <f>+SUM(U26:U33)</f>
        <v>0</v>
      </c>
      <c r="V34" s="390" t="str">
        <f>IF($AE34&lt;1," ",IF(U34&lt;1," ",(U34)/$AE34))</f>
        <v xml:space="preserve"> </v>
      </c>
      <c r="W34" s="774">
        <f>+SUM(W26:W33)</f>
        <v>0</v>
      </c>
      <c r="X34" s="390" t="str">
        <f>IF($AE34&lt;1," ",IF(W34&lt;1," ",(W34)/$AE34))</f>
        <v xml:space="preserve"> </v>
      </c>
      <c r="Y34" s="774">
        <f>+SUM(Y26:Y33)</f>
        <v>0</v>
      </c>
      <c r="Z34" s="390" t="str">
        <f>IF($AE34&lt;1," ",IF(Y34&lt;1," ",(Y34)/$AE34))</f>
        <v xml:space="preserve"> </v>
      </c>
      <c r="AA34" s="774">
        <f>+SUM(AA26:AA33)</f>
        <v>0</v>
      </c>
      <c r="AB34" s="390" t="str">
        <f>IF($AE34&lt;1," ",IF(AA34&lt;1," ",(AA34)/$AE34))</f>
        <v xml:space="preserve"> </v>
      </c>
      <c r="AC34" s="1564">
        <f>+SUM(AC26:AC33)</f>
        <v>0</v>
      </c>
      <c r="AD34" s="776">
        <f>+SUM(AD26:AD33)</f>
        <v>0</v>
      </c>
      <c r="AE34" s="776">
        <f>+SUM(AE26:AE33)</f>
        <v>0</v>
      </c>
      <c r="AF34" s="776">
        <f>+SUM(AF26:AF33)</f>
        <v>0</v>
      </c>
      <c r="AG34" s="1203"/>
    </row>
    <row r="35" spans="1:33" ht="15.75">
      <c r="A35" s="411"/>
      <c r="B35" s="373"/>
      <c r="C35" s="72"/>
      <c r="D35" s="530"/>
      <c r="E35" s="76"/>
      <c r="F35" s="197"/>
      <c r="G35" s="76"/>
      <c r="H35" s="197"/>
      <c r="I35" s="76"/>
      <c r="J35" s="197"/>
      <c r="K35" s="76"/>
      <c r="L35" s="1061"/>
      <c r="M35" s="1062"/>
      <c r="N35" s="197"/>
      <c r="O35" s="76"/>
      <c r="P35" s="197"/>
      <c r="Q35" s="76"/>
      <c r="R35" s="1061"/>
      <c r="S35" s="1062"/>
      <c r="T35" s="197"/>
      <c r="U35" s="76"/>
      <c r="V35" s="197"/>
      <c r="W35" s="76"/>
      <c r="X35" s="197"/>
      <c r="Y35" s="76"/>
      <c r="Z35" s="197"/>
      <c r="AA35" s="76"/>
      <c r="AB35" s="197"/>
      <c r="AC35" s="1024"/>
      <c r="AD35" s="1024"/>
      <c r="AE35" s="1024"/>
      <c r="AF35" s="1040"/>
      <c r="AG35" s="1203"/>
    </row>
    <row r="36" spans="1:33" ht="15.75">
      <c r="A36" s="67" t="s">
        <v>109</v>
      </c>
      <c r="B36" s="181"/>
      <c r="C36" s="375"/>
      <c r="D36" s="1071"/>
      <c r="E36" s="526"/>
      <c r="F36" s="484"/>
      <c r="G36" s="526"/>
      <c r="H36" s="484"/>
      <c r="I36" s="526"/>
      <c r="J36" s="484"/>
      <c r="K36" s="526"/>
      <c r="L36" s="1059"/>
      <c r="M36" s="1063"/>
      <c r="N36" s="484"/>
      <c r="O36" s="526"/>
      <c r="P36" s="484"/>
      <c r="Q36" s="526"/>
      <c r="R36" s="1059"/>
      <c r="S36" s="1063"/>
      <c r="T36" s="484"/>
      <c r="U36" s="526"/>
      <c r="V36" s="484"/>
      <c r="W36" s="526"/>
      <c r="X36" s="484"/>
      <c r="Y36" s="526"/>
      <c r="Z36" s="484"/>
      <c r="AA36" s="526"/>
      <c r="AB36" s="484"/>
      <c r="AC36" s="1028"/>
      <c r="AD36" s="1028"/>
      <c r="AE36" s="1028"/>
      <c r="AF36" s="1036"/>
      <c r="AG36" s="1203"/>
    </row>
    <row r="37" spans="1:33" ht="15.75">
      <c r="A37" s="408" t="s">
        <v>127</v>
      </c>
      <c r="B37" s="141"/>
      <c r="C37" s="279">
        <v>8900</v>
      </c>
      <c r="D37" s="1074"/>
      <c r="E37" s="380"/>
      <c r="F37" s="534" t="str">
        <f>IF($AE37&lt;1," ",IF(E37&lt;1," ",(E37)/$AE37))</f>
        <v xml:space="preserve"> </v>
      </c>
      <c r="G37" s="392"/>
      <c r="H37" s="534" t="str">
        <f>IF($AE37&lt;1," ",IF(G37&lt;1," ",(G37)/$AE37))</f>
        <v xml:space="preserve"> </v>
      </c>
      <c r="I37" s="392"/>
      <c r="J37" s="534" t="str">
        <f>IF($AE37&lt;1," ",IF(I37&lt;1," ",(I37)/$AE37))</f>
        <v xml:space="preserve"> </v>
      </c>
      <c r="K37" s="392"/>
      <c r="L37" s="534" t="str">
        <f>IF($AE37&lt;1," ",IF(K37&lt;1," ",(K37)/$AE37))</f>
        <v xml:space="preserve"> </v>
      </c>
      <c r="M37" s="392"/>
      <c r="N37" s="341" t="str">
        <f>IF($AE37&lt;1," ",IF(M37&lt;1," ",(M37)/$AE37))</f>
        <v xml:space="preserve"> </v>
      </c>
      <c r="O37" s="392"/>
      <c r="P37" s="341" t="str">
        <f>IF($AE37&lt;1," ",IF(O37&lt;1," ",(O37)/$AE37))</f>
        <v xml:space="preserve"> </v>
      </c>
      <c r="Q37" s="392"/>
      <c r="R37" s="534" t="str">
        <f>IF($AE37&lt;1," ",IF(Q37&lt;1," ",(Q37)/$AE37))</f>
        <v xml:space="preserve"> </v>
      </c>
      <c r="S37" s="392"/>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565">
        <f>AE37-(E37+G37+I37+K37+M37+O37+Q37+S37+U37+W37+Y37+AA37)</f>
        <v>0</v>
      </c>
      <c r="AD37" s="389">
        <f>+E37+G37+I37+K37+M37+O37+Q37+S37+U37+W37+Y37+AA37+AC37</f>
        <v>0</v>
      </c>
      <c r="AE37" s="389">
        <f>'2nd Interim-Summary MYP'!J42</f>
        <v>0</v>
      </c>
      <c r="AF37" s="389">
        <f>+AE37-AD37</f>
        <v>0</v>
      </c>
      <c r="AG37" s="1203"/>
    </row>
    <row r="38" spans="1:33" ht="15.75">
      <c r="A38" s="408" t="s">
        <v>30</v>
      </c>
      <c r="B38" s="141"/>
      <c r="C38" s="279">
        <v>7600</v>
      </c>
      <c r="D38" s="1074"/>
      <c r="E38" s="380"/>
      <c r="F38" s="534" t="str">
        <f>IF($AE38&lt;1," ",IF(E38&lt;1," ",(E38)/$AE38))</f>
        <v xml:space="preserve"> </v>
      </c>
      <c r="G38" s="392"/>
      <c r="H38" s="534" t="str">
        <f>IF($AE38&lt;1," ",IF(G38&lt;1," ",(G38)/$AE38))</f>
        <v xml:space="preserve"> </v>
      </c>
      <c r="I38" s="392"/>
      <c r="J38" s="534" t="str">
        <f>IF($AE38&lt;1," ",IF(I38&lt;1," ",(I38)/$AE38))</f>
        <v xml:space="preserve"> </v>
      </c>
      <c r="K38" s="392"/>
      <c r="L38" s="534" t="str">
        <f>IF($AE38&lt;1," ",IF(K38&lt;1," ",(K38)/$AE38))</f>
        <v xml:space="preserve"> </v>
      </c>
      <c r="M38" s="392"/>
      <c r="N38" s="341" t="str">
        <f>IF($AE38&lt;1," ",IF(M38&lt;1," ",(M38)/$AE38))</f>
        <v xml:space="preserve"> </v>
      </c>
      <c r="O38" s="392"/>
      <c r="P38" s="341" t="str">
        <f>IF($AE38&lt;1," ",IF(O38&lt;1," ",(O38)/$AE38))</f>
        <v xml:space="preserve"> </v>
      </c>
      <c r="Q38" s="392"/>
      <c r="R38" s="534" t="str">
        <f>IF($AE38&lt;1," ",IF(Q38&lt;1," ",(Q38)/$AE38))</f>
        <v xml:space="preserve"> </v>
      </c>
      <c r="S38" s="392"/>
      <c r="T38" s="341" t="str">
        <f>IF($AE38&lt;1," ",IF(S38&lt;1," ",(S38)/$AE38))</f>
        <v xml:space="preserve"> </v>
      </c>
      <c r="U38" s="392"/>
      <c r="V38" s="341" t="str">
        <f>IF($AE38&lt;1," ",IF(U38&lt;1," ",(U38)/$AE38))</f>
        <v xml:space="preserve"> </v>
      </c>
      <c r="W38" s="392"/>
      <c r="X38" s="341" t="str">
        <f>IF($AE38&lt;1," ",IF(W38&lt;1," ",(W38)/$AE38))</f>
        <v xml:space="preserve"> </v>
      </c>
      <c r="Y38" s="392"/>
      <c r="Z38" s="341" t="str">
        <f>IF($AE38&lt;1," ",IF(Y38&lt;1," ",(Y38)/$AE38))</f>
        <v xml:space="preserve"> </v>
      </c>
      <c r="AA38" s="392"/>
      <c r="AB38" s="341" t="str">
        <f>IF($AE38&lt;1," ",IF(AA38&lt;1," ",(AA38)/$AE38))</f>
        <v xml:space="preserve"> </v>
      </c>
      <c r="AC38" s="1565">
        <f>AE38-(E38+G38+I38+K38+M38+O38+Q38+S38+U38+W38+Y38+AA38)</f>
        <v>0</v>
      </c>
      <c r="AD38" s="389">
        <f>+E38+G38+I38+K38+M38+O38+Q38+S38+U38+W38+Y38+AA38+AC38</f>
        <v>0</v>
      </c>
      <c r="AE38" s="389">
        <f>'2nd Interim-Summary MYP'!J43</f>
        <v>0</v>
      </c>
      <c r="AF38" s="389">
        <f>+AE38-AD38</f>
        <v>0</v>
      </c>
      <c r="AG38" s="1203"/>
    </row>
    <row r="39" spans="1:33" ht="16.5" thickBot="1">
      <c r="A39" s="412" t="s">
        <v>31</v>
      </c>
      <c r="B39" s="384"/>
      <c r="C39" s="385"/>
      <c r="D39" s="1073"/>
      <c r="E39" s="775"/>
      <c r="F39" s="535" t="str">
        <f>IF($AE39&lt;1," ",IF(E39&lt;1," ",(E39)/$AE39))</f>
        <v xml:space="preserve"> </v>
      </c>
      <c r="G39" s="774">
        <f>+G37-G38</f>
        <v>0</v>
      </c>
      <c r="H39" s="535" t="str">
        <f>IF($AE39&lt;1," ",IF(G39&lt;1," ",(G39)/$AE39))</f>
        <v xml:space="preserve"> </v>
      </c>
      <c r="I39" s="774">
        <f>+I37-I38</f>
        <v>0</v>
      </c>
      <c r="J39" s="535" t="str">
        <f>IF($AE39&lt;1," ",IF(I39&lt;1," ",(I39)/$AE39))</f>
        <v xml:space="preserve"> </v>
      </c>
      <c r="K39" s="774">
        <f>+K37-K38</f>
        <v>0</v>
      </c>
      <c r="L39" s="535" t="str">
        <f>IF($AE39&lt;1," ",IF(K39&lt;1," ",(K39)/$AE39))</f>
        <v xml:space="preserve"> </v>
      </c>
      <c r="M39" s="774">
        <f>+M37-M38</f>
        <v>0</v>
      </c>
      <c r="N39" s="390" t="str">
        <f>IF($AE39&lt;1," ",IF(M39&lt;1," ",(M39)/$AE39))</f>
        <v xml:space="preserve"> </v>
      </c>
      <c r="O39" s="774">
        <f>+O37-O38</f>
        <v>0</v>
      </c>
      <c r="P39" s="390" t="str">
        <f>IF($AE39&lt;1," ",IF(O39&lt;1," ",(O39)/$AE39))</f>
        <v xml:space="preserve"> </v>
      </c>
      <c r="Q39" s="774">
        <f>+Q37-Q38</f>
        <v>0</v>
      </c>
      <c r="R39" s="535" t="str">
        <f>IF($AE39&lt;1," ",IF(Q39&lt;1," ",(Q39)/$AE39))</f>
        <v xml:space="preserve"> </v>
      </c>
      <c r="S39" s="774">
        <f>+S37-S38</f>
        <v>0</v>
      </c>
      <c r="T39" s="390" t="str">
        <f>IF($AE39&lt;1," ",IF(S39&lt;1," ",(S39)/$AE39))</f>
        <v xml:space="preserve"> </v>
      </c>
      <c r="U39" s="774">
        <f>+U37-U38</f>
        <v>0</v>
      </c>
      <c r="V39" s="390" t="str">
        <f>IF($AE39&lt;1," ",IF(U39&lt;1," ",(U39)/$AE39))</f>
        <v xml:space="preserve"> </v>
      </c>
      <c r="W39" s="774">
        <f>+W37-W38</f>
        <v>0</v>
      </c>
      <c r="X39" s="390" t="str">
        <f>IF($AE39&lt;1," ",IF(W39&lt;1," ",(W39)/$AE39))</f>
        <v xml:space="preserve"> </v>
      </c>
      <c r="Y39" s="774">
        <f>+Y37-Y38</f>
        <v>0</v>
      </c>
      <c r="Z39" s="390" t="str">
        <f>IF($AE39&lt;1," ",IF(Y39&lt;1," ",(Y39)/$AE39))</f>
        <v xml:space="preserve"> </v>
      </c>
      <c r="AA39" s="774">
        <f>+AA37-AA38</f>
        <v>0</v>
      </c>
      <c r="AB39" s="390" t="str">
        <f>IF($AE39&lt;1," ",IF(AA39&lt;1," ",(AA39)/$AE39))</f>
        <v xml:space="preserve"> </v>
      </c>
      <c r="AC39" s="1564">
        <f>+AC37-AC38</f>
        <v>0</v>
      </c>
      <c r="AD39" s="776">
        <f>+AD37-AD38</f>
        <v>0</v>
      </c>
      <c r="AE39" s="776">
        <f>+AE37-AE38</f>
        <v>0</v>
      </c>
      <c r="AF39" s="776">
        <f>+AF37-AF38</f>
        <v>0</v>
      </c>
      <c r="AG39" s="1203"/>
    </row>
    <row r="40" spans="1:33" ht="15.75" customHeight="1">
      <c r="A40" s="411"/>
      <c r="B40" s="183"/>
      <c r="C40" s="23"/>
      <c r="D40" s="1883" t="s">
        <v>213</v>
      </c>
      <c r="E40" s="1048"/>
      <c r="F40" s="538" t="s">
        <v>82</v>
      </c>
      <c r="G40" s="395"/>
      <c r="H40" s="538" t="s">
        <v>82</v>
      </c>
      <c r="I40" s="395"/>
      <c r="J40" s="538" t="s">
        <v>82</v>
      </c>
      <c r="K40" s="395"/>
      <c r="L40" s="538" t="s">
        <v>82</v>
      </c>
      <c r="M40" s="395"/>
      <c r="N40" s="1051" t="s">
        <v>82</v>
      </c>
      <c r="O40" s="395"/>
      <c r="P40" s="199" t="s">
        <v>82</v>
      </c>
      <c r="Q40" s="395"/>
      <c r="R40" s="537" t="s">
        <v>82</v>
      </c>
      <c r="S40" s="395"/>
      <c r="T40" s="199" t="s">
        <v>82</v>
      </c>
      <c r="U40" s="395"/>
      <c r="V40" s="199" t="s">
        <v>82</v>
      </c>
      <c r="W40" s="395"/>
      <c r="X40" s="199" t="s">
        <v>82</v>
      </c>
      <c r="Y40" s="395"/>
      <c r="Z40" s="199" t="s">
        <v>82</v>
      </c>
      <c r="AA40" s="395"/>
      <c r="AB40" s="199" t="s">
        <v>82</v>
      </c>
      <c r="AC40" s="1566"/>
      <c r="AD40" s="1035"/>
      <c r="AE40" s="1823" t="s">
        <v>214</v>
      </c>
      <c r="AF40" s="1041"/>
    </row>
    <row r="41" spans="1:33" ht="15.75">
      <c r="A41" s="67" t="s">
        <v>110</v>
      </c>
      <c r="B41" s="181"/>
      <c r="C41" s="23"/>
      <c r="D41" s="1884"/>
      <c r="E41" s="1048"/>
      <c r="F41" s="538" t="s">
        <v>230</v>
      </c>
      <c r="G41" s="395"/>
      <c r="H41" s="538" t="s">
        <v>230</v>
      </c>
      <c r="I41" s="395"/>
      <c r="J41" s="538" t="s">
        <v>230</v>
      </c>
      <c r="K41" s="395"/>
      <c r="L41" s="538" t="s">
        <v>230</v>
      </c>
      <c r="M41" s="395"/>
      <c r="N41" s="1051" t="s">
        <v>230</v>
      </c>
      <c r="O41" s="395"/>
      <c r="P41" s="199" t="s">
        <v>230</v>
      </c>
      <c r="Q41" s="395"/>
      <c r="R41" s="538" t="s">
        <v>230</v>
      </c>
      <c r="S41" s="395"/>
      <c r="T41" s="199" t="s">
        <v>230</v>
      </c>
      <c r="U41" s="395"/>
      <c r="V41" s="199" t="s">
        <v>230</v>
      </c>
      <c r="W41" s="395"/>
      <c r="X41" s="199" t="s">
        <v>230</v>
      </c>
      <c r="Y41" s="395"/>
      <c r="Z41" s="199" t="s">
        <v>230</v>
      </c>
      <c r="AA41" s="395"/>
      <c r="AB41" s="199" t="s">
        <v>230</v>
      </c>
      <c r="AC41" s="1566"/>
      <c r="AD41" s="1035"/>
      <c r="AE41" s="1823"/>
      <c r="AF41" s="777"/>
    </row>
    <row r="42" spans="1:33" ht="15.75">
      <c r="A42" s="69"/>
      <c r="B42" s="183"/>
      <c r="C42" s="23"/>
      <c r="D42" s="1884"/>
      <c r="E42" s="1048"/>
      <c r="F42" s="539"/>
      <c r="G42" s="395"/>
      <c r="H42" s="539"/>
      <c r="I42" s="395"/>
      <c r="J42" s="539"/>
      <c r="K42" s="395"/>
      <c r="L42" s="539"/>
      <c r="M42" s="395"/>
      <c r="N42" s="1052"/>
      <c r="O42" s="395"/>
      <c r="P42" s="195"/>
      <c r="Q42" s="395"/>
      <c r="R42" s="539"/>
      <c r="S42" s="395"/>
      <c r="T42" s="195"/>
      <c r="U42" s="395"/>
      <c r="V42" s="195"/>
      <c r="W42" s="395"/>
      <c r="X42" s="195"/>
      <c r="Y42" s="395"/>
      <c r="Z42" s="195"/>
      <c r="AA42" s="395"/>
      <c r="AB42" s="195"/>
      <c r="AC42" s="1566"/>
      <c r="AD42" s="1035"/>
      <c r="AE42" s="1823"/>
      <c r="AF42" s="777"/>
    </row>
    <row r="43" spans="1:33" ht="15.75" customHeight="1">
      <c r="A43" s="413" t="s">
        <v>330</v>
      </c>
      <c r="B43" s="398"/>
      <c r="C43" s="626">
        <v>9210</v>
      </c>
      <c r="D43" s="1075"/>
      <c r="E43" s="514"/>
      <c r="F43" s="534" t="str">
        <f>IF($D43&lt;1," ",IF(E43&lt;1," ",(E43)/$D43))</f>
        <v xml:space="preserve"> </v>
      </c>
      <c r="G43" s="400"/>
      <c r="H43" s="534" t="str">
        <f>IF($D43&lt;1," ",IF(G43&lt;1," ",(G43)/$D43))</f>
        <v xml:space="preserve"> </v>
      </c>
      <c r="I43" s="400"/>
      <c r="J43" s="534" t="str">
        <f>IF($D43&lt;1," ",IF(I43&lt;1," ",(I43)/$D43))</f>
        <v xml:space="preserve"> </v>
      </c>
      <c r="K43" s="400"/>
      <c r="L43" s="534" t="str">
        <f>IF($D43&lt;1," ",IF(K43&lt;1," ",(K43)/$D43))</f>
        <v xml:space="preserve"> </v>
      </c>
      <c r="M43" s="400"/>
      <c r="N43" s="341" t="str">
        <f>IF($D43&lt;1," ",IF(M43&lt;1," ",(M43)/$D43))</f>
        <v xml:space="preserve"> </v>
      </c>
      <c r="O43" s="400"/>
      <c r="P43" s="341" t="str">
        <f>IF($D43&lt;1," ",IF(O43&lt;1," ",(O43)/$D43))</f>
        <v xml:space="preserve"> </v>
      </c>
      <c r="Q43" s="400"/>
      <c r="R43" s="534" t="str">
        <f>IF($D43&lt;1," ",IF(Q43&lt;1," ",(Q43)/$D43))</f>
        <v xml:space="preserve"> </v>
      </c>
      <c r="S43" s="400"/>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567"/>
      <c r="AD43" s="1570">
        <f>+E43+G43+I43+K43+M43+O43+Q43+S43+U43+W43+Y43+AA43</f>
        <v>0</v>
      </c>
      <c r="AE43" s="401">
        <f>D43-AD43</f>
        <v>0</v>
      </c>
      <c r="AF43" s="777"/>
      <c r="AG43" s="1571" t="str">
        <f>IF(AD43=D43,"","Prior Year Transactions should be zero'd out by Year End")</f>
        <v/>
      </c>
    </row>
    <row r="44" spans="1:33" ht="15.75">
      <c r="A44" s="413" t="s">
        <v>11</v>
      </c>
      <c r="B44" s="398"/>
      <c r="C44" s="626">
        <v>9330</v>
      </c>
      <c r="D44" s="1075"/>
      <c r="E44" s="514"/>
      <c r="F44" s="534" t="str">
        <f>IF($D44&lt;1," ",IF(E44&lt;1," ",(E44)/$D44))</f>
        <v xml:space="preserve"> </v>
      </c>
      <c r="G44" s="400"/>
      <c r="H44" s="534" t="str">
        <f>IF($D44&lt;1," ",IF(G44&lt;1," ",(G44)/$D44))</f>
        <v xml:space="preserve"> </v>
      </c>
      <c r="I44" s="400"/>
      <c r="J44" s="534" t="str">
        <f>IF($D44&lt;1," ",IF(I44&lt;1," ",(I44)/$D44))</f>
        <v xml:space="preserve"> </v>
      </c>
      <c r="K44" s="400"/>
      <c r="L44" s="534" t="str">
        <f>IF($D44&lt;1," ",IF(K44&lt;1," ",(K44)/$D44))</f>
        <v xml:space="preserve"> </v>
      </c>
      <c r="M44" s="400"/>
      <c r="N44" s="341" t="str">
        <f>IF($D44&lt;1," ",IF(M44&lt;1," ",(M44)/$D44))</f>
        <v xml:space="preserve"> </v>
      </c>
      <c r="O44" s="400"/>
      <c r="P44" s="341" t="str">
        <f>IF($D44&lt;1," ",IF(O44&lt;1," ",(O44)/$D44))</f>
        <v xml:space="preserve"> </v>
      </c>
      <c r="Q44" s="400"/>
      <c r="R44" s="534" t="str">
        <f>IF($D44&lt;1," ",IF(Q44&lt;1," ",(Q44)/$D44))</f>
        <v xml:space="preserve"> </v>
      </c>
      <c r="S44" s="400"/>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567"/>
      <c r="AD44" s="1570">
        <f>+E44+G44+I44+K44+M44+O44+Q44+S44+U44+W44+Y44+AA44</f>
        <v>0</v>
      </c>
      <c r="AE44" s="401">
        <f>D44-AD44</f>
        <v>0</v>
      </c>
      <c r="AF44" s="777"/>
      <c r="AG44" s="1571" t="str">
        <f>IF(AD44=D44,"","Prior Year Transactions should be zero'd out by Year End")</f>
        <v/>
      </c>
    </row>
    <row r="45" spans="1:33" ht="15.75">
      <c r="A45" s="413" t="s">
        <v>499</v>
      </c>
      <c r="B45" s="398"/>
      <c r="C45" s="626">
        <v>9510</v>
      </c>
      <c r="D45" s="1075"/>
      <c r="E45" s="514"/>
      <c r="F45" s="534" t="str">
        <f>IF($D45&lt;1," ",IF(E45&lt;1," ",(E45)/$D45))</f>
        <v xml:space="preserve"> </v>
      </c>
      <c r="G45" s="400"/>
      <c r="H45" s="534" t="str">
        <f>IF($D45&lt;1," ",IF(G45&lt;1," ",(G45)/$D45))</f>
        <v xml:space="preserve"> </v>
      </c>
      <c r="I45" s="400"/>
      <c r="J45" s="534" t="str">
        <f>IF($D45&lt;1," ",IF(I45&lt;1," ",(I45)/$D45))</f>
        <v xml:space="preserve"> </v>
      </c>
      <c r="K45" s="400"/>
      <c r="L45" s="534" t="str">
        <f>IF($D45&lt;1," ",IF(K45&lt;1," ",(K45)/$D45))</f>
        <v xml:space="preserve"> </v>
      </c>
      <c r="M45" s="400"/>
      <c r="N45" s="341" t="str">
        <f>IF($D45&lt;1," ",IF(M45&lt;1," ",(M45)/$D45))</f>
        <v xml:space="preserve"> </v>
      </c>
      <c r="O45" s="400"/>
      <c r="P45" s="341" t="str">
        <f>IF($D45&lt;1," ",IF(O45&lt;1," ",(O45)/$D45))</f>
        <v xml:space="preserve"> </v>
      </c>
      <c r="Q45" s="400"/>
      <c r="R45" s="534" t="str">
        <f>IF($D45&lt;1," ",IF(Q45&lt;1," ",(Q45)/$D45))</f>
        <v xml:space="preserve"> </v>
      </c>
      <c r="S45" s="400"/>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567"/>
      <c r="AD45" s="1570">
        <f>+E45+G45+I45+K45+M45+O45+Q45+S45+U45+W45+Y45+AA45</f>
        <v>0</v>
      </c>
      <c r="AE45" s="401">
        <f>D45-AD45</f>
        <v>0</v>
      </c>
      <c r="AF45" s="777"/>
      <c r="AG45" s="1571" t="str">
        <f>IF(AD45=D45,"","Prior Year Transactions should be zero'd out by Year End")</f>
        <v/>
      </c>
    </row>
    <row r="46" spans="1:33" ht="15.75">
      <c r="A46" s="413" t="s">
        <v>500</v>
      </c>
      <c r="B46" s="398"/>
      <c r="C46" s="627">
        <v>9640</v>
      </c>
      <c r="D46" s="1076"/>
      <c r="E46" s="514"/>
      <c r="F46" s="534" t="str">
        <f>IF($D46&lt;1," ",IF(E46&lt;1," ",(E46)/$D46))</f>
        <v xml:space="preserve"> </v>
      </c>
      <c r="G46" s="400"/>
      <c r="H46" s="534" t="str">
        <f>IF($D46&lt;1," ",IF(G46&lt;1," ",(G46)/$D46))</f>
        <v xml:space="preserve"> </v>
      </c>
      <c r="I46" s="400"/>
      <c r="J46" s="534" t="str">
        <f>IF($D46&lt;1," ",IF(I46&lt;1," ",(I46)/$D46))</f>
        <v xml:space="preserve"> </v>
      </c>
      <c r="K46" s="400"/>
      <c r="L46" s="534" t="str">
        <f>IF($D46&lt;1," ",IF(K46&lt;1," ",(K46)/$D46))</f>
        <v xml:space="preserve"> </v>
      </c>
      <c r="M46" s="400"/>
      <c r="N46" s="341" t="str">
        <f>IF($D46&lt;1," ",IF(M46&lt;1," ",(M46)/$D46))</f>
        <v xml:space="preserve"> </v>
      </c>
      <c r="O46" s="400"/>
      <c r="P46" s="341" t="str">
        <f>IF($D46&lt;1," ",IF(O46&lt;1," ",(O46)/$D46))</f>
        <v xml:space="preserve"> </v>
      </c>
      <c r="Q46" s="400"/>
      <c r="R46" s="534" t="str">
        <f>IF($D46&lt;1," ",IF(Q46&lt;1," ",(Q46)/$D46))</f>
        <v xml:space="preserve"> </v>
      </c>
      <c r="S46" s="400"/>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567"/>
      <c r="AD46" s="1570">
        <f>+E46+G46+I46+K46+M46+O46+Q46+S46+U46+W46+Y46+AA46</f>
        <v>0</v>
      </c>
      <c r="AE46" s="401">
        <f>D46-AD46</f>
        <v>0</v>
      </c>
      <c r="AF46" s="777"/>
      <c r="AG46" s="1571" t="str">
        <f>IF(AD46=D46,"","Prior Year Transactions should be zero'd out by Year End")</f>
        <v/>
      </c>
    </row>
    <row r="47" spans="1:33" ht="15.75">
      <c r="A47" s="413" t="s">
        <v>501</v>
      </c>
      <c r="B47" s="398"/>
      <c r="C47" s="626">
        <v>9650</v>
      </c>
      <c r="D47" s="1075"/>
      <c r="E47" s="514"/>
      <c r="F47" s="534" t="str">
        <f>IF($D47&lt;1," ",IF(E47&lt;1," ",(E47)/$D47))</f>
        <v xml:space="preserve"> </v>
      </c>
      <c r="G47" s="400"/>
      <c r="H47" s="534" t="str">
        <f>IF($D47&lt;1," ",IF(G47&lt;1," ",(G47)/$D47))</f>
        <v xml:space="preserve"> </v>
      </c>
      <c r="I47" s="400"/>
      <c r="J47" s="534" t="str">
        <f>IF($D47&lt;1," ",IF(I47&lt;1," ",(I47)/$D47))</f>
        <v xml:space="preserve"> </v>
      </c>
      <c r="K47" s="400"/>
      <c r="L47" s="534" t="str">
        <f>IF($D47&lt;1," ",IF(K47&lt;1," ",(K47)/$D47))</f>
        <v xml:space="preserve"> </v>
      </c>
      <c r="M47" s="400"/>
      <c r="N47" s="341" t="str">
        <f>IF($D47&lt;1," ",IF(M47&lt;1," ",(M47)/$D47))</f>
        <v xml:space="preserve"> </v>
      </c>
      <c r="O47" s="400"/>
      <c r="P47" s="341" t="str">
        <f>IF($D47&lt;1," ",IF(O47&lt;1," ",(O47)/$D47))</f>
        <v xml:space="preserve"> </v>
      </c>
      <c r="Q47" s="400"/>
      <c r="R47" s="534" t="str">
        <f>IF($D47&lt;1," ",IF(Q47&lt;1," ",(Q47)/$D47))</f>
        <v xml:space="preserve"> </v>
      </c>
      <c r="S47" s="400"/>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567"/>
      <c r="AD47" s="1570">
        <f>+E47+G47+I47+K47+M47+O47+Q47+S47+U47+W47+Y47+AA47</f>
        <v>0</v>
      </c>
      <c r="AE47" s="401">
        <f>D47-AD47</f>
        <v>0</v>
      </c>
      <c r="AF47" s="777"/>
      <c r="AG47" s="1571" t="str">
        <f>IF(AD47=D47,"","Prior Year Transactions should be zero'd out by Year End")</f>
        <v/>
      </c>
    </row>
    <row r="48" spans="1:33" ht="16.5" thickBot="1">
      <c r="A48" s="70" t="s">
        <v>111</v>
      </c>
      <c r="B48" s="371"/>
      <c r="C48" s="71"/>
      <c r="D48" s="1077">
        <f>+D43+D44-D45-D46-D47</f>
        <v>0</v>
      </c>
      <c r="E48" s="1045">
        <f>+E43+E44-E45-E46-E47</f>
        <v>0</v>
      </c>
      <c r="F48" s="540"/>
      <c r="G48" s="1054">
        <f>+G43+G44-G45-G46-G47</f>
        <v>0</v>
      </c>
      <c r="H48" s="540"/>
      <c r="I48" s="1054">
        <f>+I43+I44-I45-I46-I47</f>
        <v>0</v>
      </c>
      <c r="J48" s="540"/>
      <c r="K48" s="1054">
        <f>+K43+K44-K45-K46-K47</f>
        <v>0</v>
      </c>
      <c r="L48" s="540"/>
      <c r="M48" s="1054">
        <f>+M43+M44-M45-M46-M47</f>
        <v>0</v>
      </c>
      <c r="N48" s="198"/>
      <c r="O48" s="1054">
        <f>+O43+O44-O45-O46-O47</f>
        <v>0</v>
      </c>
      <c r="P48" s="198"/>
      <c r="Q48" s="1054">
        <f>+Q43+Q44-Q45-Q46-Q47</f>
        <v>0</v>
      </c>
      <c r="R48" s="540"/>
      <c r="S48" s="1054">
        <f>+S43+S44-S45-S46-S47</f>
        <v>0</v>
      </c>
      <c r="T48" s="198"/>
      <c r="U48" s="1054">
        <f>+U43+U44-U45-U46-U47</f>
        <v>0</v>
      </c>
      <c r="V48" s="198"/>
      <c r="W48" s="1054">
        <f>+W43+W44-W45-W46-W47</f>
        <v>0</v>
      </c>
      <c r="X48" s="198"/>
      <c r="Y48" s="1054">
        <f>+Y43+Y44-Y45-Y46-Y47</f>
        <v>0</v>
      </c>
      <c r="Z48" s="198"/>
      <c r="AA48" s="1054">
        <f>+AA43+AA44-AA45-AA46-AA47</f>
        <v>0</v>
      </c>
      <c r="AB48" s="198"/>
      <c r="AC48" s="1564"/>
      <c r="AD48" s="776">
        <f>+AD43+AD44-AD45-AD46-AD47</f>
        <v>0</v>
      </c>
      <c r="AE48" s="776">
        <f>+AE43+AE44-AE45-AE46-AE47</f>
        <v>0</v>
      </c>
      <c r="AF48" s="1042"/>
    </row>
    <row r="49" spans="1:33" ht="15.75">
      <c r="A49" s="409"/>
      <c r="B49" s="372"/>
      <c r="C49" s="72"/>
      <c r="D49" s="530"/>
      <c r="E49" s="193"/>
      <c r="F49" s="197"/>
      <c r="G49" s="193"/>
      <c r="H49" s="197"/>
      <c r="I49" s="193"/>
      <c r="J49" s="197"/>
      <c r="K49" s="193"/>
      <c r="L49" s="1061"/>
      <c r="M49" s="1064"/>
      <c r="N49" s="197"/>
      <c r="O49" s="193"/>
      <c r="P49" s="197"/>
      <c r="Q49" s="193"/>
      <c r="R49" s="1061"/>
      <c r="S49" s="1064"/>
      <c r="T49" s="197"/>
      <c r="U49" s="193"/>
      <c r="V49" s="197"/>
      <c r="W49" s="193"/>
      <c r="X49" s="197"/>
      <c r="Y49" s="193"/>
      <c r="Z49" s="197"/>
      <c r="AA49" s="193"/>
      <c r="AB49" s="197"/>
      <c r="AC49" s="1024"/>
      <c r="AD49" s="1024"/>
      <c r="AE49" s="1024"/>
      <c r="AF49" s="1040"/>
    </row>
    <row r="50" spans="1:33" ht="15.75">
      <c r="A50" s="67" t="s">
        <v>116</v>
      </c>
      <c r="B50" s="181"/>
      <c r="C50" s="375"/>
      <c r="D50" s="1071"/>
      <c r="E50" s="528"/>
      <c r="F50" s="533"/>
      <c r="G50" s="528"/>
      <c r="H50" s="533"/>
      <c r="I50" s="528"/>
      <c r="J50" s="533"/>
      <c r="K50" s="528"/>
      <c r="L50" s="1065"/>
      <c r="M50" s="1060"/>
      <c r="N50" s="533"/>
      <c r="O50" s="528"/>
      <c r="P50" s="533"/>
      <c r="Q50" s="528"/>
      <c r="R50" s="1065"/>
      <c r="S50" s="1060"/>
      <c r="T50" s="533"/>
      <c r="U50" s="528"/>
      <c r="V50" s="533"/>
      <c r="W50" s="528"/>
      <c r="X50" s="533"/>
      <c r="Y50" s="528"/>
      <c r="Z50" s="533"/>
      <c r="AA50" s="528"/>
      <c r="AB50" s="533"/>
      <c r="AC50" s="1028"/>
      <c r="AD50" s="1028"/>
      <c r="AE50" s="1028"/>
      <c r="AF50" s="1036"/>
    </row>
    <row r="51" spans="1:33" ht="15.75">
      <c r="A51" s="1816" t="s">
        <v>514</v>
      </c>
      <c r="B51" s="1817"/>
      <c r="C51" s="378"/>
      <c r="D51" s="1599"/>
      <c r="E51" s="399"/>
      <c r="F51" s="341" t="str">
        <f>IF($AE51&lt;1," ",IF(E51&lt;1," ",(E51)/$AE51))</f>
        <v xml:space="preserve"> </v>
      </c>
      <c r="G51" s="400"/>
      <c r="H51" s="341" t="str">
        <f>IF($AE51&lt;1," ",IF(G51&lt;1," ",(G51)/$AE51))</f>
        <v xml:space="preserve"> </v>
      </c>
      <c r="I51" s="400"/>
      <c r="J51" s="341" t="str">
        <f>IF($AE51&lt;1," ",IF(I51&lt;1," ",(I51)/$AE51))</f>
        <v xml:space="preserve"> </v>
      </c>
      <c r="K51" s="400"/>
      <c r="L51" s="341" t="str">
        <f>IF($AE51&lt;1," ",IF(K51&lt;1," ",(K51)/$AE51))</f>
        <v xml:space="preserve"> </v>
      </c>
      <c r="M51" s="400"/>
      <c r="N51" s="534" t="str">
        <f>IF($AE51&lt;1," ",IF(M51&lt;1," ",(M51)/$AE51))</f>
        <v xml:space="preserve"> </v>
      </c>
      <c r="O51" s="400"/>
      <c r="P51" s="341" t="str">
        <f>IF($AE51&lt;1," ",IF(O51&lt;1," ",(O51)/$AE51))</f>
        <v xml:space="preserve"> </v>
      </c>
      <c r="Q51" s="400"/>
      <c r="R51" s="534" t="str">
        <f>IF($AE51&lt;1," ",IF(Q51&lt;1," ",(Q51)/$AE51))</f>
        <v xml:space="preserve"> </v>
      </c>
      <c r="S51" s="514"/>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400"/>
      <c r="AD51" s="381">
        <f>D51+E51+G51+I51+K51+M51+O51+Q51+S51+U51+W51+Y51+AA51+AC51</f>
        <v>0</v>
      </c>
      <c r="AE51" s="778"/>
      <c r="AF51" s="779"/>
      <c r="AG51" s="1203"/>
    </row>
    <row r="52" spans="1:33" ht="15.75">
      <c r="A52" s="1816"/>
      <c r="B52" s="1817"/>
      <c r="C52" s="397"/>
      <c r="D52" s="1599"/>
      <c r="E52" s="399"/>
      <c r="F52" s="341" t="str">
        <f>IF($AE52&lt;1," ",IF(E52&lt;1," ",(E52)/$AE52))</f>
        <v xml:space="preserve"> </v>
      </c>
      <c r="G52" s="400"/>
      <c r="H52" s="341" t="str">
        <f>IF($AE52&lt;1," ",IF(G52&lt;1," ",(G52)/$AE52))</f>
        <v xml:space="preserve"> </v>
      </c>
      <c r="I52" s="400"/>
      <c r="J52" s="341" t="str">
        <f>IF($AE52&lt;1," ",IF(I52&lt;1," ",(I52)/$AE52))</f>
        <v xml:space="preserve"> </v>
      </c>
      <c r="K52" s="400"/>
      <c r="L52" s="341" t="str">
        <f>IF($AE52&lt;1," ",IF(K52&lt;1," ",(K52)/$AE52))</f>
        <v xml:space="preserve"> </v>
      </c>
      <c r="M52" s="400"/>
      <c r="N52" s="534" t="str">
        <f>IF($AE52&lt;1," ",IF(M52&lt;1," ",(M52)/$AE52))</f>
        <v xml:space="preserve"> </v>
      </c>
      <c r="O52" s="400"/>
      <c r="P52" s="341" t="str">
        <f>IF($AE52&lt;1," ",IF(O52&lt;1," ",(O52)/$AE52))</f>
        <v xml:space="preserve"> </v>
      </c>
      <c r="Q52" s="400"/>
      <c r="R52" s="534" t="str">
        <f>IF($AE52&lt;1," ",IF(Q52&lt;1," ",(Q52)/$AE52))</f>
        <v xml:space="preserve"> </v>
      </c>
      <c r="S52" s="514"/>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400"/>
      <c r="AD52" s="381">
        <f>+E52+G52+I52+K52+M52+O52+Q52+S52+U52+W52+Y52+AA52+AC52</f>
        <v>0</v>
      </c>
      <c r="AE52" s="780"/>
      <c r="AF52" s="781"/>
      <c r="AG52" s="1223"/>
    </row>
    <row r="53" spans="1:33" ht="15.75">
      <c r="A53" s="1816"/>
      <c r="B53" s="1817"/>
      <c r="C53" s="378"/>
      <c r="D53" s="1599"/>
      <c r="E53" s="399"/>
      <c r="F53" s="341" t="str">
        <f>IF($AE53&lt;1," ",IF(E53&lt;1," ",(E53)/$AE53))</f>
        <v xml:space="preserve"> </v>
      </c>
      <c r="G53" s="400"/>
      <c r="H53" s="341" t="str">
        <f>IF($AE53&lt;1," ",IF(G53&lt;1," ",(G53)/$AE53))</f>
        <v xml:space="preserve"> </v>
      </c>
      <c r="I53" s="400"/>
      <c r="J53" s="341" t="str">
        <f>IF($AE53&lt;1," ",IF(I53&lt;1," ",(I53)/$AE53))</f>
        <v xml:space="preserve"> </v>
      </c>
      <c r="K53" s="400"/>
      <c r="L53" s="341" t="str">
        <f>IF($AE53&lt;1," ",IF(K53&lt;1," ",(K53)/$AE53))</f>
        <v xml:space="preserve"> </v>
      </c>
      <c r="M53" s="400"/>
      <c r="N53" s="534" t="str">
        <f>IF($AE53&lt;1," ",IF(M53&lt;1," ",(M53)/$AE53))</f>
        <v xml:space="preserve"> </v>
      </c>
      <c r="O53" s="400"/>
      <c r="P53" s="341" t="str">
        <f>IF($AE53&lt;1," ",IF(O53&lt;1," ",(O53)/$AE53))</f>
        <v xml:space="preserve"> </v>
      </c>
      <c r="Q53" s="400"/>
      <c r="R53" s="534" t="str">
        <f>IF($AE53&lt;1," ",IF(Q53&lt;1," ",(Q53)/$AE53))</f>
        <v xml:space="preserve"> </v>
      </c>
      <c r="S53" s="514"/>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400"/>
      <c r="AD53" s="381">
        <f>+E53+G53+I53+K53+M53+O53+Q53+S53+U53+W53+Y53+AA53+AC53</f>
        <v>0</v>
      </c>
      <c r="AE53" s="780"/>
      <c r="AF53" s="781"/>
      <c r="AG53" s="1223"/>
    </row>
    <row r="54" spans="1:33" ht="15.75">
      <c r="A54" s="1816"/>
      <c r="B54" s="1817"/>
      <c r="C54" s="378"/>
      <c r="D54" s="1599"/>
      <c r="E54" s="399"/>
      <c r="F54" s="341" t="str">
        <f>IF($AE54&lt;1," ",IF(E54&lt;1," ",(E54)/$AE54))</f>
        <v xml:space="preserve"> </v>
      </c>
      <c r="G54" s="400"/>
      <c r="H54" s="341" t="str">
        <f>IF($AE54&lt;1," ",IF(G54&lt;1," ",(G54)/$AE54))</f>
        <v xml:space="preserve"> </v>
      </c>
      <c r="I54" s="400"/>
      <c r="J54" s="341" t="str">
        <f>IF($AE54&lt;1," ",IF(I54&lt;1," ",(I54)/$AE54))</f>
        <v xml:space="preserve"> </v>
      </c>
      <c r="K54" s="400"/>
      <c r="L54" s="341" t="str">
        <f>IF($AE54&lt;1," ",IF(K54&lt;1," ",(K54)/$AE54))</f>
        <v xml:space="preserve"> </v>
      </c>
      <c r="M54" s="400"/>
      <c r="N54" s="534" t="str">
        <f>IF($AE54&lt;1," ",IF(M54&lt;1," ",(M54)/$AE54))</f>
        <v xml:space="preserve"> </v>
      </c>
      <c r="O54" s="400"/>
      <c r="P54" s="341" t="str">
        <f>IF($AE54&lt;1," ",IF(O54&lt;1," ",(O54)/$AE54))</f>
        <v xml:space="preserve"> </v>
      </c>
      <c r="Q54" s="400"/>
      <c r="R54" s="534" t="str">
        <f>IF($AE54&lt;1," ",IF(Q54&lt;1," ",(Q54)/$AE54))</f>
        <v xml:space="preserve"> </v>
      </c>
      <c r="S54" s="514"/>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400"/>
      <c r="AD54" s="381">
        <f>+E54+G54+I54+K54+M54+O54+Q54+S54+U54+W54+Y54+AA54+AC54</f>
        <v>0</v>
      </c>
      <c r="AE54" s="780"/>
      <c r="AF54" s="781"/>
      <c r="AG54" s="1203"/>
    </row>
    <row r="55" spans="1:33" ht="15.75">
      <c r="A55" s="1816"/>
      <c r="B55" s="1817"/>
      <c r="C55" s="378"/>
      <c r="D55" s="1599"/>
      <c r="E55" s="399"/>
      <c r="F55" s="341" t="str">
        <f>IF($AE55&lt;1," ",IF(E55&lt;1," ",(E55)/$AE55))</f>
        <v xml:space="preserve"> </v>
      </c>
      <c r="G55" s="400"/>
      <c r="H55" s="341" t="str">
        <f>IF($AE55&lt;1," ",IF(G55&lt;1," ",(G55)/$AE55))</f>
        <v xml:space="preserve"> </v>
      </c>
      <c r="I55" s="400"/>
      <c r="J55" s="341" t="str">
        <f>IF($AE55&lt;1," ",IF(I55&lt;1," ",(I55)/$AE55))</f>
        <v xml:space="preserve"> </v>
      </c>
      <c r="K55" s="400"/>
      <c r="L55" s="341" t="str">
        <f>IF($AE55&lt;1," ",IF(K55&lt;1," ",(K55)/$AE55))</f>
        <v xml:space="preserve"> </v>
      </c>
      <c r="M55" s="400"/>
      <c r="N55" s="534" t="str">
        <f>IF($AE55&lt;1," ",IF(M55&lt;1," ",(M55)/$AE55))</f>
        <v xml:space="preserve"> </v>
      </c>
      <c r="O55" s="400"/>
      <c r="P55" s="341" t="str">
        <f>IF($AE55&lt;1," ",IF(O55&lt;1," ",(O55)/$AE55))</f>
        <v xml:space="preserve"> </v>
      </c>
      <c r="Q55" s="400"/>
      <c r="R55" s="534" t="str">
        <f>IF($AE55&lt;1," ",IF(Q55&lt;1," ",(Q55)/$AE55))</f>
        <v xml:space="preserve"> </v>
      </c>
      <c r="S55" s="514"/>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400"/>
      <c r="AD55" s="381">
        <f>+E55+G55+I55+K55+M55+O55+Q55+S55+U55+W55+Y55+AA55+AC55</f>
        <v>0</v>
      </c>
      <c r="AE55" s="780"/>
      <c r="AF55" s="781"/>
      <c r="AG55" s="1203"/>
    </row>
    <row r="56" spans="1:33" ht="16.5" thickBot="1">
      <c r="A56" s="70" t="s">
        <v>112</v>
      </c>
      <c r="B56" s="371"/>
      <c r="C56" s="71"/>
      <c r="D56" s="1077">
        <f>SUM(D51:D55)</f>
        <v>0</v>
      </c>
      <c r="E56" s="773">
        <f>SUM(E51:E55)</f>
        <v>0</v>
      </c>
      <c r="F56" s="386" t="s">
        <v>2</v>
      </c>
      <c r="G56" s="774">
        <f>SUM(G51:G55)</f>
        <v>0</v>
      </c>
      <c r="H56" s="386" t="s">
        <v>2</v>
      </c>
      <c r="I56" s="774">
        <f>SUM(I51:I55)</f>
        <v>0</v>
      </c>
      <c r="J56" s="386" t="s">
        <v>2</v>
      </c>
      <c r="K56" s="774">
        <f>SUM(K51:K55)</f>
        <v>0</v>
      </c>
      <c r="L56" s="386" t="s">
        <v>2</v>
      </c>
      <c r="M56" s="774">
        <f>SUM(M51:M55)</f>
        <v>0</v>
      </c>
      <c r="N56" s="536" t="s">
        <v>2</v>
      </c>
      <c r="O56" s="774">
        <f>SUM(O51:O55)</f>
        <v>0</v>
      </c>
      <c r="P56" s="386" t="s">
        <v>2</v>
      </c>
      <c r="Q56" s="774">
        <f>SUM(Q51:Q55)</f>
        <v>0</v>
      </c>
      <c r="R56" s="536" t="s">
        <v>2</v>
      </c>
      <c r="S56" s="775">
        <f>SUM(S51:S55)</f>
        <v>0</v>
      </c>
      <c r="T56" s="386" t="s">
        <v>2</v>
      </c>
      <c r="U56" s="774">
        <f>SUM(U51:U55)</f>
        <v>0</v>
      </c>
      <c r="V56" s="386" t="s">
        <v>2</v>
      </c>
      <c r="W56" s="774">
        <f>SUM(W51:W55)</f>
        <v>0</v>
      </c>
      <c r="X56" s="386" t="s">
        <v>2</v>
      </c>
      <c r="Y56" s="774">
        <f>SUM(Y51:Y55)</f>
        <v>0</v>
      </c>
      <c r="Z56" s="386" t="s">
        <v>2</v>
      </c>
      <c r="AA56" s="774">
        <f>SUM(AA51:AA55)</f>
        <v>0</v>
      </c>
      <c r="AB56" s="386" t="s">
        <v>2</v>
      </c>
      <c r="AC56" s="774">
        <f>SUM(AC51:AC55)</f>
        <v>0</v>
      </c>
      <c r="AD56" s="776">
        <f>SUM(AD51:AD55)</f>
        <v>0</v>
      </c>
      <c r="AE56" s="782"/>
      <c r="AF56" s="783"/>
      <c r="AG56" s="1203"/>
    </row>
    <row r="57" spans="1:33" ht="15.75">
      <c r="A57" s="69"/>
      <c r="B57" s="183"/>
      <c r="C57" s="23"/>
      <c r="D57" s="531"/>
      <c r="E57" s="1049"/>
      <c r="F57" s="541"/>
      <c r="G57" s="394"/>
      <c r="H57" s="541"/>
      <c r="I57" s="394"/>
      <c r="J57" s="541"/>
      <c r="K57" s="394"/>
      <c r="L57" s="541"/>
      <c r="M57" s="394"/>
      <c r="N57" s="1053"/>
      <c r="O57" s="394"/>
      <c r="P57" s="52"/>
      <c r="Q57" s="394"/>
      <c r="R57" s="541"/>
      <c r="S57" s="394"/>
      <c r="T57" s="52"/>
      <c r="U57" s="394"/>
      <c r="V57" s="52"/>
      <c r="W57" s="394"/>
      <c r="X57" s="52"/>
      <c r="Y57" s="394"/>
      <c r="Z57" s="52"/>
      <c r="AA57" s="394"/>
      <c r="AB57" s="52"/>
      <c r="AC57" s="1568"/>
      <c r="AD57" s="1036"/>
      <c r="AE57" s="1037"/>
      <c r="AF57" s="1043"/>
      <c r="AG57" s="1203"/>
    </row>
    <row r="58" spans="1:33" ht="16.5" thickBot="1">
      <c r="A58" s="402" t="s">
        <v>115</v>
      </c>
      <c r="B58" s="403"/>
      <c r="C58" s="378"/>
      <c r="D58" s="1068"/>
      <c r="E58" s="775">
        <f>+E23-E34+E39+E48+E56</f>
        <v>0</v>
      </c>
      <c r="F58" s="536"/>
      <c r="G58" s="774">
        <f>+G23-G34+G39+G48+G56</f>
        <v>0</v>
      </c>
      <c r="H58" s="536"/>
      <c r="I58" s="774">
        <f>+I23-I34+I39+I48+I56</f>
        <v>0</v>
      </c>
      <c r="J58" s="536"/>
      <c r="K58" s="774">
        <f>+K23-K34+K39+K48+K56</f>
        <v>0</v>
      </c>
      <c r="L58" s="536"/>
      <c r="M58" s="774">
        <f>+M23-M34+M39+M48+M56</f>
        <v>0</v>
      </c>
      <c r="N58" s="386"/>
      <c r="O58" s="774">
        <f>+O23-O34+O39+O48+O56</f>
        <v>0</v>
      </c>
      <c r="P58" s="386"/>
      <c r="Q58" s="774">
        <f>+Q23-Q34+Q39+Q48+Q56</f>
        <v>0</v>
      </c>
      <c r="R58" s="536"/>
      <c r="S58" s="774">
        <f>+S23-S34+S39+S48+S56</f>
        <v>0</v>
      </c>
      <c r="T58" s="386"/>
      <c r="U58" s="774">
        <f>+U23-U34+U39+U48+U56</f>
        <v>0</v>
      </c>
      <c r="V58" s="386"/>
      <c r="W58" s="774">
        <f>+W23-W34+W39+W48+W56</f>
        <v>0</v>
      </c>
      <c r="X58" s="386"/>
      <c r="Y58" s="774">
        <f>+Y23-Y34+Y39+Y48+Y56</f>
        <v>0</v>
      </c>
      <c r="Z58" s="386"/>
      <c r="AA58" s="774">
        <f>+AA23-AA34+AA39+AA48+AA56</f>
        <v>0</v>
      </c>
      <c r="AB58" s="386"/>
      <c r="AC58" s="1564" t="e">
        <f>+AC23-AC34+AC39+AC48+AC56</f>
        <v>#VALUE!</v>
      </c>
      <c r="AD58" s="776" t="e">
        <f>+AD23-AD34+AD39+AD48+AD56</f>
        <v>#VALUE!</v>
      </c>
      <c r="AE58" s="782"/>
      <c r="AF58" s="783"/>
      <c r="AG58" s="1203"/>
    </row>
    <row r="59" spans="1:33" ht="16.5" thickBot="1">
      <c r="A59" s="70"/>
      <c r="B59" s="371"/>
      <c r="C59" s="71"/>
      <c r="D59" s="1078"/>
      <c r="E59" s="22"/>
      <c r="F59" s="540"/>
      <c r="G59" s="396"/>
      <c r="H59" s="540"/>
      <c r="I59" s="396"/>
      <c r="J59" s="540"/>
      <c r="K59" s="396"/>
      <c r="L59" s="540"/>
      <c r="M59" s="396"/>
      <c r="N59" s="198"/>
      <c r="O59" s="396"/>
      <c r="P59" s="198"/>
      <c r="Q59" s="396"/>
      <c r="R59" s="540"/>
      <c r="S59" s="396"/>
      <c r="T59" s="198"/>
      <c r="U59" s="396"/>
      <c r="V59" s="198"/>
      <c r="W59" s="396"/>
      <c r="X59" s="198"/>
      <c r="Y59" s="396"/>
      <c r="Z59" s="198"/>
      <c r="AA59" s="396"/>
      <c r="AB59" s="198"/>
      <c r="AC59" s="1569"/>
      <c r="AD59" s="192"/>
      <c r="AE59" s="782"/>
      <c r="AF59" s="783"/>
      <c r="AG59" s="1203"/>
    </row>
    <row r="60" spans="1:33" ht="16.5" thickBot="1">
      <c r="A60" s="70" t="s">
        <v>113</v>
      </c>
      <c r="B60" s="371"/>
      <c r="C60" s="71"/>
      <c r="D60" s="1078"/>
      <c r="E60" s="1045">
        <f>+E6+E58</f>
        <v>0</v>
      </c>
      <c r="F60" s="540"/>
      <c r="G60" s="1054">
        <f>+G6+G58</f>
        <v>0</v>
      </c>
      <c r="H60" s="540"/>
      <c r="I60" s="1054">
        <f>+I6+I58</f>
        <v>0</v>
      </c>
      <c r="J60" s="540"/>
      <c r="K60" s="1054">
        <f>+K6+K58</f>
        <v>0</v>
      </c>
      <c r="L60" s="540"/>
      <c r="M60" s="1054">
        <f>+M6+M58</f>
        <v>0</v>
      </c>
      <c r="N60" s="198"/>
      <c r="O60" s="1054">
        <f>+O6+O58</f>
        <v>0</v>
      </c>
      <c r="P60" s="198"/>
      <c r="Q60" s="1054">
        <f>+Q6+Q58</f>
        <v>0</v>
      </c>
      <c r="R60" s="540"/>
      <c r="S60" s="1054">
        <f>+S6+S58</f>
        <v>0</v>
      </c>
      <c r="T60" s="198"/>
      <c r="U60" s="1054">
        <f>+U6+U58</f>
        <v>0</v>
      </c>
      <c r="V60" s="198"/>
      <c r="W60" s="1054">
        <f>+W6+W58</f>
        <v>0</v>
      </c>
      <c r="X60" s="198"/>
      <c r="Y60" s="1054">
        <f>+Y6+Y58</f>
        <v>0</v>
      </c>
      <c r="Z60" s="198"/>
      <c r="AA60" s="1054">
        <f>+AA6+AA58</f>
        <v>0</v>
      </c>
      <c r="AB60" s="198"/>
      <c r="AC60" s="1564" t="e">
        <f>+AC6+AC58</f>
        <v>#VALUE!</v>
      </c>
      <c r="AD60" s="1241"/>
      <c r="AE60" s="1038"/>
      <c r="AF60" s="1044"/>
      <c r="AG60" s="1203"/>
    </row>
    <row r="62" spans="1:33" ht="16.5">
      <c r="AB62" s="1573" t="s">
        <v>502</v>
      </c>
      <c r="AC62" s="1574" t="e">
        <f>'2nd Interim-Summary MYP'!J55</f>
        <v>#VALUE!</v>
      </c>
    </row>
    <row r="63" spans="1:33" ht="17.25" thickBot="1">
      <c r="AB63" s="1575" t="s">
        <v>503</v>
      </c>
      <c r="AC63" s="1577" t="e">
        <f>AC60-AC62</f>
        <v>#VALUE!</v>
      </c>
    </row>
    <row r="64" spans="1:33" ht="13.5" thickTop="1"/>
  </sheetData>
  <sheetProtection password="D94D" sheet="1" objects="1" scenarios="1"/>
  <mergeCells count="12">
    <mergeCell ref="A55:B55"/>
    <mergeCell ref="F1:L1"/>
    <mergeCell ref="AE40:AE42"/>
    <mergeCell ref="A51:B51"/>
    <mergeCell ref="A52:B52"/>
    <mergeCell ref="A53:B53"/>
    <mergeCell ref="A54:B54"/>
    <mergeCell ref="T1:Z1"/>
    <mergeCell ref="G2:K2"/>
    <mergeCell ref="T2:Z2"/>
    <mergeCell ref="E7:N7"/>
    <mergeCell ref="D40:D42"/>
  </mergeCells>
  <conditionalFormatting sqref="F1">
    <cfRule type="containsText" dxfId="8" priority="7" stopIfTrue="1" operator="containsText" text="Enter">
      <formula>NOT(ISERROR(SEARCH("Enter",F1)))</formula>
    </cfRule>
  </conditionalFormatting>
  <conditionalFormatting sqref="T1">
    <cfRule type="containsText" dxfId="7" priority="6" stopIfTrue="1" operator="containsText" text="Enter">
      <formula>NOT(ISERROR(SEARCH("Enter",T1)))</formula>
    </cfRule>
  </conditionalFormatting>
  <conditionalFormatting sqref="AD47">
    <cfRule type="cellIs" dxfId="6" priority="1" stopIfTrue="1" operator="notEqual">
      <formula>$D$47</formula>
    </cfRule>
  </conditionalFormatting>
  <conditionalFormatting sqref="AD43">
    <cfRule type="cellIs" dxfId="5" priority="5" stopIfTrue="1" operator="notEqual">
      <formula>$D$43</formula>
    </cfRule>
  </conditionalFormatting>
  <conditionalFormatting sqref="AD44">
    <cfRule type="cellIs" dxfId="4" priority="4" stopIfTrue="1" operator="notEqual">
      <formula>$D$44</formula>
    </cfRule>
  </conditionalFormatting>
  <conditionalFormatting sqref="AD45">
    <cfRule type="cellIs" dxfId="3" priority="3" stopIfTrue="1" operator="notEqual">
      <formula>$D$45</formula>
    </cfRule>
  </conditionalFormatting>
  <conditionalFormatting sqref="AD46">
    <cfRule type="cellIs" dxfId="2" priority="2" stopIfTrue="1" operator="notEqual">
      <formula>$D$46</formula>
    </cfRule>
  </conditionalFormatting>
  <pageMargins left="0.7" right="0.7" top="0.75" bottom="0.75" header="0.3" footer="0.3"/>
  <pageSetup scale="51" fitToWidth="0" orientation="landscape" r:id="rId1"/>
  <headerFooter>
    <oddHeader>&amp;RPage &amp;P of &amp;N</oddHeader>
  </headerFooter>
  <colBreaks count="1" manualBreakCount="1">
    <brk id="18" max="1048575" man="1"/>
  </colBreaks>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J154"/>
  <sheetViews>
    <sheetView workbookViewId="0">
      <pane xSplit="1" ySplit="5" topLeftCell="B6" activePane="bottomRight" state="frozen"/>
      <selection pane="topRight" activeCell="B1" sqref="B1"/>
      <selection pane="bottomLeft" activeCell="A6" sqref="A6"/>
      <selection pane="bottomRight" sqref="A1:IV65536"/>
    </sheetView>
  </sheetViews>
  <sheetFormatPr defaultColWidth="9.28515625" defaultRowHeight="12.75"/>
  <cols>
    <col min="1" max="1" width="56.7109375" style="1218" customWidth="1"/>
    <col min="2" max="2" width="17" style="1218" customWidth="1"/>
    <col min="3" max="3" width="14" style="1218" customWidth="1"/>
    <col min="4" max="4" width="14.7109375" style="1218" customWidth="1"/>
    <col min="5" max="5" width="14" style="1218" customWidth="1"/>
    <col min="6" max="8" width="9.28515625" style="1218"/>
    <col min="9" max="9" width="19" style="1218" customWidth="1"/>
    <col min="10" max="10" width="23.7109375" style="1218" customWidth="1"/>
    <col min="11" max="16384" width="9.28515625" style="1218"/>
  </cols>
  <sheetData>
    <row r="1" spans="1:10">
      <c r="A1" s="1600" t="str">
        <f>'BUDGET-CERTIFICATION'!H1</f>
        <v>Elite Academic Academy - Virtual Prep Lucerne</v>
      </c>
    </row>
    <row r="2" spans="1:10">
      <c r="A2" s="1600" t="s">
        <v>164</v>
      </c>
    </row>
    <row r="3" spans="1:10">
      <c r="A3" s="1600" t="str">
        <f>'Budget-ADA'!K7</f>
        <v>2022-23</v>
      </c>
    </row>
    <row r="4" spans="1:10">
      <c r="A4" s="1600" t="str">
        <f>'BUDGET-CERTIFICATION'!H3</f>
        <v>Lucerne Valley Unified School District</v>
      </c>
    </row>
    <row r="5" spans="1:10">
      <c r="B5" s="1601" t="s">
        <v>379</v>
      </c>
      <c r="C5" s="1601" t="s">
        <v>377</v>
      </c>
      <c r="D5" s="1601" t="s">
        <v>380</v>
      </c>
      <c r="E5" s="1601" t="s">
        <v>504</v>
      </c>
      <c r="H5" s="1601"/>
      <c r="I5" s="1601"/>
      <c r="J5" s="1601"/>
    </row>
    <row r="6" spans="1:10">
      <c r="A6" s="1218" t="s">
        <v>378</v>
      </c>
      <c r="B6" s="1623">
        <f>'2nd Interim-ADA'!J76</f>
        <v>445.25</v>
      </c>
      <c r="C6" s="1623" t="e">
        <f>'2nd Interim-ADA'!O76</f>
        <v>#VALUE!</v>
      </c>
      <c r="D6" s="1623" t="e">
        <f>'2nd Interim-ADA'!R76</f>
        <v>#VALUE!</v>
      </c>
      <c r="E6" s="1623" t="e">
        <f>'2nd Interim-ADA'!U76</f>
        <v>#VALUE!</v>
      </c>
      <c r="H6" s="1602"/>
      <c r="I6" s="1603"/>
      <c r="J6" s="1603"/>
    </row>
    <row r="7" spans="1:10">
      <c r="A7" s="1218" t="s">
        <v>381</v>
      </c>
      <c r="B7" s="1604">
        <f>'2nd Interim-Assumptions'!F24</f>
        <v>0</v>
      </c>
      <c r="C7" s="1605">
        <f>'2nd Interim-Assumptions'!G24</f>
        <v>0</v>
      </c>
      <c r="D7" s="1605">
        <f>'2nd Interim-Assumptions'!H24</f>
        <v>0</v>
      </c>
      <c r="E7" s="1605">
        <f>'2nd Interim-Assumptions'!J24</f>
        <v>0</v>
      </c>
      <c r="H7" s="1602"/>
      <c r="I7" s="1603"/>
      <c r="J7" s="1603"/>
    </row>
    <row r="8" spans="1:10">
      <c r="A8" s="1218" t="s">
        <v>369</v>
      </c>
      <c r="B8" s="1604">
        <f>'2nd Interim-Assumptions'!F27</f>
        <v>0</v>
      </c>
      <c r="C8" s="1605">
        <f>'2nd Interim-Assumptions'!G27</f>
        <v>0</v>
      </c>
      <c r="D8" s="1605">
        <f>'2nd Interim-Assumptions'!H27</f>
        <v>0</v>
      </c>
      <c r="E8" s="1605">
        <f>'2nd Interim-Assumptions'!J27</f>
        <v>0</v>
      </c>
      <c r="H8" s="1602"/>
      <c r="I8" s="1603"/>
      <c r="J8" s="1603"/>
    </row>
    <row r="9" spans="1:10">
      <c r="A9" s="1218" t="s">
        <v>382</v>
      </c>
      <c r="B9" s="1606">
        <f>'2nd Interim-Assumptions'!F28</f>
        <v>0</v>
      </c>
      <c r="C9" s="1606">
        <f>'2nd Interim-Assumptions'!G28</f>
        <v>0</v>
      </c>
      <c r="D9" s="1606">
        <f>'2nd Interim-Assumptions'!H28</f>
        <v>0</v>
      </c>
      <c r="E9" s="1606">
        <f>'2nd Interim-Assumptions'!J28</f>
        <v>0</v>
      </c>
      <c r="H9" s="1602"/>
      <c r="I9" s="1603"/>
      <c r="J9" s="1603"/>
    </row>
    <row r="10" spans="1:10">
      <c r="H10" s="1602"/>
      <c r="I10" s="1603"/>
      <c r="J10" s="1603"/>
    </row>
    <row r="11" spans="1:10">
      <c r="A11" s="1218" t="s">
        <v>155</v>
      </c>
      <c r="B11" s="1608">
        <f>'2nd Interim-Unrestricted MYP'!E13+'2nd Interim-Unrestricted MYP'!E14+'2nd Interim-Unrestricted MYP'!E15+'2nd Interim-Unrestricted MYP'!E16</f>
        <v>8452168.0600000005</v>
      </c>
      <c r="C11" s="1608">
        <f>'2nd Interim-Assumptions'!G11</f>
        <v>0</v>
      </c>
      <c r="D11" s="1608">
        <f>'2nd Interim-Assumptions'!H11</f>
        <v>0</v>
      </c>
      <c r="E11" s="1608">
        <f>'2nd Interim-Assumptions'!J11</f>
        <v>0</v>
      </c>
      <c r="H11" s="1602"/>
      <c r="I11" s="1603"/>
      <c r="J11" s="1603"/>
    </row>
    <row r="12" spans="1:10">
      <c r="H12" s="1602"/>
      <c r="I12" s="1603"/>
      <c r="J12" s="1603"/>
    </row>
    <row r="13" spans="1:10">
      <c r="A13" s="1218" t="s">
        <v>383</v>
      </c>
      <c r="C13" s="1623">
        <f>'2nd Interim-Assumptions'!G31</f>
        <v>0</v>
      </c>
      <c r="D13" s="1623">
        <f>'2nd Interim-Assumptions'!H31</f>
        <v>0</v>
      </c>
      <c r="E13" s="1623">
        <f>'2nd Interim-Assumptions'!J31</f>
        <v>0</v>
      </c>
      <c r="H13" s="1602"/>
      <c r="I13" s="1603"/>
      <c r="J13" s="1603"/>
    </row>
    <row r="14" spans="1:10">
      <c r="A14" s="1218" t="s">
        <v>390</v>
      </c>
      <c r="C14" s="1623">
        <f>'2nd Interim-Assumptions'!G33</f>
        <v>0</v>
      </c>
      <c r="D14" s="1623">
        <f>'2nd Interim-Assumptions'!H33</f>
        <v>0</v>
      </c>
      <c r="E14" s="1623">
        <f>'2nd Interim-Assumptions'!J33</f>
        <v>0</v>
      </c>
      <c r="H14" s="1602"/>
      <c r="I14" s="1603"/>
      <c r="J14" s="1603"/>
    </row>
    <row r="15" spans="1:10">
      <c r="A15" s="1218" t="s">
        <v>473</v>
      </c>
      <c r="C15" s="1623">
        <f>'2nd Interim-Assumptions'!G32</f>
        <v>0</v>
      </c>
      <c r="D15" s="1623">
        <f>'2nd Interim-Assumptions'!H32</f>
        <v>0</v>
      </c>
      <c r="E15" s="1623">
        <f>'2nd Interim-Assumptions'!J32</f>
        <v>0</v>
      </c>
      <c r="H15" s="1602"/>
    </row>
    <row r="16" spans="1:10">
      <c r="C16" s="1623"/>
      <c r="D16" s="1623"/>
      <c r="E16" s="1623"/>
      <c r="H16" s="1602"/>
    </row>
    <row r="17" spans="1:5">
      <c r="A17" s="1218" t="s">
        <v>391</v>
      </c>
      <c r="C17" s="1623">
        <f>'2nd Interim-Assumptions'!G51</f>
        <v>0</v>
      </c>
      <c r="D17" s="1623">
        <f>'2nd Interim-Assumptions'!H51</f>
        <v>0</v>
      </c>
      <c r="E17" s="1623">
        <f>'2nd Interim-Assumptions'!J51</f>
        <v>0</v>
      </c>
    </row>
    <row r="18" spans="1:5">
      <c r="A18" s="1218" t="s">
        <v>479</v>
      </c>
      <c r="C18" s="1623">
        <f>'2nd Interim-Assumptions'!G52</f>
        <v>0</v>
      </c>
      <c r="D18" s="1623">
        <f>'2nd Interim-Assumptions'!H52</f>
        <v>0</v>
      </c>
      <c r="E18" s="1623">
        <f>'2nd Interim-Assumptions'!J52</f>
        <v>0</v>
      </c>
    </row>
    <row r="19" spans="1:5">
      <c r="C19" s="1609"/>
      <c r="D19" s="1609"/>
      <c r="E19" s="1609"/>
    </row>
    <row r="20" spans="1:5">
      <c r="A20" s="1218" t="s">
        <v>475</v>
      </c>
      <c r="C20" s="1608">
        <f>'2nd Interim-Assumptions'!G36</f>
        <v>0</v>
      </c>
      <c r="D20" s="1608">
        <f>'2nd Interim-Assumptions'!H36</f>
        <v>0</v>
      </c>
      <c r="E20" s="1608">
        <f>'2nd Interim-Assumptions'!J36</f>
        <v>0</v>
      </c>
    </row>
    <row r="21" spans="1:5">
      <c r="A21" s="1218" t="s">
        <v>474</v>
      </c>
      <c r="C21" s="1608">
        <f>'2nd Interim-Assumptions'!G38</f>
        <v>0</v>
      </c>
      <c r="D21" s="1608">
        <f>'2nd Interim-Assumptions'!H38</f>
        <v>0</v>
      </c>
      <c r="E21" s="1608">
        <f>'2nd Interim-Assumptions'!J38</f>
        <v>0</v>
      </c>
    </row>
    <row r="22" spans="1:5">
      <c r="A22" s="1218" t="s">
        <v>476</v>
      </c>
      <c r="C22" s="1608">
        <f>'2nd Interim-Assumptions'!G37</f>
        <v>0</v>
      </c>
      <c r="D22" s="1608">
        <f>'2nd Interim-Assumptions'!H37</f>
        <v>0</v>
      </c>
      <c r="E22" s="1608">
        <f>'2nd Interim-Assumptions'!J37</f>
        <v>0</v>
      </c>
    </row>
    <row r="23" spans="1:5">
      <c r="A23" s="1612" t="s">
        <v>510</v>
      </c>
      <c r="C23" s="1608">
        <f>'2nd Interim-Assumptions'!G40</f>
        <v>0</v>
      </c>
      <c r="D23" s="1608">
        <f>'2nd Interim-Assumptions'!H40</f>
        <v>0</v>
      </c>
      <c r="E23" s="1608">
        <f>'2nd Interim-Assumptions'!J40</f>
        <v>0</v>
      </c>
    </row>
    <row r="24" spans="1:5">
      <c r="A24" s="1612"/>
      <c r="C24" s="1608"/>
      <c r="D24" s="1608"/>
      <c r="E24" s="1608"/>
    </row>
    <row r="25" spans="1:5">
      <c r="A25" s="1218" t="s">
        <v>477</v>
      </c>
      <c r="C25" s="1608">
        <f>'2nd Interim-Assumptions'!G53</f>
        <v>0</v>
      </c>
      <c r="D25" s="1608">
        <f>'2nd Interim-Assumptions'!H53</f>
        <v>0</v>
      </c>
      <c r="E25" s="1608">
        <f>'2nd Interim-Assumptions'!J53</f>
        <v>0</v>
      </c>
    </row>
    <row r="26" spans="1:5">
      <c r="A26" s="1218" t="s">
        <v>478</v>
      </c>
      <c r="C26" s="1608">
        <f>'2nd Interim-Assumptions'!G54</f>
        <v>0</v>
      </c>
      <c r="D26" s="1608">
        <f>'2nd Interim-Assumptions'!H54</f>
        <v>0</v>
      </c>
      <c r="E26" s="1608">
        <f>'2nd Interim-Assumptions'!J54</f>
        <v>0</v>
      </c>
    </row>
    <row r="27" spans="1:5">
      <c r="A27" s="1612" t="s">
        <v>511</v>
      </c>
      <c r="C27" s="1608">
        <f>'2nd Interim-Assumptions'!G56</f>
        <v>0</v>
      </c>
      <c r="D27" s="1608">
        <f>'2nd Interim-Assumptions'!H56</f>
        <v>0</v>
      </c>
      <c r="E27" s="1608">
        <f>'2nd Interim-Assumptions'!J56</f>
        <v>0</v>
      </c>
    </row>
    <row r="28" spans="1:5">
      <c r="C28" s="1608"/>
      <c r="D28" s="1608"/>
      <c r="E28" s="1608"/>
    </row>
    <row r="29" spans="1:5">
      <c r="A29" s="1612" t="s">
        <v>457</v>
      </c>
      <c r="C29" s="1608">
        <f>'2nd Interim-Assumptions'!G41</f>
        <v>0</v>
      </c>
      <c r="D29" s="1608">
        <f>'2nd Interim-Assumptions'!H41</f>
        <v>0</v>
      </c>
      <c r="E29" s="1608">
        <f>'2nd Interim-Assumptions'!J41</f>
        <v>0</v>
      </c>
    </row>
    <row r="30" spans="1:5">
      <c r="A30" s="1218" t="s">
        <v>458</v>
      </c>
      <c r="C30" s="1608">
        <f>'2nd Interim-Assumptions'!G57</f>
        <v>0</v>
      </c>
      <c r="D30" s="1608">
        <f>'2nd Interim-Assumptions'!H57</f>
        <v>0</v>
      </c>
      <c r="E30" s="1608">
        <f>'2nd Interim-Assumptions'!J57</f>
        <v>0</v>
      </c>
    </row>
    <row r="31" spans="1:5">
      <c r="C31" s="1608"/>
      <c r="D31" s="1608"/>
      <c r="E31" s="1608"/>
    </row>
    <row r="32" spans="1:5">
      <c r="A32" s="1218" t="s">
        <v>447</v>
      </c>
      <c r="C32" s="1619">
        <f>'2nd Interim-Assumptions'!G43</f>
        <v>0</v>
      </c>
      <c r="D32" s="1619">
        <f>'2nd Interim-Assumptions'!H43</f>
        <v>0</v>
      </c>
      <c r="E32" s="1619">
        <f>'2nd Interim-Assumptions'!J43</f>
        <v>0</v>
      </c>
    </row>
    <row r="33" spans="1:5">
      <c r="A33" s="1218" t="s">
        <v>448</v>
      </c>
      <c r="C33" s="1619">
        <f>'2nd Interim-Assumptions'!G59</f>
        <v>0</v>
      </c>
      <c r="D33" s="1619">
        <f>'2nd Interim-Assumptions'!H59</f>
        <v>0</v>
      </c>
      <c r="E33" s="1619">
        <f>'2nd Interim-Assumptions'!J59</f>
        <v>0</v>
      </c>
    </row>
    <row r="34" spans="1:5">
      <c r="A34" s="1218" t="s">
        <v>513</v>
      </c>
      <c r="B34" s="1610"/>
      <c r="C34" s="1603">
        <f>'1st Interim-Assumptions'!G42</f>
        <v>11694.094616969031</v>
      </c>
      <c r="D34" s="1603">
        <f>'1st Interim-Assumptions'!H42</f>
        <v>12103.387928562946</v>
      </c>
      <c r="E34" s="1603">
        <f>'1st Interim-Assumptions'!J42</f>
        <v>12527.006506062649</v>
      </c>
    </row>
    <row r="35" spans="1:5">
      <c r="A35" s="1218" t="s">
        <v>512</v>
      </c>
      <c r="B35" s="1610"/>
      <c r="C35" s="1603">
        <f>'2nd Interim-Assumptions'!G58</f>
        <v>0</v>
      </c>
      <c r="D35" s="1603">
        <f>'2nd Interim-Assumptions'!H58</f>
        <v>0</v>
      </c>
      <c r="E35" s="1603">
        <f>'2nd Interim-Assumptions'!J58</f>
        <v>0</v>
      </c>
    </row>
    <row r="36" spans="1:5">
      <c r="C36" s="1610"/>
      <c r="D36" s="1610"/>
      <c r="E36" s="1610"/>
    </row>
    <row r="37" spans="1:5">
      <c r="A37" s="1613" t="s">
        <v>453</v>
      </c>
      <c r="C37" s="1620">
        <f>'2nd Interim-Assumptions'!G67</f>
        <v>0</v>
      </c>
      <c r="D37" s="1620">
        <f>'2nd Interim-Assumptions'!H67</f>
        <v>0</v>
      </c>
      <c r="E37" s="1620">
        <f>'2nd Interim-Assumptions'!J67</f>
        <v>0</v>
      </c>
    </row>
    <row r="38" spans="1:5">
      <c r="A38" s="1218" t="s">
        <v>454</v>
      </c>
      <c r="C38" s="1621">
        <f>'2nd Interim-Assumptions'!G68</f>
        <v>0</v>
      </c>
      <c r="D38" s="1621">
        <f>'2nd Interim-Assumptions'!H68</f>
        <v>0</v>
      </c>
      <c r="E38" s="1621">
        <f>'2nd Interim-Assumptions'!J68</f>
        <v>0</v>
      </c>
    </row>
    <row r="39" spans="1:5">
      <c r="A39" s="1218" t="s">
        <v>455</v>
      </c>
      <c r="C39" s="1622">
        <f>'2nd Interim-Assumptions'!G69</f>
        <v>0</v>
      </c>
      <c r="D39" s="1622">
        <f>'2nd Interim-Assumptions'!H69</f>
        <v>0</v>
      </c>
      <c r="E39" s="1622">
        <f>'2nd Interim-Assumptions'!J69</f>
        <v>0</v>
      </c>
    </row>
    <row r="40" spans="1:5">
      <c r="A40" s="1218" t="s">
        <v>456</v>
      </c>
      <c r="C40" s="1622">
        <f>'2nd Interim-Assumptions'!G70</f>
        <v>0</v>
      </c>
      <c r="D40" s="1622">
        <f>'2nd Interim-Assumptions'!H70</f>
        <v>0</v>
      </c>
      <c r="E40" s="1622">
        <f>'2nd Interim-Assumptions'!J70</f>
        <v>0</v>
      </c>
    </row>
    <row r="41" spans="1:5">
      <c r="C41" s="1610"/>
      <c r="D41" s="1610"/>
      <c r="E41" s="1610"/>
    </row>
    <row r="42" spans="1:5">
      <c r="A42" s="1218" t="s">
        <v>400</v>
      </c>
      <c r="B42" s="1603"/>
      <c r="C42" s="1603"/>
      <c r="D42" s="1603"/>
      <c r="E42" s="1603"/>
    </row>
    <row r="43" spans="1:5">
      <c r="A43" s="1218" t="s">
        <v>396</v>
      </c>
      <c r="B43" s="1603">
        <f>'2nd Interim-Unrestricted MYP'!E49</f>
        <v>193690.83966911718</v>
      </c>
      <c r="C43" s="1603">
        <f>'2nd Interim-Unrestricted MYP'!H49</f>
        <v>193690.83966911718</v>
      </c>
      <c r="D43" s="1603">
        <f>'2nd Interim-Unrestricted MYP'!J49</f>
        <v>0</v>
      </c>
      <c r="E43" s="1603">
        <f>'2nd Interim-Unrestricted MYP'!L49</f>
        <v>0</v>
      </c>
    </row>
    <row r="44" spans="1:5">
      <c r="A44" s="1218" t="s">
        <v>410</v>
      </c>
      <c r="B44" s="1603">
        <f>'2nd Interim-Unrestricted MYP'!E50</f>
        <v>0</v>
      </c>
      <c r="C44" s="1603">
        <f>'2nd Interim-Unrestricted MYP'!H50</f>
        <v>0</v>
      </c>
      <c r="D44" s="1603">
        <f>'2nd Interim-Unrestricted MYP'!J50</f>
        <v>0</v>
      </c>
      <c r="E44" s="1603">
        <f>'2nd Interim-Unrestricted MYP'!L50</f>
        <v>0</v>
      </c>
    </row>
    <row r="45" spans="1:5">
      <c r="A45" s="1218" t="s">
        <v>236</v>
      </c>
      <c r="B45" s="1603">
        <f>'2nd Interim-Unrestricted MYP'!E51</f>
        <v>0</v>
      </c>
      <c r="C45" s="1617">
        <f>'2nd Interim-Unrestricted MYP'!H51</f>
        <v>193690.83966911718</v>
      </c>
      <c r="D45" s="1603">
        <f>'2nd Interim-Unrestricted MYP'!J51</f>
        <v>0</v>
      </c>
      <c r="E45" s="1603">
        <f>'2nd Interim-Unrestricted MYP'!L51</f>
        <v>0</v>
      </c>
    </row>
    <row r="46" spans="1:5">
      <c r="A46" s="1218" t="s">
        <v>397</v>
      </c>
      <c r="B46" s="1603">
        <f>'2nd Interim-Unrestricted MYP'!E52</f>
        <v>0</v>
      </c>
      <c r="C46" s="1617">
        <f>'2nd Interim-Unrestricted MYP'!H52</f>
        <v>0</v>
      </c>
      <c r="D46" s="1603">
        <f>'2nd Interim-Unrestricted MYP'!J52</f>
        <v>0</v>
      </c>
      <c r="E46" s="1603">
        <f>'2nd Interim-Unrestricted MYP'!L52</f>
        <v>0</v>
      </c>
    </row>
    <row r="47" spans="1:5">
      <c r="A47" s="1218" t="s">
        <v>398</v>
      </c>
      <c r="B47" s="1603">
        <f>'2nd Interim-Unrestricted MYP'!E53</f>
        <v>0</v>
      </c>
      <c r="C47" s="1603">
        <f>'2nd Interim-Unrestricted MYP'!H53</f>
        <v>0</v>
      </c>
      <c r="D47" s="1603">
        <f>'2nd Interim-Unrestricted MYP'!J53</f>
        <v>0</v>
      </c>
      <c r="E47" s="1603">
        <f>'2nd Interim-Unrestricted MYP'!L53</f>
        <v>0</v>
      </c>
    </row>
    <row r="48" spans="1:5">
      <c r="A48" s="1218" t="s">
        <v>284</v>
      </c>
      <c r="B48" s="1603">
        <f>'2nd Interim-Unrestricted MYP'!E54</f>
        <v>0</v>
      </c>
      <c r="C48" s="1617">
        <f>'2nd Interim-Unrestricted MYP'!H54</f>
        <v>193690.83966911718</v>
      </c>
      <c r="D48" s="1603" t="e">
        <f>'2nd Interim-Unrestricted MYP'!J54</f>
        <v>#VALUE!</v>
      </c>
      <c r="E48" s="1603" t="e">
        <f>'2nd Interim-Unrestricted MYP'!L54</f>
        <v>#VALUE!</v>
      </c>
    </row>
    <row r="49" spans="1:5">
      <c r="A49" s="1218" t="s">
        <v>399</v>
      </c>
      <c r="B49" s="1603">
        <f>'2nd Interim-Unrestricted MYP'!E55</f>
        <v>385104.05864251911</v>
      </c>
      <c r="C49" s="1617" t="e">
        <f>'2nd Interim-Unrestricted MYP'!H55</f>
        <v>#VALUE!</v>
      </c>
      <c r="D49" s="1603" t="e">
        <f>'2nd Interim-Unrestricted MYP'!J55</f>
        <v>#VALUE!</v>
      </c>
      <c r="E49" s="1603" t="e">
        <f>'2nd Interim-Unrestricted MYP'!L55</f>
        <v>#VALUE!</v>
      </c>
    </row>
    <row r="50" spans="1:5">
      <c r="B50" s="1603"/>
      <c r="C50" s="1617"/>
      <c r="D50" s="1603"/>
      <c r="E50" s="1603"/>
    </row>
    <row r="51" spans="1:5">
      <c r="A51" s="1218" t="s">
        <v>402</v>
      </c>
      <c r="B51" s="1603">
        <f>'2nd Interim-Unrestricted MYP'!E59</f>
        <v>0</v>
      </c>
      <c r="C51" s="1617">
        <f>'2nd Interim-Unrestricted MYP'!H59</f>
        <v>0</v>
      </c>
      <c r="D51" s="1603">
        <f>'2nd Interim-Unrestricted MYP'!J59</f>
        <v>0</v>
      </c>
      <c r="E51" s="1603">
        <f>'2nd Interim-Unrestricted MYP'!L59</f>
        <v>0</v>
      </c>
    </row>
    <row r="52" spans="1:5">
      <c r="A52" s="1218" t="s">
        <v>411</v>
      </c>
      <c r="B52" s="1603">
        <f>'2nd Interim-Unrestricted MYP'!E60</f>
        <v>0</v>
      </c>
      <c r="C52" s="1603">
        <f>'2nd Interim-Unrestricted MYP'!H60</f>
        <v>0</v>
      </c>
      <c r="D52" s="1603">
        <f>'2nd Interim-Unrestricted MYP'!J60</f>
        <v>0</v>
      </c>
      <c r="E52" s="1603">
        <f>'2nd Interim-Unrestricted MYP'!L60</f>
        <v>0</v>
      </c>
    </row>
    <row r="53" spans="1:5">
      <c r="A53" s="1614" t="s">
        <v>403</v>
      </c>
      <c r="B53" s="1618">
        <f>'2nd Interim-Unrestricted MYP'!E61</f>
        <v>0</v>
      </c>
      <c r="C53" s="1603">
        <f>'2nd Interim-Unrestricted MYP'!H61</f>
        <v>0</v>
      </c>
      <c r="D53" s="1603">
        <f>'2nd Interim-Unrestricted MYP'!J61</f>
        <v>0</v>
      </c>
      <c r="E53" s="1603">
        <f>'2nd Interim-Unrestricted MYP'!L61</f>
        <v>0</v>
      </c>
    </row>
    <row r="54" spans="1:5">
      <c r="A54" s="1614" t="s">
        <v>404</v>
      </c>
      <c r="B54" s="1618">
        <f>'2nd Interim-Unrestricted MYP'!E62</f>
        <v>0</v>
      </c>
      <c r="C54" s="1603">
        <f>'2nd Interim-Unrestricted MYP'!H62</f>
        <v>0</v>
      </c>
      <c r="D54" s="1603">
        <f>'2nd Interim-Unrestricted MYP'!J62</f>
        <v>0</v>
      </c>
      <c r="E54" s="1603">
        <f>'2nd Interim-Unrestricted MYP'!L62</f>
        <v>0</v>
      </c>
    </row>
    <row r="55" spans="1:5">
      <c r="A55" s="1614" t="s">
        <v>405</v>
      </c>
      <c r="B55" s="1618">
        <f>'2nd Interim-Unrestricted MYP'!E65</f>
        <v>0</v>
      </c>
      <c r="C55" s="1603">
        <f>'2nd Interim-Unrestricted MYP'!H65</f>
        <v>0</v>
      </c>
      <c r="D55" s="1603">
        <f>'2nd Interim-Unrestricted MYP'!J65</f>
        <v>0</v>
      </c>
      <c r="E55" s="1603">
        <f>'2nd Interim-Unrestricted MYP'!L65</f>
        <v>0</v>
      </c>
    </row>
    <row r="56" spans="1:5">
      <c r="A56" s="1614" t="s">
        <v>406</v>
      </c>
      <c r="B56" s="1618">
        <f>'2nd Interim-Unrestricted MYP'!E66</f>
        <v>0</v>
      </c>
      <c r="C56" s="1603">
        <f>'2nd Interim-Unrestricted MYP'!H66</f>
        <v>0</v>
      </c>
      <c r="D56" s="1603">
        <f>'2nd Interim-Unrestricted MYP'!J66</f>
        <v>0</v>
      </c>
      <c r="E56" s="1603">
        <f>'2nd Interim-Unrestricted MYP'!L66</f>
        <v>0</v>
      </c>
    </row>
    <row r="57" spans="1:5">
      <c r="A57" s="1614" t="s">
        <v>407</v>
      </c>
      <c r="B57" s="1618">
        <f>'2nd Interim-Unrestricted MYP'!E66</f>
        <v>0</v>
      </c>
      <c r="C57" s="1603">
        <f>'2nd Interim-Unrestricted MYP'!H66</f>
        <v>0</v>
      </c>
      <c r="D57" s="1603">
        <f>'2nd Interim-Unrestricted MYP'!J66</f>
        <v>0</v>
      </c>
      <c r="E57" s="1603">
        <f>'2nd Interim-Unrestricted MYP'!L66</f>
        <v>0</v>
      </c>
    </row>
    <row r="58" spans="1:5">
      <c r="A58" s="1614" t="s">
        <v>408</v>
      </c>
      <c r="B58" s="1618">
        <f>'2nd Interim-Unrestricted MYP'!E69</f>
        <v>0</v>
      </c>
      <c r="C58" s="1603">
        <f>'2nd Interim-Unrestricted MYP'!H69</f>
        <v>0</v>
      </c>
      <c r="D58" s="1603">
        <f>'2nd Interim-Unrestricted MYP'!J69</f>
        <v>0</v>
      </c>
      <c r="E58" s="1603">
        <f>'2nd Interim-Unrestricted MYP'!L69</f>
        <v>0</v>
      </c>
    </row>
    <row r="59" spans="1:5">
      <c r="A59" s="1614" t="s">
        <v>409</v>
      </c>
      <c r="B59" s="1618">
        <f>'2nd Interim-Unrestricted MYP'!E70</f>
        <v>385104.05864251911</v>
      </c>
      <c r="C59" s="1603" t="e">
        <f>'2nd Interim-Unrestricted MYP'!H70</f>
        <v>#VALUE!</v>
      </c>
      <c r="D59" s="1603" t="e">
        <f>'2nd Interim-Unrestricted MYP'!J70</f>
        <v>#VALUE!</v>
      </c>
      <c r="E59" s="1603" t="e">
        <f>'2nd Interim-Unrestricted MYP'!L70</f>
        <v>#VALUE!</v>
      </c>
    </row>
    <row r="60" spans="1:5">
      <c r="A60" s="1614"/>
      <c r="B60" s="1618"/>
      <c r="C60" s="1603"/>
      <c r="D60" s="1603"/>
      <c r="E60" s="1603"/>
    </row>
    <row r="61" spans="1:5">
      <c r="A61" s="1614" t="s">
        <v>401</v>
      </c>
      <c r="B61" s="1618"/>
      <c r="C61" s="1603"/>
      <c r="D61" s="1603"/>
      <c r="E61" s="1603"/>
    </row>
    <row r="62" spans="1:5">
      <c r="A62" s="1218" t="s">
        <v>396</v>
      </c>
      <c r="B62" s="1603">
        <f>'2nd Interim-Restricted MYP'!E49</f>
        <v>0</v>
      </c>
      <c r="C62" s="1603">
        <f>'2nd Interim-Restricted MYP'!H49</f>
        <v>0</v>
      </c>
      <c r="D62" s="1603">
        <f>'2nd Interim-Restricted MYP'!J49</f>
        <v>0</v>
      </c>
      <c r="E62" s="1603">
        <f>'2nd Interim-Restricted MYP'!L49</f>
        <v>0</v>
      </c>
    </row>
    <row r="63" spans="1:5">
      <c r="A63" s="1218" t="s">
        <v>410</v>
      </c>
      <c r="B63" s="1603">
        <f>'2nd Interim-Restricted MYP'!E50</f>
        <v>0</v>
      </c>
      <c r="C63" s="1603">
        <f>'2nd Interim-Restricted MYP'!H50</f>
        <v>0</v>
      </c>
      <c r="D63" s="1603">
        <f>'2nd Interim-Restricted MYP'!J50</f>
        <v>0</v>
      </c>
      <c r="E63" s="1603">
        <f>'2nd Interim-Restricted MYP'!L50</f>
        <v>0</v>
      </c>
    </row>
    <row r="64" spans="1:5">
      <c r="A64" s="1218" t="s">
        <v>236</v>
      </c>
      <c r="B64" s="1603">
        <f>B62+B63</f>
        <v>0</v>
      </c>
      <c r="C64" s="1603">
        <f>C62+C63</f>
        <v>0</v>
      </c>
      <c r="D64" s="1603">
        <f>D62+D63</f>
        <v>0</v>
      </c>
      <c r="E64" s="1603">
        <f>E62+E63</f>
        <v>0</v>
      </c>
    </row>
    <row r="65" spans="1:5">
      <c r="A65" s="1218" t="s">
        <v>397</v>
      </c>
      <c r="B65" s="1603">
        <f>'2nd Interim-Restricted MYP'!E52</f>
        <v>0</v>
      </c>
      <c r="C65" s="1603">
        <f>'2nd Interim-Restricted MYP'!H52</f>
        <v>0</v>
      </c>
      <c r="D65" s="1603">
        <f>'2nd Interim-Restricted MYP'!J52</f>
        <v>0</v>
      </c>
      <c r="E65" s="1603">
        <f>'2nd Interim-Restricted MYP'!L52</f>
        <v>0</v>
      </c>
    </row>
    <row r="66" spans="1:5">
      <c r="A66" s="1218" t="s">
        <v>398</v>
      </c>
      <c r="B66" s="1603">
        <f>'2nd Interim-Restricted MYP'!E53</f>
        <v>0</v>
      </c>
      <c r="C66" s="1603">
        <f>'2nd Interim-Restricted MYP'!H53</f>
        <v>0</v>
      </c>
      <c r="D66" s="1603">
        <f>'2nd Interim-Restricted MYP'!J53</f>
        <v>0</v>
      </c>
      <c r="E66" s="1603">
        <f>'2nd Interim-Restricted MYP'!L53</f>
        <v>0</v>
      </c>
    </row>
    <row r="67" spans="1:5">
      <c r="A67" s="1218" t="s">
        <v>284</v>
      </c>
      <c r="B67" s="1603">
        <f>'2nd Interim-Restricted MYP'!E54</f>
        <v>0</v>
      </c>
      <c r="C67" s="1603">
        <f>'2nd Interim-Restricted MYP'!H54</f>
        <v>0</v>
      </c>
      <c r="D67" s="1603" t="e">
        <f>'2nd Interim-Restricted MYP'!J54</f>
        <v>#VALUE!</v>
      </c>
      <c r="E67" s="1603" t="e">
        <f>'2nd Interim-Restricted MYP'!L54</f>
        <v>#VALUE!</v>
      </c>
    </row>
    <row r="68" spans="1:5">
      <c r="A68" s="1218" t="s">
        <v>399</v>
      </c>
      <c r="B68" s="1603">
        <f>'2nd Interim-Restricted MYP'!E55</f>
        <v>78151.97</v>
      </c>
      <c r="C68" s="1603" t="e">
        <f>'2nd Interim-Restricted MYP'!H55</f>
        <v>#VALUE!</v>
      </c>
      <c r="D68" s="1603" t="e">
        <f>'2nd Interim-Restricted MYP'!J55</f>
        <v>#VALUE!</v>
      </c>
      <c r="E68" s="1603" t="e">
        <f>'2nd Interim-Restricted MYP'!L55</f>
        <v>#VALUE!</v>
      </c>
    </row>
    <row r="69" spans="1:5">
      <c r="B69" s="1603"/>
      <c r="C69" s="1603"/>
      <c r="D69" s="1603"/>
      <c r="E69" s="1603"/>
    </row>
    <row r="70" spans="1:5">
      <c r="A70" s="1218" t="s">
        <v>393</v>
      </c>
      <c r="B70" s="1603">
        <f>'2nd Interim-Unrestricted MYP'!E13</f>
        <v>8090636.0600000005</v>
      </c>
      <c r="C70" s="1603">
        <f>'2nd Interim-Unrestricted MYP'!H13</f>
        <v>0</v>
      </c>
      <c r="D70" s="1603">
        <f>'2nd Interim-Unrestricted MYP'!J13</f>
        <v>0</v>
      </c>
      <c r="E70" s="1603">
        <f>'2nd Interim-Unrestricted MYP'!L13</f>
        <v>0</v>
      </c>
    </row>
    <row r="71" spans="1:5">
      <c r="A71" s="1218" t="s">
        <v>412</v>
      </c>
      <c r="B71" s="1603">
        <f>'2nd Interim-Unrestricted MYP'!E14</f>
        <v>157400</v>
      </c>
      <c r="C71" s="1603">
        <f>'2nd Interim-Unrestricted MYP'!H15</f>
        <v>0</v>
      </c>
      <c r="D71" s="1603">
        <f>'2nd Interim-Unrestricted MYP'!J14</f>
        <v>0</v>
      </c>
      <c r="E71" s="1603">
        <f>'2nd Interim-Unrestricted MYP'!L14</f>
        <v>0</v>
      </c>
    </row>
    <row r="72" spans="1:5">
      <c r="A72" s="1218" t="s">
        <v>395</v>
      </c>
      <c r="B72" s="1603">
        <f>'2nd Interim-Unrestricted MYP'!E15</f>
        <v>0</v>
      </c>
      <c r="C72" s="1603">
        <f>'2nd Interim-Unrestricted MYP'!H15</f>
        <v>0</v>
      </c>
      <c r="D72" s="1603">
        <f>'2nd Interim-Unrestricted MYP'!J15</f>
        <v>0</v>
      </c>
      <c r="E72" s="1603">
        <f>'2nd Interim-Unrestricted MYP'!L15</f>
        <v>0</v>
      </c>
    </row>
    <row r="73" spans="1:5">
      <c r="A73" s="1218" t="s">
        <v>394</v>
      </c>
      <c r="B73" s="1603">
        <f>'2nd Interim-Unrestricted MYP'!E16</f>
        <v>204132</v>
      </c>
      <c r="C73" s="1603">
        <f>'2nd Interim-Unrestricted MYP'!H16</f>
        <v>0</v>
      </c>
      <c r="D73" s="1603">
        <f>'2nd Interim-Unrestricted MYP'!J16</f>
        <v>0</v>
      </c>
      <c r="E73" s="1603">
        <f>'2nd Interim-Unrestricted MYP'!L16</f>
        <v>0</v>
      </c>
    </row>
    <row r="74" spans="1:5">
      <c r="B74" s="1607"/>
      <c r="C74" s="1607"/>
      <c r="D74" s="1607"/>
      <c r="E74" s="1607"/>
    </row>
    <row r="75" spans="1:5">
      <c r="A75" s="1218" t="s">
        <v>467</v>
      </c>
      <c r="B75" s="1616">
        <f>'2nd Interim-Summary MYP'!E73</f>
        <v>0.04</v>
      </c>
      <c r="C75" s="1616" t="e">
        <f>'2nd Interim-Summary MYP'!H73</f>
        <v>#VALUE!</v>
      </c>
      <c r="D75" s="1616" t="e">
        <f>'2nd Interim-Summary MYP'!J73</f>
        <v>#VALUE!</v>
      </c>
      <c r="E75" s="1616" t="e">
        <f>'2nd Interim-Summary MYP'!L73</f>
        <v>#VALUE!</v>
      </c>
    </row>
    <row r="76" spans="1:5">
      <c r="A76" s="1218" t="s">
        <v>483</v>
      </c>
      <c r="B76" s="1616" t="str">
        <f>IF('2nd Interim-Summary MYP'!E74="","",'2nd Interim-Summary MYP'!E74)</f>
        <v/>
      </c>
      <c r="C76" s="1616" t="str">
        <f>IF('2nd Interim-Summary MYP'!H74="","",'2nd Interim-Summary MYP'!H74)</f>
        <v/>
      </c>
      <c r="D76" s="1616" t="str">
        <f>IF('2nd Interim-Summary MYP'!J74="","",'2nd Interim-Summary MYP'!J74)</f>
        <v/>
      </c>
      <c r="E76" s="1616" t="str">
        <f>IF('2nd Interim-Summary MYP'!L74="","",'2nd Interim-Summary MYP'!L74)</f>
        <v/>
      </c>
    </row>
    <row r="77" spans="1:5">
      <c r="A77" s="1218" t="s">
        <v>426</v>
      </c>
      <c r="B77" s="1611">
        <f>'2nd Interim-Summary MYP'!E71</f>
        <v>4.0550919003673247E-2</v>
      </c>
      <c r="C77" s="1611" t="e">
        <f>'2nd Interim-Summary MYP'!H71</f>
        <v>#VALUE!</v>
      </c>
      <c r="D77" s="1611" t="e">
        <f>'2nd Interim-Summary MYP'!J71</f>
        <v>#VALUE!</v>
      </c>
      <c r="E77" s="1611" t="e">
        <f>'2nd Interim-Summary MYP'!L71</f>
        <v>#VALUE!</v>
      </c>
    </row>
    <row r="78" spans="1:5">
      <c r="A78" s="1218" t="s">
        <v>421</v>
      </c>
      <c r="B78" s="1611">
        <f>'2nd Interim-Summary MYP'!E81</f>
        <v>1.4E-2</v>
      </c>
      <c r="C78" s="1611" t="e">
        <f>'2nd Interim-Summary MYP'!H81</f>
        <v>#VALUE!</v>
      </c>
      <c r="D78" s="1611" t="e">
        <f>'2nd Interim-Summary MYP'!J81</f>
        <v>#VALUE!</v>
      </c>
      <c r="E78" s="1611" t="e">
        <f>'2nd Interim-Summary MYP'!L81</f>
        <v>#VALUE!</v>
      </c>
    </row>
    <row r="79" spans="1:5">
      <c r="A79" s="1218" t="s">
        <v>427</v>
      </c>
      <c r="B79" s="1611">
        <f>'2nd Interim-Summary MYP'!E80</f>
        <v>0</v>
      </c>
      <c r="C79" s="1611" t="e">
        <f>'2nd Interim-Summary MYP'!H80</f>
        <v>#VALUE!</v>
      </c>
      <c r="D79" s="1611" t="e">
        <f>'2nd Interim-Summary MYP'!J80</f>
        <v>#VALUE!</v>
      </c>
      <c r="E79" s="1611" t="e">
        <f>'2nd Interim-Summary MYP'!L80</f>
        <v>#VALUE!</v>
      </c>
    </row>
    <row r="80" spans="1:5">
      <c r="B80" s="1611"/>
      <c r="C80" s="1611"/>
      <c r="D80" s="1611"/>
      <c r="E80" s="1611"/>
    </row>
    <row r="81" spans="1:5">
      <c r="A81" s="1218" t="s">
        <v>435</v>
      </c>
      <c r="B81" s="1615">
        <f>'2nd Interim-Unrestricted MYP'!E26+'2nd Interim-Unrestricted MYP'!E42</f>
        <v>8586152.4332600012</v>
      </c>
      <c r="C81" s="1615" t="e">
        <f>'2nd Interim-Unrestricted MYP'!H26+'2nd Interim-Unrestricted MYP'!H42</f>
        <v>#VALUE!</v>
      </c>
      <c r="D81" s="1615" t="e">
        <f>'2nd Interim-Unrestricted MYP'!J26+'2nd Interim-Unrestricted MYP'!J42</f>
        <v>#VALUE!</v>
      </c>
      <c r="E81" s="1615" t="e">
        <f>'2nd Interim-Unrestricted MYP'!L26+'2nd Interim-Unrestricted MYP'!L42</f>
        <v>#VALUE!</v>
      </c>
    </row>
    <row r="82" spans="1:5">
      <c r="A82" s="1218" t="s">
        <v>436</v>
      </c>
      <c r="B82" s="1603">
        <f>'2nd Interim-Unrestricted MYP'!E37+'2nd Interim-Unrestricted MYP'!E43</f>
        <v>8394739.2142865993</v>
      </c>
      <c r="C82" s="1603">
        <f>'2nd Interim-Unrestricted MYP'!H37+'2nd Interim-Unrestricted MYP'!H43</f>
        <v>0</v>
      </c>
      <c r="D82" s="1603">
        <f>'2nd Interim-Unrestricted MYP'!J37+'2nd Interim-Unrestricted MYP'!J43</f>
        <v>0</v>
      </c>
      <c r="E82" s="1603">
        <f>'2nd Interim-Unrestricted MYP'!L37+'2nd Interim-Unrestricted MYP'!L43</f>
        <v>0</v>
      </c>
    </row>
    <row r="83" spans="1:5">
      <c r="B83" s="1603"/>
      <c r="C83" s="1603"/>
      <c r="D83" s="1603"/>
      <c r="E83" s="1603"/>
    </row>
    <row r="84" spans="1:5">
      <c r="A84" s="1218" t="s">
        <v>437</v>
      </c>
      <c r="B84" s="1603">
        <f>'2nd Interim-Restricted MYP'!E26+'2nd Interim-Restricted MYP'!E42</f>
        <v>1180215</v>
      </c>
      <c r="C84" s="1603" t="e">
        <f>'2nd Interim-Restricted MYP'!H26+'2nd Interim-Restricted MYP'!H42</f>
        <v>#VALUE!</v>
      </c>
      <c r="D84" s="1603" t="e">
        <f>'2nd Interim-Restricted MYP'!J26+'2nd Interim-Restricted MYP'!J42</f>
        <v>#VALUE!</v>
      </c>
      <c r="E84" s="1603" t="e">
        <f>'2nd Interim-Restricted MYP'!L26+'2nd Interim-Restricted MYP'!L42</f>
        <v>#VALUE!</v>
      </c>
    </row>
    <row r="85" spans="1:5">
      <c r="A85" s="1218" t="s">
        <v>438</v>
      </c>
      <c r="B85" s="1603">
        <f>'2nd Interim-Restricted MYP'!E37+'2nd Interim-Restricted MYP'!E43</f>
        <v>1102063.031</v>
      </c>
      <c r="C85" s="1603">
        <f>'2nd Interim-Restricted MYP'!H37+'2nd Interim-Restricted MYP'!H43</f>
        <v>0</v>
      </c>
      <c r="D85" s="1603">
        <f>'2nd Interim-Restricted MYP'!J37+'2nd Interim-Restricted MYP'!J43</f>
        <v>0</v>
      </c>
      <c r="E85" s="1603">
        <f>'2nd Interim-Restricted MYP'!L37+'2nd Interim-Restricted MYP'!L43</f>
        <v>0</v>
      </c>
    </row>
    <row r="86" spans="1:5">
      <c r="B86" s="1608"/>
      <c r="C86" s="1608"/>
      <c r="D86" s="1608"/>
      <c r="E86" s="1608"/>
    </row>
    <row r="87" spans="1:5">
      <c r="A87" s="1218" t="s">
        <v>439</v>
      </c>
      <c r="B87" s="1608"/>
      <c r="C87" s="1624">
        <f>'2nd Interim-Restricted MYP'!H149</f>
        <v>0</v>
      </c>
      <c r="D87" s="1624">
        <f>'2nd Interim-Restricted MYP'!J149</f>
        <v>0</v>
      </c>
      <c r="E87" s="1624">
        <f>'2nd Interim-Restricted MYP'!L149</f>
        <v>0</v>
      </c>
    </row>
    <row r="88" spans="1:5">
      <c r="A88" s="1218" t="s">
        <v>445</v>
      </c>
      <c r="C88" s="1218" t="str">
        <f>T('2nd Interim-Restricted MYP'!E150:M150)</f>
        <v/>
      </c>
    </row>
    <row r="89" spans="1:5">
      <c r="A89" s="1218" t="s">
        <v>441</v>
      </c>
      <c r="B89" s="1610"/>
      <c r="C89" s="1603">
        <f>'2nd Interim-Restricted MYP'!H151</f>
        <v>0</v>
      </c>
      <c r="D89" s="1603">
        <f>'2nd Interim-Restricted MYP'!J151</f>
        <v>0</v>
      </c>
      <c r="E89" s="1603">
        <f>'2nd Interim-Restricted MYP'!L151</f>
        <v>0</v>
      </c>
    </row>
    <row r="90" spans="1:5">
      <c r="A90" s="1218" t="s">
        <v>442</v>
      </c>
      <c r="C90" s="1603">
        <f>'2nd Interim-Restricted MYP'!H152</f>
        <v>0</v>
      </c>
      <c r="D90" s="1603">
        <f>'2nd Interim-Restricted MYP'!J152</f>
        <v>0</v>
      </c>
      <c r="E90" s="1603">
        <f>'2nd Interim-Restricted MYP'!L152</f>
        <v>0</v>
      </c>
    </row>
    <row r="91" spans="1:5">
      <c r="A91" s="1218" t="s">
        <v>440</v>
      </c>
      <c r="B91" s="1608"/>
      <c r="C91" s="1608">
        <f>'2nd Interim-Restricted MYP'!H153</f>
        <v>0</v>
      </c>
      <c r="D91" s="1608">
        <f>'2nd Interim-Restricted MYP'!J153</f>
        <v>0</v>
      </c>
      <c r="E91" s="1608">
        <f>'2nd Interim-Restricted MYP'!L153</f>
        <v>0</v>
      </c>
    </row>
    <row r="92" spans="1:5">
      <c r="A92" s="1218" t="s">
        <v>443</v>
      </c>
      <c r="B92" s="1608"/>
      <c r="C92" s="1608">
        <f>'2nd Interim-Restricted MYP'!H154</f>
        <v>0</v>
      </c>
      <c r="D92" s="1608">
        <f>'2nd Interim-Restricted MYP'!J154</f>
        <v>0</v>
      </c>
      <c r="E92" s="1608">
        <f>'2nd Interim-Restricted MYP'!L154</f>
        <v>0</v>
      </c>
    </row>
    <row r="93" spans="1:5">
      <c r="A93" s="1218" t="s">
        <v>444</v>
      </c>
      <c r="B93" s="1608"/>
      <c r="C93" s="1608">
        <f>'2nd Interim-Restricted MYP'!H155</f>
        <v>0</v>
      </c>
      <c r="D93" s="1608">
        <f>'2nd Interim-Restricted MYP'!J155</f>
        <v>0</v>
      </c>
      <c r="E93" s="1608">
        <f>'2nd Interim-Restricted MYP'!L155</f>
        <v>0</v>
      </c>
    </row>
    <row r="94" spans="1:5">
      <c r="B94" s="1608"/>
      <c r="C94" s="1608"/>
      <c r="D94" s="1608"/>
      <c r="E94" s="1608"/>
    </row>
    <row r="95" spans="1:5">
      <c r="A95" s="1218" t="s">
        <v>449</v>
      </c>
      <c r="B95" s="1608"/>
      <c r="C95" s="1608"/>
      <c r="D95" s="1608"/>
      <c r="E95" s="1608"/>
    </row>
    <row r="96" spans="1:5">
      <c r="A96" s="1218" t="s">
        <v>4</v>
      </c>
      <c r="B96" s="1603">
        <f>'2nd Interim-Unrestricted MYP'!E29</f>
        <v>3153669</v>
      </c>
      <c r="C96" s="1603">
        <f>'2nd Interim-Unrestricted MYP'!H29</f>
        <v>0</v>
      </c>
      <c r="D96" s="1603">
        <f>'2nd Interim-Unrestricted MYP'!J29</f>
        <v>0</v>
      </c>
      <c r="E96" s="1603">
        <f>'2nd Interim-Unrestricted MYP'!L29</f>
        <v>0</v>
      </c>
    </row>
    <row r="97" spans="1:5">
      <c r="A97" s="1218" t="s">
        <v>23</v>
      </c>
      <c r="B97" s="1603">
        <f>'2nd Interim-Unrestricted MYP'!E30</f>
        <v>136650.5</v>
      </c>
      <c r="C97" s="1603">
        <f>'2nd Interim-Unrestricted MYP'!H30</f>
        <v>0</v>
      </c>
      <c r="D97" s="1603">
        <f>'2nd Interim-Unrestricted MYP'!J30</f>
        <v>0</v>
      </c>
      <c r="E97" s="1603">
        <f>'2nd Interim-Unrestricted MYP'!L30</f>
        <v>0</v>
      </c>
    </row>
    <row r="98" spans="1:5">
      <c r="A98" s="1218" t="s">
        <v>24</v>
      </c>
      <c r="B98" s="1603">
        <f>'2nd Interim-Unrestricted MYP'!E31</f>
        <v>968504.72549999994</v>
      </c>
      <c r="C98" s="1603">
        <f>'2nd Interim-Unrestricted MYP'!H31</f>
        <v>0</v>
      </c>
      <c r="D98" s="1603">
        <f>'2nd Interim-Unrestricted MYP'!J31</f>
        <v>0</v>
      </c>
      <c r="E98" s="1603">
        <f>'2nd Interim-Unrestricted MYP'!L31</f>
        <v>0</v>
      </c>
    </row>
    <row r="99" spans="1:5">
      <c r="A99" s="1218" t="s">
        <v>25</v>
      </c>
      <c r="B99" s="1603">
        <f>'2nd Interim-Unrestricted MYP'!E32</f>
        <v>522371.33</v>
      </c>
      <c r="C99" s="1603">
        <f>'2nd Interim-Unrestricted MYP'!H32</f>
        <v>0</v>
      </c>
      <c r="D99" s="1603">
        <f>'2nd Interim-Unrestricted MYP'!J32</f>
        <v>0</v>
      </c>
      <c r="E99" s="1603">
        <f>'2nd Interim-Unrestricted MYP'!L32</f>
        <v>0</v>
      </c>
    </row>
    <row r="100" spans="1:5">
      <c r="A100" s="1218" t="s">
        <v>26</v>
      </c>
      <c r="B100" s="1603">
        <f>'2nd Interim-Unrestricted MYP'!E33</f>
        <v>4541682.3687866004</v>
      </c>
      <c r="C100" s="1603">
        <f>'2nd Interim-Unrestricted MYP'!H33</f>
        <v>0</v>
      </c>
      <c r="D100" s="1603">
        <f>'2nd Interim-Unrestricted MYP'!J33</f>
        <v>0</v>
      </c>
      <c r="E100" s="1603">
        <f>'2nd Interim-Unrestricted MYP'!L33</f>
        <v>0</v>
      </c>
    </row>
    <row r="101" spans="1:5">
      <c r="A101" s="1218" t="s">
        <v>5</v>
      </c>
      <c r="B101" s="1603">
        <f>'2nd Interim-Unrestricted MYP'!E34</f>
        <v>14362.290000000005</v>
      </c>
      <c r="C101" s="1603">
        <f>'2nd Interim-Unrestricted MYP'!H34</f>
        <v>0</v>
      </c>
      <c r="D101" s="1603">
        <f>'2nd Interim-Unrestricted MYP'!J34</f>
        <v>0</v>
      </c>
      <c r="E101" s="1603">
        <f>'2nd Interim-Unrestricted MYP'!L34</f>
        <v>0</v>
      </c>
    </row>
    <row r="102" spans="1:5">
      <c r="A102" s="1218" t="s">
        <v>27</v>
      </c>
      <c r="B102" s="1603">
        <f>'2nd Interim-Unrestricted MYP'!E35</f>
        <v>2499</v>
      </c>
      <c r="C102" s="1603">
        <f>'2nd Interim-Unrestricted MYP'!H35</f>
        <v>0</v>
      </c>
      <c r="D102" s="1603">
        <f>'2nd Interim-Unrestricted MYP'!J35</f>
        <v>0</v>
      </c>
      <c r="E102" s="1603">
        <f>'2nd Interim-Unrestricted MYP'!L35</f>
        <v>0</v>
      </c>
    </row>
    <row r="103" spans="1:5">
      <c r="A103" s="1218" t="s">
        <v>149</v>
      </c>
      <c r="B103" s="1603">
        <f>'2nd Interim-Unrestricted MYP'!E36</f>
        <v>0</v>
      </c>
      <c r="C103" s="1603">
        <f>'2nd Interim-Unrestricted MYP'!H36</f>
        <v>0</v>
      </c>
      <c r="D103" s="1603">
        <f>'2nd Interim-Unrestricted MYP'!J36</f>
        <v>0</v>
      </c>
      <c r="E103" s="1603">
        <f>'2nd Interim-Unrestricted MYP'!L36</f>
        <v>0</v>
      </c>
    </row>
    <row r="104" spans="1:5">
      <c r="A104" s="1218" t="s">
        <v>450</v>
      </c>
      <c r="B104" s="1603">
        <f>'2nd Interim-Unrestricted MYP'!E37</f>
        <v>9339739.2142865993</v>
      </c>
      <c r="C104" s="1603">
        <f>'2nd Interim-Unrestricted MYP'!H37</f>
        <v>0</v>
      </c>
      <c r="D104" s="1603">
        <f>'2nd Interim-Unrestricted MYP'!J37</f>
        <v>0</v>
      </c>
      <c r="E104" s="1603">
        <f>'2nd Interim-Unrestricted MYP'!L37</f>
        <v>0</v>
      </c>
    </row>
    <row r="105" spans="1:5">
      <c r="B105" s="1603"/>
      <c r="C105" s="1603"/>
      <c r="D105" s="1603"/>
      <c r="E105" s="1603"/>
    </row>
    <row r="106" spans="1:5">
      <c r="A106" s="1218" t="s">
        <v>451</v>
      </c>
      <c r="B106" s="1603"/>
      <c r="C106" s="1603"/>
      <c r="D106" s="1603"/>
      <c r="E106" s="1603"/>
    </row>
    <row r="107" spans="1:5">
      <c r="A107" s="1218" t="s">
        <v>4</v>
      </c>
      <c r="B107" s="1603">
        <f>'2nd Interim-Restricted MYP'!E29</f>
        <v>664259</v>
      </c>
      <c r="C107" s="1603">
        <f>'2nd Interim-Restricted MYP'!H29</f>
        <v>0</v>
      </c>
      <c r="D107" s="1603">
        <f>'2nd Interim-Restricted MYP'!J29</f>
        <v>0</v>
      </c>
      <c r="E107" s="1603">
        <f>'2nd Interim-Restricted MYP'!L29</f>
        <v>0</v>
      </c>
    </row>
    <row r="108" spans="1:5">
      <c r="A108" s="1218" t="s">
        <v>23</v>
      </c>
      <c r="B108" s="1603">
        <f>'2nd Interim-Restricted MYP'!E30</f>
        <v>0</v>
      </c>
      <c r="C108" s="1603">
        <f>'2nd Interim-Restricted MYP'!H30</f>
        <v>0</v>
      </c>
      <c r="D108" s="1603">
        <f>'2nd Interim-Restricted MYP'!J30</f>
        <v>0</v>
      </c>
      <c r="E108" s="1603">
        <f>'2nd Interim-Restricted MYP'!L30</f>
        <v>0</v>
      </c>
    </row>
    <row r="109" spans="1:5">
      <c r="A109" s="1218" t="s">
        <v>24</v>
      </c>
      <c r="B109" s="1603">
        <f>'2nd Interim-Restricted MYP'!E31</f>
        <v>195932.03099999999</v>
      </c>
      <c r="C109" s="1603">
        <f>'2nd Interim-Restricted MYP'!H31</f>
        <v>0</v>
      </c>
      <c r="D109" s="1603">
        <f>'2nd Interim-Restricted MYP'!J31</f>
        <v>0</v>
      </c>
      <c r="E109" s="1603">
        <f>'2nd Interim-Restricted MYP'!L31</f>
        <v>0</v>
      </c>
    </row>
    <row r="110" spans="1:5">
      <c r="A110" s="1218" t="s">
        <v>25</v>
      </c>
      <c r="B110" s="1603">
        <f>'2nd Interim-Restricted MYP'!E32</f>
        <v>0</v>
      </c>
      <c r="C110" s="1603">
        <f>'2nd Interim-Restricted MYP'!H32</f>
        <v>0</v>
      </c>
      <c r="D110" s="1603">
        <f>'2nd Interim-Restricted MYP'!J32</f>
        <v>0</v>
      </c>
      <c r="E110" s="1603">
        <f>'2nd Interim-Restricted MYP'!L32</f>
        <v>0</v>
      </c>
    </row>
    <row r="111" spans="1:5">
      <c r="A111" s="1218" t="s">
        <v>26</v>
      </c>
      <c r="B111" s="1603">
        <f>'2nd Interim-Restricted MYP'!E33</f>
        <v>241872</v>
      </c>
      <c r="C111" s="1603">
        <f>'2nd Interim-Restricted MYP'!H33</f>
        <v>0</v>
      </c>
      <c r="D111" s="1603">
        <f>'2nd Interim-Restricted MYP'!J33</f>
        <v>0</v>
      </c>
      <c r="E111" s="1603">
        <f>'2nd Interim-Restricted MYP'!L33</f>
        <v>0</v>
      </c>
    </row>
    <row r="112" spans="1:5">
      <c r="A112" s="1218" t="s">
        <v>5</v>
      </c>
      <c r="B112" s="1603">
        <f>'2nd Interim-Restricted MYP'!E34</f>
        <v>0</v>
      </c>
      <c r="C112" s="1603">
        <f>'2nd Interim-Restricted MYP'!H34</f>
        <v>0</v>
      </c>
      <c r="D112" s="1603">
        <f>'2nd Interim-Restricted MYP'!J34</f>
        <v>0</v>
      </c>
      <c r="E112" s="1603">
        <f>'2nd Interim-Restricted MYP'!L34</f>
        <v>0</v>
      </c>
    </row>
    <row r="113" spans="1:5">
      <c r="A113" s="1218" t="s">
        <v>27</v>
      </c>
      <c r="B113" s="1603">
        <f>'2nd Interim-Restricted MYP'!E35</f>
        <v>0</v>
      </c>
      <c r="C113" s="1603">
        <f>'2nd Interim-Restricted MYP'!H35</f>
        <v>0</v>
      </c>
      <c r="D113" s="1603">
        <f>'2nd Interim-Restricted MYP'!J35</f>
        <v>0</v>
      </c>
      <c r="E113" s="1603">
        <f>'2nd Interim-Restricted MYP'!L35</f>
        <v>0</v>
      </c>
    </row>
    <row r="114" spans="1:5">
      <c r="A114" s="1218" t="s">
        <v>149</v>
      </c>
      <c r="B114" s="1603">
        <f>'2nd Interim-Restricted MYP'!E36</f>
        <v>0</v>
      </c>
      <c r="C114" s="1603">
        <f>'2nd Interim-Restricted MYP'!H36</f>
        <v>0</v>
      </c>
      <c r="D114" s="1603">
        <f>'2nd Interim-Restricted MYP'!J36</f>
        <v>0</v>
      </c>
      <c r="E114" s="1603">
        <f>'2nd Interim-Restricted MYP'!L36</f>
        <v>0</v>
      </c>
    </row>
    <row r="115" spans="1:5">
      <c r="A115" s="1218" t="s">
        <v>450</v>
      </c>
      <c r="B115" s="1603">
        <f>'2nd Interim-Restricted MYP'!E37</f>
        <v>1102063.031</v>
      </c>
      <c r="C115" s="1603">
        <f>'2nd Interim-Restricted MYP'!H37</f>
        <v>0</v>
      </c>
      <c r="D115" s="1603">
        <f>'2nd Interim-Restricted MYP'!J37</f>
        <v>0</v>
      </c>
      <c r="E115" s="1603">
        <f>'2nd Interim-Restricted MYP'!L37</f>
        <v>0</v>
      </c>
    </row>
    <row r="116" spans="1:5">
      <c r="B116" s="1603"/>
      <c r="C116" s="1603"/>
      <c r="D116" s="1603"/>
      <c r="E116" s="1603"/>
    </row>
    <row r="117" spans="1:5">
      <c r="A117" s="1218" t="s">
        <v>340</v>
      </c>
      <c r="B117" s="1603"/>
      <c r="C117" s="1603">
        <f>'2nd Interim-Assumptions'!G73</f>
        <v>0</v>
      </c>
      <c r="D117" s="1603">
        <f>'2nd Interim-Assumptions'!H73</f>
        <v>0</v>
      </c>
      <c r="E117" s="1603">
        <f>'2nd Interim-Assumptions'!J73</f>
        <v>0</v>
      </c>
    </row>
    <row r="118" spans="1:5">
      <c r="A118" s="1218" t="s">
        <v>341</v>
      </c>
      <c r="B118" s="1603"/>
      <c r="C118" s="1603">
        <f>'2nd Interim-Assumptions'!G74</f>
        <v>0</v>
      </c>
      <c r="D118" s="1603">
        <f>'2nd Interim-Assumptions'!H74</f>
        <v>0</v>
      </c>
      <c r="E118" s="1603">
        <f>'2nd Interim-Assumptions'!J74</f>
        <v>0</v>
      </c>
    </row>
    <row r="119" spans="1:5">
      <c r="A119" s="1218" t="s">
        <v>342</v>
      </c>
      <c r="B119" s="1603"/>
      <c r="C119" s="1603">
        <f>'2nd Interim-Assumptions'!G75</f>
        <v>0</v>
      </c>
      <c r="D119" s="1603">
        <f>'2nd Interim-Assumptions'!H75</f>
        <v>0</v>
      </c>
      <c r="E119" s="1603">
        <f>'2nd Interim-Assumptions'!J75</f>
        <v>0</v>
      </c>
    </row>
    <row r="120" spans="1:5">
      <c r="A120" s="1218" t="s">
        <v>161</v>
      </c>
      <c r="B120" s="1603"/>
      <c r="C120" s="1603">
        <f>'2nd Interim-Assumptions'!G76</f>
        <v>0</v>
      </c>
      <c r="D120" s="1603">
        <f>'2nd Interim-Assumptions'!H76</f>
        <v>0</v>
      </c>
      <c r="E120" s="1603">
        <f>'2nd Interim-Assumptions'!J76</f>
        <v>0</v>
      </c>
    </row>
    <row r="121" spans="1:5">
      <c r="C121" s="1608"/>
      <c r="D121" s="1608"/>
      <c r="E121" s="1608"/>
    </row>
    <row r="122" spans="1:5">
      <c r="A122" s="1218" t="s">
        <v>41</v>
      </c>
      <c r="C122" s="1608">
        <f>'2nd Interim-Assumptions'!G82</f>
        <v>0</v>
      </c>
      <c r="D122" s="1608">
        <f>'2nd Interim-Assumptions'!H82</f>
        <v>0</v>
      </c>
      <c r="E122" s="1608">
        <f>'2nd Interim-Assumptions'!J82</f>
        <v>0</v>
      </c>
    </row>
    <row r="123" spans="1:5">
      <c r="A123" s="1218" t="s">
        <v>235</v>
      </c>
      <c r="C123" s="1603">
        <f>'2nd Interim-Assumptions'!G83</f>
        <v>0</v>
      </c>
      <c r="D123" s="1603">
        <f>'2nd Interim-Assumptions'!H83</f>
        <v>0</v>
      </c>
      <c r="E123" s="1603">
        <f>'2nd Interim-Assumptions'!J83</f>
        <v>0</v>
      </c>
    </row>
    <row r="124" spans="1:5">
      <c r="A124" s="1218" t="s">
        <v>515</v>
      </c>
      <c r="C124" s="1608">
        <f>'2nd Interim-Assumptions'!G84</f>
        <v>0</v>
      </c>
      <c r="D124" s="1608">
        <f>'2nd Interim-Assumptions'!H84</f>
        <v>0</v>
      </c>
      <c r="E124" s="1608">
        <f>'2nd Interim-Assumptions'!J84</f>
        <v>0</v>
      </c>
    </row>
    <row r="125" spans="1:5">
      <c r="C125" s="1608"/>
      <c r="D125" s="1608"/>
      <c r="E125" s="1608"/>
    </row>
    <row r="126" spans="1:5">
      <c r="A126" s="1218" t="s">
        <v>482</v>
      </c>
      <c r="C126" s="1608"/>
      <c r="D126" s="1608"/>
      <c r="E126" s="1608"/>
    </row>
    <row r="127" spans="1:5">
      <c r="A127" s="1218" t="str">
        <f>T('2nd Interim-DEBT'!A15)</f>
        <v>State School Building Loans</v>
      </c>
      <c r="C127" s="1608">
        <f>'2nd Interim-DEBT'!E15+'2nd Interim-DEBT'!F15</f>
        <v>0</v>
      </c>
      <c r="D127" s="1608">
        <f>'2nd Interim-DEBT'!G15+'2nd Interim-DEBT'!H15</f>
        <v>0</v>
      </c>
      <c r="E127" s="1608">
        <f>'2nd Interim-DEBT'!I15+'2nd Interim-DEBT'!J15</f>
        <v>0</v>
      </c>
    </row>
    <row r="128" spans="1:5">
      <c r="A128" s="1218" t="str">
        <f>T('2nd Interim-DEBT'!A16)</f>
        <v>Charter School Start-up Loans</v>
      </c>
      <c r="C128" s="1603">
        <f>'2nd Interim-DEBT'!E16+'2nd Interim-DEBT'!F16</f>
        <v>0</v>
      </c>
      <c r="D128" s="1603">
        <f>'2nd Interim-DEBT'!G16+'2nd Interim-DEBT'!H16</f>
        <v>0</v>
      </c>
      <c r="E128" s="1603">
        <f>'2nd Interim-DEBT'!I16+'2nd Interim-DEBT'!J16</f>
        <v>0</v>
      </c>
    </row>
    <row r="129" spans="1:5">
      <c r="A129" s="1218" t="str">
        <f>T('2nd Interim-DEBT'!A17)</f>
        <v>Other Post Employment Benefits</v>
      </c>
      <c r="C129" s="1603">
        <f>'2nd Interim-DEBT'!E17+'2nd Interim-DEBT'!F17</f>
        <v>0</v>
      </c>
      <c r="D129" s="1603">
        <f>'2nd Interim-DEBT'!G17+'2nd Interim-DEBT'!H17</f>
        <v>0</v>
      </c>
      <c r="E129" s="1603">
        <f>'2nd Interim-DEBT'!I17+'2nd Interim-DEBT'!J17</f>
        <v>0</v>
      </c>
    </row>
    <row r="130" spans="1:5">
      <c r="A130" s="1218" t="str">
        <f>T('2nd Interim-DEBT'!A18)</f>
        <v>Compensated Absences</v>
      </c>
      <c r="C130" s="1603">
        <f>'2nd Interim-DEBT'!E18+'2nd Interim-DEBT'!F18</f>
        <v>0</v>
      </c>
      <c r="D130" s="1603">
        <f>'2nd Interim-DEBT'!G18+'2nd Interim-DEBT'!H18</f>
        <v>0</v>
      </c>
      <c r="E130" s="1603">
        <f>'2nd Interim-DEBT'!I18+'2nd Interim-DEBT'!J18</f>
        <v>0</v>
      </c>
    </row>
    <row r="131" spans="1:5">
      <c r="A131" s="1218" t="str">
        <f>T('2nd Interim-DEBT'!A19)</f>
        <v>Bank Line of Credit Loans</v>
      </c>
      <c r="C131" s="1603">
        <f>'2nd Interim-DEBT'!E19+'2nd Interim-DEBT'!F19</f>
        <v>0</v>
      </c>
      <c r="D131" s="1603">
        <f>'2nd Interim-DEBT'!G19+'2nd Interim-DEBT'!H19</f>
        <v>0</v>
      </c>
      <c r="E131" s="1603">
        <f>'2nd Interim-DEBT'!I19+'2nd Interim-DEBT'!J19</f>
        <v>0</v>
      </c>
    </row>
    <row r="132" spans="1:5">
      <c r="A132" s="1218" t="str">
        <f>T('2nd Interim-DEBT'!A20)</f>
        <v>Municipal Lease</v>
      </c>
      <c r="C132" s="1603">
        <f>'2nd Interim-DEBT'!E20+'2nd Interim-DEBT'!F20</f>
        <v>0</v>
      </c>
      <c r="D132" s="1603">
        <f>'2nd Interim-DEBT'!G20+'2nd Interim-DEBT'!H20</f>
        <v>0</v>
      </c>
      <c r="E132" s="1603">
        <f>'2nd Interim-DEBT'!I20+'2nd Interim-DEBT'!J20</f>
        <v>0</v>
      </c>
    </row>
    <row r="133" spans="1:5">
      <c r="A133" s="1218" t="str">
        <f>T('2nd Interim-DEBT'!A21)</f>
        <v>Capital Lease</v>
      </c>
      <c r="C133" s="1603">
        <f>'2nd Interim-DEBT'!E21+'2nd Interim-DEBT'!F21</f>
        <v>0</v>
      </c>
      <c r="D133" s="1603">
        <f>'2nd Interim-DEBT'!G21+'2nd Interim-DEBT'!H21</f>
        <v>0</v>
      </c>
      <c r="E133" s="1603">
        <f>'2nd Interim-DEBT'!I21+'2nd Interim-DEBT'!J21</f>
        <v>0</v>
      </c>
    </row>
    <row r="134" spans="1:5">
      <c r="A134" s="1218" t="str">
        <f>T('2nd Interim-DEBT'!A22)</f>
        <v>Capital Lease</v>
      </c>
      <c r="C134" s="1603">
        <f>'2nd Interim-DEBT'!E22+'2nd Interim-DEBT'!F22</f>
        <v>0</v>
      </c>
      <c r="D134" s="1603">
        <f>'2nd Interim-DEBT'!G22+'2nd Interim-DEBT'!H22</f>
        <v>0</v>
      </c>
      <c r="E134" s="1603">
        <f>'2nd Interim-DEBT'!I22+'2nd Interim-DEBT'!J22</f>
        <v>0</v>
      </c>
    </row>
    <row r="135" spans="1:5">
      <c r="A135" s="1218" t="str">
        <f>T('2nd Interim-DEBT'!A23)</f>
        <v>Capital Lease</v>
      </c>
      <c r="C135" s="1603">
        <f>'2nd Interim-DEBT'!E23+'2nd Interim-DEBT'!F23</f>
        <v>0</v>
      </c>
      <c r="D135" s="1603">
        <f>'2nd Interim-DEBT'!G23+'2nd Interim-DEBT'!H23</f>
        <v>0</v>
      </c>
      <c r="E135" s="1603">
        <f>'2nd Interim-DEBT'!I23+'2nd Interim-DEBT'!J23</f>
        <v>0</v>
      </c>
    </row>
    <row r="136" spans="1:5">
      <c r="A136" s="1218" t="str">
        <f>T('2nd Interim-DEBT'!A24)</f>
        <v>Inter-Agency Borrowing</v>
      </c>
      <c r="C136" s="1603">
        <f>'2nd Interim-DEBT'!E24+'2nd Interim-DEBT'!F24</f>
        <v>0</v>
      </c>
      <c r="D136" s="1603">
        <f>'2nd Interim-DEBT'!G24+'2nd Interim-DEBT'!H24</f>
        <v>0</v>
      </c>
      <c r="E136" s="1603">
        <f>'2nd Interim-DEBT'!I24+'2nd Interim-DEBT'!J24</f>
        <v>0</v>
      </c>
    </row>
    <row r="137" spans="1:5">
      <c r="A137" s="1218" t="str">
        <f>T('2nd Interim-DEBT'!A25)</f>
        <v>Other</v>
      </c>
      <c r="C137" s="1603">
        <f>'2nd Interim-DEBT'!E25+'2nd Interim-DEBT'!F25</f>
        <v>0</v>
      </c>
      <c r="D137" s="1603">
        <f>'2nd Interim-DEBT'!G25+'2nd Interim-DEBT'!H25</f>
        <v>0</v>
      </c>
      <c r="E137" s="1603">
        <f>'2nd Interim-DEBT'!I25+'2nd Interim-DEBT'!J25</f>
        <v>0</v>
      </c>
    </row>
    <row r="138" spans="1:5">
      <c r="A138" s="1218" t="str">
        <f>T('2nd Interim-DEBT'!A26)</f>
        <v/>
      </c>
      <c r="C138" s="1607"/>
      <c r="D138" s="1607"/>
      <c r="E138" s="1607"/>
    </row>
    <row r="139" spans="1:5">
      <c r="A139" s="1218" t="s">
        <v>480</v>
      </c>
      <c r="C139" s="1607"/>
      <c r="D139" s="1607"/>
      <c r="E139" s="1607"/>
    </row>
    <row r="140" spans="1:5">
      <c r="A140" s="1218" t="s">
        <v>481</v>
      </c>
      <c r="C140" s="1603">
        <f>'2nd Interim-Cash Flow Year 1'!E6</f>
        <v>0</v>
      </c>
      <c r="D140" s="1603">
        <f>'2nd Interim-Cash Flow Year 2'!E6</f>
        <v>0</v>
      </c>
    </row>
    <row r="141" spans="1:5">
      <c r="A141" s="1218" t="s">
        <v>79</v>
      </c>
      <c r="C141" s="1603">
        <f>'2nd Interim-Cash Flow Year 1'!E60</f>
        <v>0</v>
      </c>
      <c r="D141" s="1603">
        <f>'2nd Interim-Cash Flow Year 2'!E60</f>
        <v>0</v>
      </c>
    </row>
    <row r="142" spans="1:5">
      <c r="A142" s="1218" t="s">
        <v>81</v>
      </c>
      <c r="C142" s="1603">
        <f>'2nd Interim-Cash Flow Year 1'!G60</f>
        <v>0</v>
      </c>
      <c r="D142" s="1603">
        <f>'2nd Interim-Cash Flow Year 2'!G60</f>
        <v>0</v>
      </c>
    </row>
    <row r="143" spans="1:5">
      <c r="A143" s="1218" t="s">
        <v>83</v>
      </c>
      <c r="C143" s="1608">
        <f>'2nd Interim-Cash Flow Year 1'!I60</f>
        <v>0</v>
      </c>
      <c r="D143" s="1608">
        <f>'2nd Interim-Cash Flow Year 2'!I60</f>
        <v>0</v>
      </c>
    </row>
    <row r="144" spans="1:5">
      <c r="A144" s="1218" t="s">
        <v>84</v>
      </c>
      <c r="C144" s="1608">
        <f>'2nd Interim-Cash Flow Year 1'!K60</f>
        <v>0</v>
      </c>
      <c r="D144" s="1608">
        <f>'2nd Interim-Cash Flow Year 2'!K60</f>
        <v>0</v>
      </c>
    </row>
    <row r="145" spans="1:4">
      <c r="A145" s="1218" t="s">
        <v>85</v>
      </c>
      <c r="C145" s="1608">
        <f>'2nd Interim-Cash Flow Year 1'!M60</f>
        <v>0</v>
      </c>
      <c r="D145" s="1608">
        <f>'2nd Interim-Cash Flow Year 2'!M60</f>
        <v>0</v>
      </c>
    </row>
    <row r="146" spans="1:4">
      <c r="A146" s="1218" t="s">
        <v>86</v>
      </c>
      <c r="C146" s="1608">
        <f>'2nd Interim-Cash Flow Year 1'!O60</f>
        <v>0</v>
      </c>
      <c r="D146" s="1608">
        <f>'2nd Interim-Cash Flow Year 2'!O60</f>
        <v>0</v>
      </c>
    </row>
    <row r="147" spans="1:4">
      <c r="A147" s="1218" t="s">
        <v>87</v>
      </c>
      <c r="C147" s="1608">
        <f>'2nd Interim-Cash Flow Year 1'!Q60</f>
        <v>0</v>
      </c>
      <c r="D147" s="1608">
        <f>'2nd Interim-Cash Flow Year 2'!Q60</f>
        <v>0</v>
      </c>
    </row>
    <row r="148" spans="1:4">
      <c r="A148" s="1218" t="s">
        <v>88</v>
      </c>
      <c r="C148" s="1608">
        <f>'2nd Interim-Cash Flow Year 1'!S60</f>
        <v>0</v>
      </c>
      <c r="D148" s="1608">
        <f>'2nd Interim-Cash Flow Year 2'!S60</f>
        <v>0</v>
      </c>
    </row>
    <row r="149" spans="1:4">
      <c r="A149" s="1218" t="s">
        <v>89</v>
      </c>
      <c r="C149" s="1608">
        <f>'2nd Interim-Cash Flow Year 1'!U60</f>
        <v>0</v>
      </c>
      <c r="D149" s="1608">
        <f>'2nd Interim-Cash Flow Year 2'!U60</f>
        <v>0</v>
      </c>
    </row>
    <row r="150" spans="1:4">
      <c r="A150" s="1218" t="s">
        <v>90</v>
      </c>
      <c r="C150" s="1608">
        <f>'2nd Interim-Cash Flow Year 1'!W60</f>
        <v>0</v>
      </c>
      <c r="D150" s="1608">
        <f>'2nd Interim-Cash Flow Year 2'!W60</f>
        <v>0</v>
      </c>
    </row>
    <row r="151" spans="1:4">
      <c r="A151" s="1218" t="s">
        <v>91</v>
      </c>
      <c r="C151" s="1608">
        <f>'2nd Interim-Cash Flow Year 1'!Y60</f>
        <v>0</v>
      </c>
      <c r="D151" s="1608">
        <f>'2nd Interim-Cash Flow Year 2'!Y60</f>
        <v>0</v>
      </c>
    </row>
    <row r="152" spans="1:4">
      <c r="A152" s="1218" t="s">
        <v>92</v>
      </c>
      <c r="C152" s="1608">
        <f>'2nd Interim-Cash Flow Year 1'!AA60</f>
        <v>0</v>
      </c>
      <c r="D152" s="1608">
        <f>'2nd Interim-Cash Flow Year 2'!AA60</f>
        <v>0</v>
      </c>
    </row>
    <row r="153" spans="1:4">
      <c r="C153" s="1608"/>
      <c r="D153" s="1608"/>
    </row>
    <row r="154" spans="1:4">
      <c r="C154" s="1608"/>
      <c r="D154" s="1608"/>
    </row>
  </sheetData>
  <sheetProtection password="D94D" sheet="1" objects="1" scenarios="1"/>
  <conditionalFormatting sqref="A77">
    <cfRule type="expression" dxfId="1" priority="2" stopIfTrue="1">
      <formula>$E$87=""</formula>
    </cfRule>
  </conditionalFormatting>
  <conditionalFormatting sqref="A78">
    <cfRule type="expression" dxfId="0" priority="1" stopIfTrue="1">
      <formula>$E$87&lt;&gt;0</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44</vt:i4>
      </vt:variant>
    </vt:vector>
  </HeadingPairs>
  <TitlesOfParts>
    <vt:vector size="76" baseType="lpstr">
      <vt:lpstr>Instructions</vt:lpstr>
      <vt:lpstr>BUDGET-CHECKLIST</vt:lpstr>
      <vt:lpstr>BUDGET-CERTIFICATION</vt:lpstr>
      <vt:lpstr>Budget-ADA</vt:lpstr>
      <vt:lpstr>Budget-Assumptions</vt:lpstr>
      <vt:lpstr>Budget-Unrestricted MYP</vt:lpstr>
      <vt:lpstr>Budget-Restricted MYP</vt:lpstr>
      <vt:lpstr>Budget-Summary MYP</vt:lpstr>
      <vt:lpstr>Budget-DEBT</vt:lpstr>
      <vt:lpstr>Budget-Cash Flow Year 1</vt:lpstr>
      <vt:lpstr>Budget-Cash Flow Year 2</vt:lpstr>
      <vt:lpstr>Budget Data</vt:lpstr>
      <vt:lpstr>INTERIM-CHECKLIST</vt:lpstr>
      <vt:lpstr>INTERIM-CERTIFICATION</vt:lpstr>
      <vt:lpstr>1st Interim-ADA</vt:lpstr>
      <vt:lpstr>1st Interim-Assumptions</vt:lpstr>
      <vt:lpstr>1st Interim-Unrestricted MYP</vt:lpstr>
      <vt:lpstr>1st Interim-Restricted MYP</vt:lpstr>
      <vt:lpstr>1st Interim-Summary MYP</vt:lpstr>
      <vt:lpstr>1st Interim-DEBT</vt:lpstr>
      <vt:lpstr>1st Interim-Cash Flow Year 1</vt:lpstr>
      <vt:lpstr>1st Interim-Cash Flow Year 2</vt:lpstr>
      <vt:lpstr>1st Interim Data</vt:lpstr>
      <vt:lpstr>2nd Interim-ADA</vt:lpstr>
      <vt:lpstr>2nd Interim-Assumptions</vt:lpstr>
      <vt:lpstr>2nd Interim-Unrestricted MYP</vt:lpstr>
      <vt:lpstr>2nd Interim-Restricted MYP</vt:lpstr>
      <vt:lpstr>2nd Interim-Summary MYP</vt:lpstr>
      <vt:lpstr>2nd Interim-DEBT</vt:lpstr>
      <vt:lpstr>2nd Interim-Cash Flow Year 1</vt:lpstr>
      <vt:lpstr>2nd Interim-Cash Flow Year 2</vt:lpstr>
      <vt:lpstr>2nd Interim Data</vt:lpstr>
      <vt:lpstr>'1st Interim-ADA'!Print_Area</vt:lpstr>
      <vt:lpstr>'1st Interim-Assumptions'!Print_Area</vt:lpstr>
      <vt:lpstr>'1st Interim-Restricted MYP'!Print_Area</vt:lpstr>
      <vt:lpstr>'1st Interim-Summary MYP'!Print_Area</vt:lpstr>
      <vt:lpstr>'1st Interim-Unrestricted MYP'!Print_Area</vt:lpstr>
      <vt:lpstr>'2nd Interim-ADA'!Print_Area</vt:lpstr>
      <vt:lpstr>'2nd Interim-Assumptions'!Print_Area</vt:lpstr>
      <vt:lpstr>'2nd Interim-Cash Flow Year 1'!Print_Area</vt:lpstr>
      <vt:lpstr>'2nd Interim-Cash Flow Year 2'!Print_Area</vt:lpstr>
      <vt:lpstr>'2nd Interim-DEBT'!Print_Area</vt:lpstr>
      <vt:lpstr>'2nd Interim-Restricted MYP'!Print_Area</vt:lpstr>
      <vt:lpstr>'2nd Interim-Summary MYP'!Print_Area</vt:lpstr>
      <vt:lpstr>'2nd Interim-Unrestricted MYP'!Print_Area</vt:lpstr>
      <vt:lpstr>'Budget-ADA'!Print_Area</vt:lpstr>
      <vt:lpstr>'Budget-Assumptions'!Print_Area</vt:lpstr>
      <vt:lpstr>'BUDGET-CERTIFICATION'!Print_Area</vt:lpstr>
      <vt:lpstr>'BUDGET-CHECKLIST'!Print_Area</vt:lpstr>
      <vt:lpstr>'Budget-Restricted MYP'!Print_Area</vt:lpstr>
      <vt:lpstr>'Budget-Summary MYP'!Print_Area</vt:lpstr>
      <vt:lpstr>'Budget-Unrestricted MYP'!Print_Area</vt:lpstr>
      <vt:lpstr>Instructions!Print_Area</vt:lpstr>
      <vt:lpstr>'INTERIM-CHECKLIST'!Print_Area</vt:lpstr>
      <vt:lpstr>'1st Interim-ADA'!Print_Titles</vt:lpstr>
      <vt:lpstr>'1st Interim-Assumptions'!Print_Titles</vt:lpstr>
      <vt:lpstr>'1st Interim-Cash Flow Year 1'!Print_Titles</vt:lpstr>
      <vt:lpstr>'1st Interim-Cash Flow Year 2'!Print_Titles</vt:lpstr>
      <vt:lpstr>'1st Interim-Restricted MYP'!Print_Titles</vt:lpstr>
      <vt:lpstr>'1st Interim-Summary MYP'!Print_Titles</vt:lpstr>
      <vt:lpstr>'1st Interim-Unrestricted MYP'!Print_Titles</vt:lpstr>
      <vt:lpstr>'2nd Interim-ADA'!Print_Titles</vt:lpstr>
      <vt:lpstr>'2nd Interim-Assumptions'!Print_Titles</vt:lpstr>
      <vt:lpstr>'2nd Interim-Cash Flow Year 1'!Print_Titles</vt:lpstr>
      <vt:lpstr>'2nd Interim-Cash Flow Year 2'!Print_Titles</vt:lpstr>
      <vt:lpstr>'2nd Interim-Restricted MYP'!Print_Titles</vt:lpstr>
      <vt:lpstr>'2nd Interim-Summary MYP'!Print_Titles</vt:lpstr>
      <vt:lpstr>'2nd Interim-Unrestricted MYP'!Print_Titles</vt:lpstr>
      <vt:lpstr>'Budget-ADA'!Print_Titles</vt:lpstr>
      <vt:lpstr>'Budget-Assumptions'!Print_Titles</vt:lpstr>
      <vt:lpstr>'Budget-Cash Flow Year 1'!Print_Titles</vt:lpstr>
      <vt:lpstr>'Budget-Cash Flow Year 2'!Print_Titles</vt:lpstr>
      <vt:lpstr>'Budget-Restricted MYP'!Print_Titles</vt:lpstr>
      <vt:lpstr>'Budget-Summary MYP'!Print_Titles</vt:lpstr>
      <vt:lpstr>'Budget-Unrestricted MYP'!Print_Titles</vt:lpstr>
      <vt:lpstr>validbudgets</vt:lpstr>
    </vt:vector>
  </TitlesOfParts>
  <Company>SBCSS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Formula for 2nd Int 1819 LCFF fixed</dc:title>
  <dc:creator>Annette Kerber</dc:creator>
  <cp:lastModifiedBy>Michelle Romaine</cp:lastModifiedBy>
  <cp:lastPrinted>2022-05-03T19:31:43Z</cp:lastPrinted>
  <dcterms:created xsi:type="dcterms:W3CDTF">2005-06-16T03:48:07Z</dcterms:created>
  <dcterms:modified xsi:type="dcterms:W3CDTF">2022-11-10T03:06:57Z</dcterms:modified>
</cp:coreProperties>
</file>